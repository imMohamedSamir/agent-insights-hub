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formance\KPI\2025\non telcome\Jun\View\"/>
    </mc:Choice>
  </mc:AlternateContent>
  <xr:revisionPtr revIDLastSave="0" documentId="13_ncr:1_{13671EC4-475B-41F3-A95C-A42B9CC4944C}" xr6:coauthVersionLast="47" xr6:coauthVersionMax="47" xr10:uidLastSave="{00000000-0000-0000-0000-000000000000}"/>
  <bookViews>
    <workbookView xWindow="-120" yWindow="-120" windowWidth="20730" windowHeight="10545" xr2:uid="{6D729231-749A-4363-8E12-25C4C9A12A8C}"/>
  </bookViews>
  <sheets>
    <sheet name="Sheet2" sheetId="14" r:id="rId1"/>
  </sheets>
  <externalReferences>
    <externalReference r:id="rId2"/>
  </externalReferences>
  <definedNames>
    <definedName name="_xlnm._FilterDatabase" localSheetId="0" hidden="1">Sheet2!$AG$3:$AH$220</definedName>
  </definedName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20" i="14" l="1"/>
  <c r="AK220" i="14"/>
  <c r="AJ220" i="14"/>
  <c r="AI220" i="14"/>
  <c r="AH220" i="14"/>
  <c r="BE3" i="14"/>
  <c r="BD3" i="14"/>
  <c r="BB3" i="14"/>
  <c r="AF3" i="14"/>
  <c r="W3" i="14"/>
  <c r="K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L110" authorId="0" shapeId="0" xr:uid="{62AE84AE-28AB-4EEB-9B1C-9251A6A7DFE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FW: May 25- Performance Score Card For Non Telecom Team </t>
        </r>
      </text>
    </comment>
  </commentList>
</comments>
</file>

<file path=xl/sharedStrings.xml><?xml version="1.0" encoding="utf-8"?>
<sst xmlns="http://schemas.openxmlformats.org/spreadsheetml/2006/main" count="2254" uniqueCount="730">
  <si>
    <t>AHT Inbound + Outbound</t>
  </si>
  <si>
    <t>Score</t>
  </si>
  <si>
    <t>Bonus</t>
  </si>
  <si>
    <t>COPC Utilization</t>
  </si>
  <si>
    <t>Productivity</t>
  </si>
  <si>
    <t>Adherence</t>
  </si>
  <si>
    <t>Conformance</t>
  </si>
  <si>
    <t>Absenteeism</t>
  </si>
  <si>
    <t>Punctuality</t>
  </si>
  <si>
    <t>Quality</t>
  </si>
  <si>
    <t>Quality Complaint</t>
  </si>
  <si>
    <t>CSAT Satisfaction</t>
  </si>
  <si>
    <t>CSAT Attitude</t>
  </si>
  <si>
    <t>Creation</t>
  </si>
  <si>
    <t>Rejection</t>
  </si>
  <si>
    <t>FCR</t>
  </si>
  <si>
    <t>Final
Score</t>
  </si>
  <si>
    <t>Final
Bonus</t>
  </si>
  <si>
    <t xml:space="preserve">Final </t>
  </si>
  <si>
    <t>Deductions</t>
  </si>
  <si>
    <t>WFM</t>
  </si>
  <si>
    <t>Data Base</t>
  </si>
  <si>
    <t>Micro</t>
  </si>
  <si>
    <t>Target</t>
  </si>
  <si>
    <t>No Show</t>
  </si>
  <si>
    <t>Sick</t>
  </si>
  <si>
    <t>Casual</t>
  </si>
  <si>
    <t>floor</t>
  </si>
  <si>
    <t>Acc Score</t>
  </si>
  <si>
    <t>Attitude</t>
  </si>
  <si>
    <t>Other</t>
  </si>
  <si>
    <t>Non Telecom 69% &amp; RCS 55%</t>
  </si>
  <si>
    <t>Non Telecom 82% &amp; RCS 69%</t>
  </si>
  <si>
    <t>Weighted Target</t>
  </si>
  <si>
    <t>Weighted Score</t>
  </si>
  <si>
    <t>Waived</t>
  </si>
  <si>
    <t>QCOM</t>
  </si>
  <si>
    <t>Final Deduction</t>
  </si>
  <si>
    <t>Final</t>
  </si>
  <si>
    <t>Site</t>
  </si>
  <si>
    <t>Employee ID</t>
  </si>
  <si>
    <t>Agent</t>
  </si>
  <si>
    <t>SPV</t>
  </si>
  <si>
    <t>HR ID</t>
  </si>
  <si>
    <t>Siebel User</t>
  </si>
  <si>
    <t>Full Name</t>
  </si>
  <si>
    <t>1st Oeration Date</t>
  </si>
  <si>
    <t>IN/Out KPIs</t>
  </si>
  <si>
    <t>Comment</t>
  </si>
  <si>
    <t>Working Days</t>
  </si>
  <si>
    <t>Required Login</t>
  </si>
  <si>
    <t>Exceptions</t>
  </si>
  <si>
    <t>Non Telecom Calls</t>
  </si>
  <si>
    <t>Support Calls</t>
  </si>
  <si>
    <t>Utilized Time</t>
  </si>
  <si>
    <t>AHT Productive</t>
  </si>
  <si>
    <t>Waived Uti</t>
  </si>
  <si>
    <t>90%,80%</t>
  </si>
  <si>
    <t>Weghited target</t>
  </si>
  <si>
    <t>Weghited Score</t>
  </si>
  <si>
    <t>Non Telecom 74% &amp; RCS 53%</t>
  </si>
  <si>
    <t>All</t>
  </si>
  <si>
    <t>Max 20%</t>
  </si>
  <si>
    <t>Non-Telecom</t>
  </si>
  <si>
    <t>Rowida .Maged</t>
  </si>
  <si>
    <t>Ahmad .AAHassan</t>
  </si>
  <si>
    <t>Amr .Abdelgwad</t>
  </si>
  <si>
    <t>EzzElDien .Mostafa</t>
  </si>
  <si>
    <t>Mohamed .Taleb</t>
  </si>
  <si>
    <t>radwa .mohamed</t>
  </si>
  <si>
    <t>ASHRAF .SAAD</t>
  </si>
  <si>
    <t>Kamal .Mowas</t>
  </si>
  <si>
    <t>Mai .Fathy</t>
  </si>
  <si>
    <t>Nahla .Ali</t>
  </si>
  <si>
    <t>Ahmed .Elsaby</t>
  </si>
  <si>
    <t>Esraa .ElMerghany</t>
  </si>
  <si>
    <t>Mohammed .Abdelnaser</t>
  </si>
  <si>
    <t>Mohamed .Nassr</t>
  </si>
  <si>
    <t>MOSTAFA .SHOKRY</t>
  </si>
  <si>
    <t>Nourhan .Shehata</t>
  </si>
  <si>
    <t>Ali .Heshmat</t>
  </si>
  <si>
    <t>Mostafa .Elkholy</t>
  </si>
  <si>
    <t>Mohamed .AAbdelghafar</t>
  </si>
  <si>
    <t>Nesma .Abdelatty</t>
  </si>
  <si>
    <t>Omar .Elgamal</t>
  </si>
  <si>
    <t>Ahmed .Gzaki</t>
  </si>
  <si>
    <t>KHALED .MOWAFEK</t>
  </si>
  <si>
    <t>maher .eshak</t>
  </si>
  <si>
    <t>Ahmed .Khalled</t>
  </si>
  <si>
    <t>Zakria .Sedrak</t>
  </si>
  <si>
    <t>AbdelRahman .Kamal</t>
  </si>
  <si>
    <t>Mohamed .MMEAli</t>
  </si>
  <si>
    <t>Reewan .Mohamed</t>
  </si>
  <si>
    <t>Abdelhamid .Hahmed</t>
  </si>
  <si>
    <t>Ahmad .Maly</t>
  </si>
  <si>
    <t>Sayed .Abdelkader</t>
  </si>
  <si>
    <t>Hossam .Rawyan</t>
  </si>
  <si>
    <t>Ibrahim .EShehata</t>
  </si>
  <si>
    <t>Omar .Qamsan</t>
  </si>
  <si>
    <t>Ahmed .MKElsayd</t>
  </si>
  <si>
    <t>Mohamed .MMetwaly</t>
  </si>
  <si>
    <t>Abdallah .Abdelmohsen</t>
  </si>
  <si>
    <t>Alaa .Abdelhakim</t>
  </si>
  <si>
    <t>Heba .Shaban</t>
  </si>
  <si>
    <t>Said .Ibrahim</t>
  </si>
  <si>
    <t>Sara .Ismail</t>
  </si>
  <si>
    <t>Ahmed .Abir</t>
  </si>
  <si>
    <t>Mostafa .Iibrahim</t>
  </si>
  <si>
    <t>Hesham .AAly</t>
  </si>
  <si>
    <t>Sama .Saad</t>
  </si>
  <si>
    <t>Toaa .Waleed</t>
  </si>
  <si>
    <t>Hussein .MMetwally</t>
  </si>
  <si>
    <t>Mohamed .Mabrook</t>
  </si>
  <si>
    <t>Mahmoud .Alaaeldien</t>
  </si>
  <si>
    <t>Tarek .Arnos</t>
  </si>
  <si>
    <t>Yasmin .Hamdi</t>
  </si>
  <si>
    <t>Amr .Afify</t>
  </si>
  <si>
    <t>Mahmoud .Adam</t>
  </si>
  <si>
    <t>Mohamed .Sshokry</t>
  </si>
  <si>
    <t>Ahmed .Mmohamad</t>
  </si>
  <si>
    <t>Dalia .Mali</t>
  </si>
  <si>
    <t>Mohamed .Mhassanen</t>
  </si>
  <si>
    <t>Ibrahim .Metwally</t>
  </si>
  <si>
    <t>Amr .Bassam</t>
  </si>
  <si>
    <t>Mona .Yassin</t>
  </si>
  <si>
    <t>SalahElden .Ashraf</t>
  </si>
  <si>
    <t>Ahmed .Aabdelmoniem</t>
  </si>
  <si>
    <t>Mayar .Othman</t>
  </si>
  <si>
    <t>Neven .Reda</t>
  </si>
  <si>
    <t>Amira .Ezzat</t>
  </si>
  <si>
    <t>Eman .Tarek</t>
  </si>
  <si>
    <t>FatmaElzahraa .Naeem</t>
  </si>
  <si>
    <t>Mohamed .RSMohamed</t>
  </si>
  <si>
    <t>Basel .Ahmed</t>
  </si>
  <si>
    <t>Rana .Ehab</t>
  </si>
  <si>
    <t>Samar .Amohamed</t>
  </si>
  <si>
    <t>Omar .Matloub</t>
  </si>
  <si>
    <t>Gehad .Omar</t>
  </si>
  <si>
    <t>Tarek .Tharwat</t>
  </si>
  <si>
    <t>Mohamed .Alimi</t>
  </si>
  <si>
    <t>Mostafa .Msalama</t>
  </si>
  <si>
    <t>Mostafa .SAbdelQader</t>
  </si>
  <si>
    <t>Mahmoud .MAbdelNabi</t>
  </si>
  <si>
    <t>Ibrahim .Rekaby</t>
  </si>
  <si>
    <t>Mohamed .Hamden</t>
  </si>
  <si>
    <t>Nancy .Hossamelden</t>
  </si>
  <si>
    <t>Shrouk .Abdelgawad</t>
  </si>
  <si>
    <t>Amira .Mali</t>
  </si>
  <si>
    <t>Omar .Abdeldaim</t>
  </si>
  <si>
    <t>Ahmed .Mabdelhaq</t>
  </si>
  <si>
    <t>Abdallah .SMohamed</t>
  </si>
  <si>
    <t>Atef .AbdelRehim</t>
  </si>
  <si>
    <t>Omar .AbdelHalim</t>
  </si>
  <si>
    <t>AbdelRahamn .Mohamed</t>
  </si>
  <si>
    <t>Mahmoud .AMGomaa</t>
  </si>
  <si>
    <t>Ahmed .SAbdelBaky</t>
  </si>
  <si>
    <t>Amr .FAboelhassan</t>
  </si>
  <si>
    <t>Bassant .Fadl</t>
  </si>
  <si>
    <t>Mennatullah .Yahia</t>
  </si>
  <si>
    <t>Mohamed .MGMohamed</t>
  </si>
  <si>
    <t>Marwa .AFouad</t>
  </si>
  <si>
    <t>Abdullah .Haasan</t>
  </si>
  <si>
    <t>Shrouk .Khamis</t>
  </si>
  <si>
    <t>Mohamed .NEldin</t>
  </si>
  <si>
    <t>Mohammed .Ahasan</t>
  </si>
  <si>
    <t>Mostafa .GIAbdelaal</t>
  </si>
  <si>
    <t>Hussien .AbdelMoneam</t>
  </si>
  <si>
    <t>Mohamed .Ibraheim</t>
  </si>
  <si>
    <t>Sara .Mansour</t>
  </si>
  <si>
    <t>AbdelRahman .Amuhamed</t>
  </si>
  <si>
    <t>AbdelRahman .GSalim</t>
  </si>
  <si>
    <t>Mohamed .Sbadawi</t>
  </si>
  <si>
    <t>Moaaz .Mahmoud</t>
  </si>
  <si>
    <t>Sarah .Hussien</t>
  </si>
  <si>
    <t>Sarah .Misheal</t>
  </si>
  <si>
    <t>Haidy .Mourad</t>
  </si>
  <si>
    <t>Radwa .Seif</t>
  </si>
  <si>
    <t>Mohamed .YShaaban</t>
  </si>
  <si>
    <t>Rowan .Maged</t>
  </si>
  <si>
    <t>Mostafa .Abdelkarim</t>
  </si>
  <si>
    <t>Amgad .Naseer</t>
  </si>
  <si>
    <t>Nesma .Saeed</t>
  </si>
  <si>
    <t>Shehab .Yahia</t>
  </si>
  <si>
    <t>Mina .Medhat</t>
  </si>
  <si>
    <t>Mohamed .AEAbdelghany</t>
  </si>
  <si>
    <t>Mohamed .Ghali</t>
  </si>
  <si>
    <t>Mohamed .Hsafwat</t>
  </si>
  <si>
    <t>Ziad .Ramadan</t>
  </si>
  <si>
    <t>Hassan .Abdelmalik</t>
  </si>
  <si>
    <t>Ibrahim .Qadri</t>
  </si>
  <si>
    <t>Ziad .Moneim</t>
  </si>
  <si>
    <t>Abdullah .Farag</t>
  </si>
  <si>
    <t>Ahmed .MAGhanem</t>
  </si>
  <si>
    <t>Ahmed .AFatouh</t>
  </si>
  <si>
    <t>Ahmed .Shamseldein</t>
  </si>
  <si>
    <t>Ahmed .YRezk</t>
  </si>
  <si>
    <t>Marwa .Ghandour</t>
  </si>
  <si>
    <t>Kareem .Abdelwahab</t>
  </si>
  <si>
    <t>Mohammed .SHussein</t>
  </si>
  <si>
    <t>Omar .Kelany</t>
  </si>
  <si>
    <t>Abdullah .Bayoumy</t>
  </si>
  <si>
    <t>Hadeer .Thabet</t>
  </si>
  <si>
    <t>Hagar .Hatem</t>
  </si>
  <si>
    <t>Maha .Galal</t>
  </si>
  <si>
    <t>Mahitab .Ahmed</t>
  </si>
  <si>
    <t>Moaatasem .Gamal</t>
  </si>
  <si>
    <t>Nader .Alaa</t>
  </si>
  <si>
    <t>Mary .Nashaat</t>
  </si>
  <si>
    <t>Mennatallah .Mohammed</t>
  </si>
  <si>
    <t>Nourhan .Soliman</t>
  </si>
  <si>
    <t>Abdelrahman .Bakr</t>
  </si>
  <si>
    <t>Mahmood .Hassan</t>
  </si>
  <si>
    <t>Robert .Danial</t>
  </si>
  <si>
    <t>Noura .Karam</t>
  </si>
  <si>
    <t>Zeinb .Sayed</t>
  </si>
  <si>
    <t>Ahmed .HFSayed</t>
  </si>
  <si>
    <t>Mohamed .Kmoustafa</t>
  </si>
  <si>
    <t>Moustafa .Abdellah</t>
  </si>
  <si>
    <t>Nadia .Youssef</t>
  </si>
  <si>
    <t>Rehab .Abdelfattah</t>
  </si>
  <si>
    <t>Salma .Abdelkereem</t>
  </si>
  <si>
    <t>Ahmad .Mabdo</t>
  </si>
  <si>
    <t>Moustafa .Elsaeed</t>
  </si>
  <si>
    <t>Aghaby .Alfy</t>
  </si>
  <si>
    <t>Manar .Abdelrady</t>
  </si>
  <si>
    <t>Abanoub .Nashaat</t>
  </si>
  <si>
    <t>Abdullah .Abdeen</t>
  </si>
  <si>
    <t>Hossam .HMFathy</t>
  </si>
  <si>
    <t>Hossam .Kahmed</t>
  </si>
  <si>
    <t>Nada .Seleem</t>
  </si>
  <si>
    <t>Rozaleen .Samy</t>
  </si>
  <si>
    <t>Fady .Onsy</t>
  </si>
  <si>
    <t>Mena .Nassef</t>
  </si>
  <si>
    <t>Mohamed .Nameen</t>
  </si>
  <si>
    <t>Mohammed .Ayman</t>
  </si>
  <si>
    <t>Clara .Rashad</t>
  </si>
  <si>
    <t>Jessika .Beshoy</t>
  </si>
  <si>
    <t>Kareen .Ehab</t>
  </si>
  <si>
    <t>Moustafa .Radwan</t>
  </si>
  <si>
    <t>Eman .HMohamed</t>
  </si>
  <si>
    <t>Adam .Ehab</t>
  </si>
  <si>
    <t>Esraa .Seleem</t>
  </si>
  <si>
    <t>Mohamed .Fmahmood</t>
  </si>
  <si>
    <t>Tasneem .Hisham</t>
  </si>
  <si>
    <t>Joumana .Magdy</t>
  </si>
  <si>
    <t>Mary .Osama</t>
  </si>
  <si>
    <t>Bassem .Rezk</t>
  </si>
  <si>
    <t>Shahenda .Mokhtar</t>
  </si>
  <si>
    <t>Nourhan .Abdelmwgood</t>
  </si>
  <si>
    <t>Rania .Moustafa</t>
  </si>
  <si>
    <t>Khalefa .Abdelnaby</t>
  </si>
  <si>
    <t>Marian .Medhat</t>
  </si>
  <si>
    <t>Beshoy .Hany</t>
  </si>
  <si>
    <t>Kpis Out</t>
  </si>
  <si>
    <t>Grand Total</t>
  </si>
  <si>
    <t>Assuit Non Telecom</t>
  </si>
  <si>
    <t>Rowida.Maged</t>
  </si>
  <si>
    <t>Rowida Maged Salah Mahmoud</t>
  </si>
  <si>
    <t>1st Month</t>
  </si>
  <si>
    <t>0%</t>
  </si>
  <si>
    <t>Night Shift</t>
  </si>
  <si>
    <t>Ahmad.AAHassan</t>
  </si>
  <si>
    <t>Ahmed Amr Ahmed Hassan</t>
  </si>
  <si>
    <t>Kpis In</t>
  </si>
  <si>
    <t>Marwa Abdallah</t>
  </si>
  <si>
    <t>Amr.Abdelgwad</t>
  </si>
  <si>
    <t>Amr Mohamed Mohamed Abdelgwad</t>
  </si>
  <si>
    <t>Mohamed AElbrolocy</t>
  </si>
  <si>
    <t>EzzElDien.Mostafa</t>
  </si>
  <si>
    <t>EzzElDien Mostafa EzzElDien Ahmed</t>
  </si>
  <si>
    <t>Shady AbdelWahab</t>
  </si>
  <si>
    <t>Mohamed.Taleb</t>
  </si>
  <si>
    <t>Mohamed Ahmed Abdelfattah Aly Taleb</t>
  </si>
  <si>
    <t>Ahmed Salaheldin</t>
  </si>
  <si>
    <t>radwa.mohamed</t>
  </si>
  <si>
    <t>Radwa Mohamed Hossam Mohamed</t>
  </si>
  <si>
    <t>-</t>
  </si>
  <si>
    <t>N/A</t>
  </si>
  <si>
    <t>ASHRAF.SAAD</t>
  </si>
  <si>
    <t>Ashraf Saad Ali Mohamed</t>
  </si>
  <si>
    <t>Kamal.Mowas</t>
  </si>
  <si>
    <t>Kamal Mohamed Kamal Mowas</t>
  </si>
  <si>
    <t>Ahmed Amein</t>
  </si>
  <si>
    <t>Mai.Fathy</t>
  </si>
  <si>
    <t>Mai Fathy Mohamed Tawfik</t>
  </si>
  <si>
    <t>Nahla.Ali</t>
  </si>
  <si>
    <t>Nahla Ali Saleh Hassan Mahmoud Elfaham</t>
  </si>
  <si>
    <t>Ahmed.Elsaby</t>
  </si>
  <si>
    <t>Ahmed Nabil Ahmed Hassan Elsaby</t>
  </si>
  <si>
    <t>Esraa.ElMerghany</t>
  </si>
  <si>
    <t>Esraa Mohamed Ali El Merghany Metwally</t>
  </si>
  <si>
    <t>Mohammed.Abdelnaser</t>
  </si>
  <si>
    <t>Mohamed Abdelnasser Farghaly Mohamed</t>
  </si>
  <si>
    <t>Mohamed.Nassr</t>
  </si>
  <si>
    <t>Mohamed Nassr Abd Elreheem Mohamed Khatab</t>
  </si>
  <si>
    <t>Mostafa Nabil Shokry Fathallah</t>
  </si>
  <si>
    <t>Nourhan.Shehata</t>
  </si>
  <si>
    <t>Norhan Mohamed Ibrahim Mohamed Shehata</t>
  </si>
  <si>
    <t>Ali.Heshmat</t>
  </si>
  <si>
    <t>Ali Ahmed Heshmat Soliman</t>
  </si>
  <si>
    <t>Mostafa.Elkholy</t>
  </si>
  <si>
    <t>Mostafa Magdy Mahmoud Mostafa Elkholy</t>
  </si>
  <si>
    <t>Mohamed.AAbdelghafar</t>
  </si>
  <si>
    <t>Mohamed Atef Mohamed Abdelghafar</t>
  </si>
  <si>
    <t>Nesma.Abdelatty</t>
  </si>
  <si>
    <t>Nesma Adel Abdelatty Madboly</t>
  </si>
  <si>
    <t>Omar.Elgamal</t>
  </si>
  <si>
    <t>Omar Yasser Mohamed Mabrook Elgamal</t>
  </si>
  <si>
    <t>Ahmed.Gzaki</t>
  </si>
  <si>
    <t>Ahmed Gamal Zaki Ali</t>
  </si>
  <si>
    <t>KHALED.MOWAFEK</t>
  </si>
  <si>
    <t>Khaled Mahmoud Mohamed Mowafek</t>
  </si>
  <si>
    <t>maher.eshak</t>
  </si>
  <si>
    <t>Maher Isaac Zaki Rezq</t>
  </si>
  <si>
    <t>Amr MSaad</t>
  </si>
  <si>
    <t>Ahmed.Khalled</t>
  </si>
  <si>
    <t>Ahmed Khalled Abdallah Mustafa</t>
  </si>
  <si>
    <t>Zakria.Sedrak</t>
  </si>
  <si>
    <t xml:space="preserve">Zakria Shamshon Mahfoz Sedrak </t>
  </si>
  <si>
    <t>AbdelRahman.Kamal</t>
  </si>
  <si>
    <t>Abdelrahman Ibrahim Mostafa Kamal</t>
  </si>
  <si>
    <t>Mohamed.MMEAli</t>
  </si>
  <si>
    <t>Mohamed Mahmoud Mohamed Elsayed Ali</t>
  </si>
  <si>
    <t>Reewan.Mohamed</t>
  </si>
  <si>
    <t>Reewan Mohamed Ashraf Mohamed Elsherbiny Ali</t>
  </si>
  <si>
    <t>Abdelhamid.Hahmed</t>
  </si>
  <si>
    <t>Abdelhamid Hassan Abdelhamid Ahmed</t>
  </si>
  <si>
    <t>Ahmad.Maly</t>
  </si>
  <si>
    <t>Ahmed Mohamed Ahmed Aly Ahmed</t>
  </si>
  <si>
    <t>Sayed.Abdelkader</t>
  </si>
  <si>
    <t>Sayed Mohamed Sayed Mohamed Abdelkader</t>
  </si>
  <si>
    <t>Hossam.Rawyan</t>
  </si>
  <si>
    <t>Hossam Rawyan Saleh Khadrawy</t>
  </si>
  <si>
    <t>Ibrahim.EShehata</t>
  </si>
  <si>
    <t>Ibrahim ElSayed Ahmed Shehata</t>
  </si>
  <si>
    <t>Omar.Qamsan</t>
  </si>
  <si>
    <t>Omar Khaled Qamssan Saleh</t>
  </si>
  <si>
    <t>Ahmed.MKElsayd</t>
  </si>
  <si>
    <t>Ahmed Mohamed Khalaf Elsayed</t>
  </si>
  <si>
    <t>Mohamed.MMetwaly</t>
  </si>
  <si>
    <t>Mohamed Mahfouz Ahmed Metwaly</t>
  </si>
  <si>
    <t>Abdallah.Abdelmohsen</t>
  </si>
  <si>
    <t>Abdallah Khaled Ali Abdelmohsen</t>
  </si>
  <si>
    <t>Alaa.Abdelhakim</t>
  </si>
  <si>
    <t>Alaa Abdelhakim Abdallah Glghonimy</t>
  </si>
  <si>
    <t>Heba.Shaban</t>
  </si>
  <si>
    <t>Heba Shaban Abdelaal Meawad</t>
  </si>
  <si>
    <t>Said.Ibrahim</t>
  </si>
  <si>
    <t>Said Ibrahim Said Ibrahim</t>
  </si>
  <si>
    <t>Sara.Ismail</t>
  </si>
  <si>
    <t>Sara Sayed Abdelaleem Ismail</t>
  </si>
  <si>
    <t>Ahmed.Abir</t>
  </si>
  <si>
    <t>Ahmed Abir Abdelbadeaa Ahmed</t>
  </si>
  <si>
    <t>2nd Month</t>
  </si>
  <si>
    <t>Mostafa.Iibrahim</t>
  </si>
  <si>
    <t>Mostafa Ismael Ibrahim Mohamed</t>
  </si>
  <si>
    <t>Hesham.AAly</t>
  </si>
  <si>
    <t>Hesham Ahmed Mohamed Aly</t>
  </si>
  <si>
    <t>Sama.Saad</t>
  </si>
  <si>
    <t>Sama Alaa Saad Mohamed</t>
  </si>
  <si>
    <t>Toaa.Waleed</t>
  </si>
  <si>
    <t>Toaa Waleed Mohamed Khalil</t>
  </si>
  <si>
    <t>Hussein.MMetwally</t>
  </si>
  <si>
    <t>Hussein Mohamed Metwally Mohamed</t>
  </si>
  <si>
    <t>Mohamed.Mabrook</t>
  </si>
  <si>
    <t>Mohamed Omar Sayed Eissa Mabrook</t>
  </si>
  <si>
    <t>Mahmoud.Alaaeldien</t>
  </si>
  <si>
    <t>Mahmoud Alaaeldien Mahmoud Sadek AboOmar</t>
  </si>
  <si>
    <t>Tarek.Arnos</t>
  </si>
  <si>
    <t>Tarek Arnos Abdelfattah Mohamed</t>
  </si>
  <si>
    <t>Yasmin.Hamdi</t>
  </si>
  <si>
    <t>Yasmin Hamdi Yousef Hegazi Mohamed</t>
  </si>
  <si>
    <t>Amr.Afify</t>
  </si>
  <si>
    <t>Amr Ashraf Ahmed Afify</t>
  </si>
  <si>
    <t>Mahmoud.Adam</t>
  </si>
  <si>
    <t>Mahmoud Sayed Hassan Adam</t>
  </si>
  <si>
    <t>Mohamed.Sshokry</t>
  </si>
  <si>
    <t>Mohamed Shaher Mahmoud Shokry Abdelhameed</t>
  </si>
  <si>
    <t>Ahmed.Mmohamad</t>
  </si>
  <si>
    <t>Ahmed Maher Mohamed Mohamed</t>
  </si>
  <si>
    <t>Dalia.Mali</t>
  </si>
  <si>
    <t>Dalia Mohamed Ali Mohamed Farag</t>
  </si>
  <si>
    <t>Mohamed.Mhassanen</t>
  </si>
  <si>
    <t>Mohamed Mustafa Mohamed Hassanen</t>
  </si>
  <si>
    <t>Ibrahim.Metwally</t>
  </si>
  <si>
    <t>Ibrahim Mohamed Ibrahim Metwally</t>
  </si>
  <si>
    <t>Amr.Bassam</t>
  </si>
  <si>
    <t>Amr Bassam Aboelkheir Oraiba</t>
  </si>
  <si>
    <t>Mona.Yassin</t>
  </si>
  <si>
    <t>Mona Mahmoud Mohamed Yassin Mohamed</t>
  </si>
  <si>
    <t>SalahElden.Ashraf</t>
  </si>
  <si>
    <t>SalahElden Ashraf Mohamed Salem</t>
  </si>
  <si>
    <t>Ahmed.Aabdelmoniem</t>
  </si>
  <si>
    <t>Ahmed Ayman Mohamed Abdelmoniem</t>
  </si>
  <si>
    <t>Mayar.Othman</t>
  </si>
  <si>
    <t>Mayar Fathy Mohamed Ahmed Othman</t>
  </si>
  <si>
    <t>Neven.Reda</t>
  </si>
  <si>
    <t>Neven Reda Mohamed Taha Ibrahim</t>
  </si>
  <si>
    <t>Amira.Ezzat</t>
  </si>
  <si>
    <t>Amira Ezzat Dessoki Mahmoud</t>
  </si>
  <si>
    <t>Eman.Tarek</t>
  </si>
  <si>
    <t>Eman Tarek Shamekh Sayed</t>
  </si>
  <si>
    <t>FatmaElzahraa.Naeem</t>
  </si>
  <si>
    <t>FatmaElzahraa Mahmoud Naeem Sayed Ahmed</t>
  </si>
  <si>
    <t>Mohamed.RSMohamed</t>
  </si>
  <si>
    <t>Mohamed Ramadan Sayed Mohamed</t>
  </si>
  <si>
    <t>Basel.Ahmed</t>
  </si>
  <si>
    <t>Basel Ahmed Abdelhameed Ahmed Awad</t>
  </si>
  <si>
    <t>Rana.Ehab</t>
  </si>
  <si>
    <t>Rana Ehab Kamel Abdelsalam</t>
  </si>
  <si>
    <t>Samar.Amohamed</t>
  </si>
  <si>
    <t>Samar Ahmed Mohamed Abdelfattah</t>
  </si>
  <si>
    <t>Omar.Matloub</t>
  </si>
  <si>
    <t>Omar Abdullah Mahmoud Matloub</t>
  </si>
  <si>
    <t>Gehad.Omar</t>
  </si>
  <si>
    <t>Gehad Omar Abbas Ibrahim Mohamed</t>
  </si>
  <si>
    <t>Tarek.Tharwat</t>
  </si>
  <si>
    <t>Tarek Tharwat Atya Ibrahim Mohamed</t>
  </si>
  <si>
    <t>Mohamed.Alimi</t>
  </si>
  <si>
    <t>Mohamed Adel Mohamed Alimi</t>
  </si>
  <si>
    <t>Mostafa.Msalama</t>
  </si>
  <si>
    <t>Mostafa Mohamed Salama Mohamed</t>
  </si>
  <si>
    <t>Mostafa.SAbdelQader</t>
  </si>
  <si>
    <t>Mostafa Saleh Ahmed AbdelQader</t>
  </si>
  <si>
    <t>Mahmoud.MAbdelNabi</t>
  </si>
  <si>
    <t>Mahmoud Magdy Mohamed AbdelNabi</t>
  </si>
  <si>
    <t>Ibrahim.Rekaby</t>
  </si>
  <si>
    <t>Ibrahim Mahmoud Gad Rekaby</t>
  </si>
  <si>
    <t>Mohamed.Hamden</t>
  </si>
  <si>
    <t>Mohamed Hamden Esmaeil ElAbasy</t>
  </si>
  <si>
    <t>Nancy.Hossamelden</t>
  </si>
  <si>
    <t>Nancy Hossamelden Farouk Abdelsallam</t>
  </si>
  <si>
    <t>Shrouk.Abdelgawad</t>
  </si>
  <si>
    <t>Shrouk Ahmed Abdelgawad Elfaioumy</t>
  </si>
  <si>
    <t>Amira.Mali</t>
  </si>
  <si>
    <t>Amira Mostafa Ali Ahmed Atwa</t>
  </si>
  <si>
    <t>Omar.Abdeldaim</t>
  </si>
  <si>
    <t>Omar Tarek Badr Abdeldaim</t>
  </si>
  <si>
    <t>Ahmed.Mabdelhaq</t>
  </si>
  <si>
    <t>Ahmed Mohamed Ahmed Abdelhaq</t>
  </si>
  <si>
    <t>Abdallah.SMohamed</t>
  </si>
  <si>
    <t>Abdallah Saeed Ali Mohamed</t>
  </si>
  <si>
    <t>Atef.AbdelRehim</t>
  </si>
  <si>
    <t>Atef Hassan AbdelRehim Aly</t>
  </si>
  <si>
    <t>Omar.AbdelHalim</t>
  </si>
  <si>
    <t>Omar Hussien AbdelHalim Ibrahim</t>
  </si>
  <si>
    <t>AbdelRahamn.Mohamed</t>
  </si>
  <si>
    <t>AbdelRahamn Mohamed Ibrahim Mogahed</t>
  </si>
  <si>
    <t>Mahmoud.AMGomaa</t>
  </si>
  <si>
    <t>Mahmoud Ahmed Mahmoud Gomaa</t>
  </si>
  <si>
    <t>Ahmed.SAbdelBaky</t>
  </si>
  <si>
    <t>Ahmed Saeed Eid Aly AbdelBaky</t>
  </si>
  <si>
    <t>Amr.FAboelhassan</t>
  </si>
  <si>
    <t>Amr Fathy Aboelhassan Othman</t>
  </si>
  <si>
    <t>Bassant.Fadl</t>
  </si>
  <si>
    <t>Bassant Mohamed Fadl Mohamed Hassan</t>
  </si>
  <si>
    <t>Mennatullah.Yahia</t>
  </si>
  <si>
    <t>Mennatullah Ahmed Yahia Elemam Helaly</t>
  </si>
  <si>
    <t>Mohamed.MGMohamed</t>
  </si>
  <si>
    <t>Mohamed Mostafa Galal Mohamed</t>
  </si>
  <si>
    <t>Marwa.AFouad</t>
  </si>
  <si>
    <t>Marwa Ashraf Fouad AbdelHamid</t>
  </si>
  <si>
    <t>Abdullah.Haasan</t>
  </si>
  <si>
    <t>Abdullah Mohamed Haasan Kamel</t>
  </si>
  <si>
    <t>Shrouk.Khamis</t>
  </si>
  <si>
    <t>Shrouk Khamis Hassan Qasem</t>
  </si>
  <si>
    <t>Mohamed.NEldin</t>
  </si>
  <si>
    <t>Mohamed Naser Eldin Ahmed Mounir Mohamed</t>
  </si>
  <si>
    <t>Mohammed.Ahasan</t>
  </si>
  <si>
    <t>Mohamed Aly Hassan Ahmed</t>
  </si>
  <si>
    <t>Mostafa.GIAbdelaal</t>
  </si>
  <si>
    <t>Mostafa Gamal Ibrahim Abdelaal</t>
  </si>
  <si>
    <t>Hussien.AbdelMoneam</t>
  </si>
  <si>
    <t>Hussien Gamal AbdelMoneam Aly</t>
  </si>
  <si>
    <t>Mohamed.Ibraheim</t>
  </si>
  <si>
    <t>Mohamed Ibrahim Mohamed Mohamed</t>
  </si>
  <si>
    <t>Sara.Mansour</t>
  </si>
  <si>
    <t>Sara Yasser Sabah Mansour Eid</t>
  </si>
  <si>
    <t>AbdelRahman.Amuhamed</t>
  </si>
  <si>
    <t>AbdelRahman Atef AbdelHamid Mohamed</t>
  </si>
  <si>
    <t>AbdelRahman.GSalim</t>
  </si>
  <si>
    <t>AbdelRahman Gamal Salem Mahmoud</t>
  </si>
  <si>
    <t>Mohamed.Sbadawi</t>
  </si>
  <si>
    <t>Mohamed Sayed Baiomy Badwy</t>
  </si>
  <si>
    <t>Moaaz.Mahmoud</t>
  </si>
  <si>
    <t>Moaaz Mahmoud Basyouni SalahElDin</t>
  </si>
  <si>
    <t>Sarah.Hussien</t>
  </si>
  <si>
    <t>Sarah Mohamed Ali Hussien</t>
  </si>
  <si>
    <t>Sarah.Misheal</t>
  </si>
  <si>
    <t>Sarah Misheal Nagib Khairallah</t>
  </si>
  <si>
    <t>Haidy.Mourad</t>
  </si>
  <si>
    <t>Haidy Mourad Mohamed Mourad</t>
  </si>
  <si>
    <t>Radwa.Seif</t>
  </si>
  <si>
    <t>Radwa Seif Eldeen Abdelfattah Abo elmagd</t>
  </si>
  <si>
    <t>Mohamed.YShaaban</t>
  </si>
  <si>
    <t>Mohamed Younis Shaaban yousef</t>
  </si>
  <si>
    <t>Rowan.Maged</t>
  </si>
  <si>
    <t>Rowan Maged Ahmed Mahrous</t>
  </si>
  <si>
    <t>Mostafa.Abdelkarim</t>
  </si>
  <si>
    <t>Mostafa Abdelkarim Maher Mostafa</t>
  </si>
  <si>
    <t>Amgad.Naseer</t>
  </si>
  <si>
    <t>Amgad Nabil Mohamed Mohamed Naseer</t>
  </si>
  <si>
    <t>Nesma.Saeed</t>
  </si>
  <si>
    <t>Nesma Saeed Ahmed Gad</t>
  </si>
  <si>
    <t>Shehab.Yahia</t>
  </si>
  <si>
    <t>Shehab Yahia Zakaria Ibrahim</t>
  </si>
  <si>
    <t>Mina.Medhat</t>
  </si>
  <si>
    <t>Mina Medhat Rashed Nosy</t>
  </si>
  <si>
    <t>Mohamed.AEAbdelghany</t>
  </si>
  <si>
    <t>Mohamed Ashraf Elsayed Abdelghany Mahmoud</t>
  </si>
  <si>
    <t>Mohamed.Ghali</t>
  </si>
  <si>
    <t>Mohamed Nagdy Mohamed AbdelAziz Ghali</t>
  </si>
  <si>
    <t>Mohamed.Hsafwat</t>
  </si>
  <si>
    <t>Mohamed Hisham Mohamed Safwat AbdelKader</t>
  </si>
  <si>
    <t>Ziad.Ramadan</t>
  </si>
  <si>
    <t>Ziad Mohamed Mohamed Ramadan Attia</t>
  </si>
  <si>
    <t>Hassan.Abdelmalik</t>
  </si>
  <si>
    <t>Hassan Sayed Abdelmalik Hassan</t>
  </si>
  <si>
    <t>Ibrahim.Qadri</t>
  </si>
  <si>
    <t>Ibrahim Qadri Mohamed Hassan</t>
  </si>
  <si>
    <t>Ziad.Moneim</t>
  </si>
  <si>
    <t>Ziad Mahmoud Abdel Moneim Mahmoud</t>
  </si>
  <si>
    <t>Abdullah.Farag</t>
  </si>
  <si>
    <t>Abdullah Khaled Abdullah Farag</t>
  </si>
  <si>
    <t>Ahmed.MAGhanem</t>
  </si>
  <si>
    <t>Ahmed Mohamed Ahmed Ghanem ElSayed</t>
  </si>
  <si>
    <t>Ahmed.AFatouh</t>
  </si>
  <si>
    <t>Ahmed Adel Fatouh Abdelhady Awad</t>
  </si>
  <si>
    <t>Ahmed.Shamseldein</t>
  </si>
  <si>
    <t>Ahmed Maged Kamel Shamseldeen</t>
  </si>
  <si>
    <t>Ahmed.YRezk</t>
  </si>
  <si>
    <t>Ahmed Yehia Ahmed Ahmed Rezk</t>
  </si>
  <si>
    <t>Marwa.Ghandour</t>
  </si>
  <si>
    <t>Marwa Saeed Salama Ghandour</t>
  </si>
  <si>
    <t>Kareem.Abdelwahab</t>
  </si>
  <si>
    <t>Kareem Ahmed Saeed Abdelwahab Moustafa Elhlawany</t>
  </si>
  <si>
    <t>Mohammed.SHussein</t>
  </si>
  <si>
    <t>Mohamed Sayed Hussein Sayed</t>
  </si>
  <si>
    <t>Omar.Kelany</t>
  </si>
  <si>
    <t>Omar Ismaiel Mohamed Kelany</t>
  </si>
  <si>
    <t>Abdullah.Bayoumy</t>
  </si>
  <si>
    <t>Abdullah Mohamed Bayoumy Hassan</t>
  </si>
  <si>
    <t>Hadeer.Thabet</t>
  </si>
  <si>
    <t>Hadeer Salah Thabet Ali</t>
  </si>
  <si>
    <t>Hagar.Hatem</t>
  </si>
  <si>
    <t>Hagar Mohamed Hatem Fouad Dawod</t>
  </si>
  <si>
    <t>Maha.Galal</t>
  </si>
  <si>
    <t>Maha Ahmed Galal Mohamed</t>
  </si>
  <si>
    <t>Mahitab.Ahmed</t>
  </si>
  <si>
    <t>Mahitab Mohamed Ahmed Mohamed Elghatrefy</t>
  </si>
  <si>
    <t>Moaatasem.Gamal</t>
  </si>
  <si>
    <t>Moaatasem Gamal Abdellatef Mosaad</t>
  </si>
  <si>
    <t>Nader.Alaa</t>
  </si>
  <si>
    <t>Nader Alaa Adeeb Gerges</t>
  </si>
  <si>
    <t>Mary.Nashaat</t>
  </si>
  <si>
    <t>Mary Nashaat Shafik Dos</t>
  </si>
  <si>
    <t>Mennatallah.Mohammed</t>
  </si>
  <si>
    <t>Mennatallah Mohamed Abdelfattah Abdelrheem</t>
  </si>
  <si>
    <t>Nourhan.Soliman</t>
  </si>
  <si>
    <t>Nourhan Ali Hussein Soliman</t>
  </si>
  <si>
    <t>Abdelrahman.Bakr</t>
  </si>
  <si>
    <t>Abdelrahman Bakr Omar Othman</t>
  </si>
  <si>
    <t>Mahmood.Hassan</t>
  </si>
  <si>
    <t>Mahmoud Hassan Farghaly Ali</t>
  </si>
  <si>
    <t>Robert.Danial</t>
  </si>
  <si>
    <t>Robert Danial Yaakoub Bekheet</t>
  </si>
  <si>
    <t>Noura.Karam</t>
  </si>
  <si>
    <t>Noura Karam Tawfeek Hussein Soliman</t>
  </si>
  <si>
    <t>Zeinb.Sayed</t>
  </si>
  <si>
    <t>Zeinb Sayed Ahmed Khalel</t>
  </si>
  <si>
    <t>Ahmed.HFSayed</t>
  </si>
  <si>
    <t>Ahmed Hany Farouk Sayed</t>
  </si>
  <si>
    <t>Mohamed.Kmoustafa</t>
  </si>
  <si>
    <t>Mohamed Kamal Moustafa Hussein</t>
  </si>
  <si>
    <t>Moustafa.Abdellah</t>
  </si>
  <si>
    <t>Moustafa Kamel Moustafa Abdellah</t>
  </si>
  <si>
    <t>Nadia.Youssef</t>
  </si>
  <si>
    <t>Nadia Mohamed Youssef Nafady</t>
  </si>
  <si>
    <t>Rehab.Abdelfattah</t>
  </si>
  <si>
    <t>Rehab Ali Abdelfattah Abdellateef</t>
  </si>
  <si>
    <t>Salma.Abdelkereem</t>
  </si>
  <si>
    <t>Salma Adel Abdelkereem Mohamed</t>
  </si>
  <si>
    <t>Ahmad.Mabdo</t>
  </si>
  <si>
    <t>Ahmed Mohamed Abdo Ali</t>
  </si>
  <si>
    <t>Moustafa.Elsaeed</t>
  </si>
  <si>
    <t>Moustafa Elsaeed Abdelhameed Radwan</t>
  </si>
  <si>
    <t>Aghaby.Alfy</t>
  </si>
  <si>
    <t>Aghaby Alfy Sedrak Fouad</t>
  </si>
  <si>
    <t>Manar.Abdelrady</t>
  </si>
  <si>
    <t>Manar Abdelrady Mahmoud Abdelrady</t>
  </si>
  <si>
    <t>Abanoub.Nashaat</t>
  </si>
  <si>
    <t>Abanoub Nashaat Matta Elyas</t>
  </si>
  <si>
    <t>Abdullah.Abdeen</t>
  </si>
  <si>
    <t>Abdullah Amr Abdeen Abdelhafez</t>
  </si>
  <si>
    <t>Hossam.HMFathy</t>
  </si>
  <si>
    <t>Hossam Hassan Mohamed Fathy</t>
  </si>
  <si>
    <t>Hossam.Kahmed</t>
  </si>
  <si>
    <t>Hossam Khaled Ahmed Mahmoud</t>
  </si>
  <si>
    <t>Nada.Seleem</t>
  </si>
  <si>
    <t>Nada Seleem Mohamed Abdelrahman</t>
  </si>
  <si>
    <t>Rozaleen.Samy</t>
  </si>
  <si>
    <t>Rozaleen Samy Thabet Abdo</t>
  </si>
  <si>
    <t>Fady.Onsy</t>
  </si>
  <si>
    <t>Fady Onsy Youssef Kostandy</t>
  </si>
  <si>
    <t>Mena.Nassef</t>
  </si>
  <si>
    <t>Mena Nassef Aziz Gorgy</t>
  </si>
  <si>
    <t>Mohamed.Nameen</t>
  </si>
  <si>
    <t>Mohamed Nageh Mohamed Ameen</t>
  </si>
  <si>
    <t>Mohammed.Ayman</t>
  </si>
  <si>
    <t>Mohamed Ayman Mohamed Abdelghany</t>
  </si>
  <si>
    <t>Clara.Rashad</t>
  </si>
  <si>
    <t>Karla Rashad Nader Faheem</t>
  </si>
  <si>
    <t>Jessika.Beshoy</t>
  </si>
  <si>
    <t>Jessika Beshoy Gozef Ragheb</t>
  </si>
  <si>
    <t>Kareen.Ehab</t>
  </si>
  <si>
    <t>Kareen Ehab Abdelraaouf Gayed</t>
  </si>
  <si>
    <t>Moustafa.Radwan</t>
  </si>
  <si>
    <t>Moustafa Tarek Moustafa Radwan</t>
  </si>
  <si>
    <t>Eman.HMohamed</t>
  </si>
  <si>
    <t>Eman Hassan Mohamed Mohamed</t>
  </si>
  <si>
    <t>Adam.Ehab</t>
  </si>
  <si>
    <t>Adam Ehab Moustafa Abdelaal Amar</t>
  </si>
  <si>
    <t>Esraa.Seleem</t>
  </si>
  <si>
    <t>Esraa Mahmoud Ahmed Seleem Saad</t>
  </si>
  <si>
    <t>Mohamed.Fmahmood</t>
  </si>
  <si>
    <t>Mohamed Farghaly Mahmoud Mohamed</t>
  </si>
  <si>
    <t>Tasneem.Hisham</t>
  </si>
  <si>
    <t>Tasneem Hisham Ahmed Mahmoud Ahmed Elsadfy</t>
  </si>
  <si>
    <t>Joumana.Magdy</t>
  </si>
  <si>
    <t>Joumana Magdy Ali Saleh</t>
  </si>
  <si>
    <t>Mary.Osama</t>
  </si>
  <si>
    <t>Mary Osama Edwar Armanyos</t>
  </si>
  <si>
    <t>Bassem.Rezk</t>
  </si>
  <si>
    <t>Bassem Rezk Ibrahim Attia</t>
  </si>
  <si>
    <t>Shahenda.Mokhtar</t>
  </si>
  <si>
    <t>Shahenda Mokhtar Fathy Farhan</t>
  </si>
  <si>
    <t>Nourhan.Abdelmwgood</t>
  </si>
  <si>
    <t>Nourhan Mohamed Abdelmwgood Ragab</t>
  </si>
  <si>
    <t>Rania.Moustafa</t>
  </si>
  <si>
    <t>Rania Mahmoud Moustafa Mahmoud</t>
  </si>
  <si>
    <t>Khalefa.Abdelnaby</t>
  </si>
  <si>
    <t>Khalefa Abdelnaby Khalefa Hussein</t>
  </si>
  <si>
    <t>Marian.Medhat</t>
  </si>
  <si>
    <t>Marian Medhat Seleem Gad</t>
  </si>
  <si>
    <t>Beshoy.Hany</t>
  </si>
  <si>
    <t>Beshoy Hany Fakhry Awad</t>
  </si>
  <si>
    <t/>
  </si>
  <si>
    <t>Asmaa .Zaky</t>
  </si>
  <si>
    <t>Hagar .Gamal</t>
  </si>
  <si>
    <t>Ahmad .Sayyed</t>
  </si>
  <si>
    <t>Mohamed .OGamaleldeen</t>
  </si>
  <si>
    <t>Jessika .Adel</t>
  </si>
  <si>
    <t>Ayman .Abdelglel</t>
  </si>
  <si>
    <t>Remon .Noshy</t>
  </si>
  <si>
    <t>Merna .Osama</t>
  </si>
  <si>
    <t>Almoustafa .Ghareeb</t>
  </si>
  <si>
    <t>Romany .Lotfy</t>
  </si>
  <si>
    <t>Rania .HAli</t>
  </si>
  <si>
    <t>Rofida .Ali</t>
  </si>
  <si>
    <t>Shenoda .Botrous</t>
  </si>
  <si>
    <t>Bassant .ASayed</t>
  </si>
  <si>
    <t>Yara .Refaay</t>
  </si>
  <si>
    <t>Hossam .Saber</t>
  </si>
  <si>
    <t>Mahmood .Zakareya</t>
  </si>
  <si>
    <t>Sherif .SMohamed</t>
  </si>
  <si>
    <t>Doaa .MAhmed</t>
  </si>
  <si>
    <t>Eman .Mourad</t>
  </si>
  <si>
    <t>Moaataz .Alaaeldeen</t>
  </si>
  <si>
    <t>Tamer .Ahmed</t>
  </si>
  <si>
    <t>Mennatullah .Mamdouh</t>
  </si>
  <si>
    <t>Rehab .Mahmoud</t>
  </si>
  <si>
    <t>Abdelazeem .Mohamed</t>
  </si>
  <si>
    <t>Mohammed .AMAli</t>
  </si>
  <si>
    <t>Fady .Mohsen</t>
  </si>
  <si>
    <t>Asmaa Mahmoud Zaky Khalel</t>
  </si>
  <si>
    <t>Hagar Gamal Moustafa Abdelah</t>
  </si>
  <si>
    <t>Ahmed Ali Sayed Ahmed</t>
  </si>
  <si>
    <t>Mohamed Osama Mohamed Gamaleldeen Abdelrazek</t>
  </si>
  <si>
    <t>Jessika Adel Abdo Matta</t>
  </si>
  <si>
    <t>Ayman Mohamed Ezzat Moustafa Abdelglel</t>
  </si>
  <si>
    <t xml:space="preserve"> Remon Noshy Eshak Beshay</t>
  </si>
  <si>
    <t>Merna Osama Refaat Gadallah</t>
  </si>
  <si>
    <t>Almoustafa Alaaeldeen Ghareeb Farghaly</t>
  </si>
  <si>
    <t>Romany Lotfy Mahrous Arands</t>
  </si>
  <si>
    <t>Rania Hesham Ali Mohamed</t>
  </si>
  <si>
    <t>Rofida Ali Abdelsalam Khalaf</t>
  </si>
  <si>
    <t>Shenoda Botrous Khalaf Gniedy</t>
  </si>
  <si>
    <t>Bassant Ahmed Sayed Mahmoud</t>
  </si>
  <si>
    <t>Yara Refaay Sobhy Thabet</t>
  </si>
  <si>
    <t>Hossam Mohamed Saber Mohamed</t>
  </si>
  <si>
    <t>Mahmoud Zakaria Mohamed Ibrahim</t>
  </si>
  <si>
    <t>Sherif Salah Mohamed Ibrahim</t>
  </si>
  <si>
    <t>Doaa Mohamed Ahmed Soliman</t>
  </si>
  <si>
    <t>Eman Mohamed Mourad Mohamed</t>
  </si>
  <si>
    <t>Moaataz Alaaeldeen Saleh Abbas</t>
  </si>
  <si>
    <t>Tamer Ahmed Gaber Ahmed</t>
  </si>
  <si>
    <t>Mennatullah Mamdouh Saber Mohamed</t>
  </si>
  <si>
    <t>Rehab Mahmoud Ezzat Zaky</t>
  </si>
  <si>
    <t>Abdelazeem Mohamed Montaser Abdelateef Ahmed</t>
  </si>
  <si>
    <t>Mohamed Ali Mohamed Ali</t>
  </si>
  <si>
    <t>Fady Mohsen</t>
  </si>
  <si>
    <t>MOSTAFA.SHOKRY</t>
  </si>
  <si>
    <t>Asmaa.Zaky</t>
  </si>
  <si>
    <t>Hagar.Gamal</t>
  </si>
  <si>
    <t>Ahmad.Sayyed</t>
  </si>
  <si>
    <t>Mohamed.OGamaleldeen</t>
  </si>
  <si>
    <t>Jessika.Adel</t>
  </si>
  <si>
    <t>Ayman.Abdelglel</t>
  </si>
  <si>
    <t>Remon.Noshy</t>
  </si>
  <si>
    <t>Merna.Osama</t>
  </si>
  <si>
    <t>Almoustafa.Ghareeb</t>
  </si>
  <si>
    <t>Romany.Lotfy</t>
  </si>
  <si>
    <t>Rania.HAli</t>
  </si>
  <si>
    <t>Rofida.Ali</t>
  </si>
  <si>
    <t>Shenoda.Botrous</t>
  </si>
  <si>
    <t>Bassant.ASayed</t>
  </si>
  <si>
    <t>Yara.Refaay</t>
  </si>
  <si>
    <t>Hossam.Saber</t>
  </si>
  <si>
    <t>Mahmood.Zakareya</t>
  </si>
  <si>
    <t>Sherif.SMohamed</t>
  </si>
  <si>
    <t>Doaa.MAhmed</t>
  </si>
  <si>
    <t>Eman.Mourad</t>
  </si>
  <si>
    <t>Moaataz.Alaaeldeen</t>
  </si>
  <si>
    <t>Tamer.Ahmed</t>
  </si>
  <si>
    <t>Mennatullah.Mamdouh</t>
  </si>
  <si>
    <t>Rehab.Mahmoud</t>
  </si>
  <si>
    <t>Abdelazeem.Mohamed</t>
  </si>
  <si>
    <t>Mohammed.AMAli</t>
  </si>
  <si>
    <t>Fady.Mohsen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</si>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</sst>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b/>
      <sz val="11"/>
      <color theme="0"/>
      <name val="Cambria"/>
      <family val="1"/>
    </font>
    <font>
      <b/>
      <sz val="14"/>
      <color theme="0"/>
      <name val="Cambria"/>
      <family val="1"/>
    </font>
    <font>
      <b/>
      <sz val="14"/>
      <color theme="1"/>
      <name val="Cambria"/>
      <family val="1"/>
    </font>
    <font>
      <b/>
      <sz val="11"/>
      <color theme="1" tint="4.9989318521683403E-2"/>
      <name val="Cambri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B0F0"/>
      </left>
      <right/>
      <top/>
      <bottom style="double">
        <color rgb="FF00B0F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4" fontId="4" fillId="5" borderId="6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4" fillId="7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9" fontId="2" fillId="0" borderId="1" xfId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9" fontId="7" fillId="8" borderId="1" xfId="0" applyNumberFormat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6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/>
    </xf>
    <xf numFmtId="0" fontId="3" fillId="0" borderId="1" xfId="1" applyNumberFormat="1" applyFont="1" applyBorder="1" applyAlignment="1">
      <alignment horizontal="center" vertical="center"/>
    </xf>
    <xf numFmtId="9" fontId="4" fillId="4" borderId="1" xfId="0" applyNumberFormat="1" applyFont="1" applyFill="1" applyBorder="1" applyAlignment="1">
      <alignment horizontal="center" vertical="center"/>
    </xf>
    <xf numFmtId="9" fontId="7" fillId="2" borderId="1" xfId="1" applyFont="1" applyFill="1" applyBorder="1" applyAlignment="1">
      <alignment horizontal="center" vertical="center"/>
    </xf>
    <xf numFmtId="9" fontId="7" fillId="2" borderId="1" xfId="0" applyNumberFormat="1" applyFont="1" applyFill="1" applyBorder="1" applyAlignment="1">
      <alignment horizontal="center" vertical="center"/>
    </xf>
    <xf numFmtId="0" fontId="4" fillId="5" borderId="0" xfId="0" pivotButton="1" applyFont="1" applyFill="1" applyAlignment="1">
      <alignment horizontal="center" vertical="center"/>
    </xf>
    <xf numFmtId="0" fontId="4" fillId="5" borderId="7" xfId="0" pivotButton="1" applyFont="1" applyFill="1" applyBorder="1" applyAlignment="1">
      <alignment horizontal="center" vertical="center"/>
    </xf>
    <xf numFmtId="9" fontId="4" fillId="5" borderId="6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9" fontId="4" fillId="5" borderId="6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9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9" fontId="4" fillId="5" borderId="1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54">
    <dxf>
      <fill>
        <patternFill patternType="solid">
          <fgColor rgb="FF0D0D0D"/>
          <bgColor rgb="FF000000"/>
        </patternFill>
      </fill>
    </dxf>
    <dxf>
      <font>
        <b/>
      </font>
    </dxf>
    <dxf>
      <font>
        <b/>
      </font>
    </dxf>
    <dxf>
      <font>
        <b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double">
          <color rgb="FF00B050"/>
        </left>
        <right style="double">
          <color rgb="FF00B050"/>
        </right>
        <top style="double">
          <color rgb="FF00B050"/>
        </top>
        <bottom style="double">
          <color rgb="FF00B050"/>
        </bottom>
        <vertical style="double">
          <color rgb="FF00B050"/>
        </vertical>
        <horizontal style="double">
          <color rgb="FF00B050"/>
        </horizontal>
      </border>
    </dxf>
    <dxf>
      <border>
        <left style="double">
          <color rgb="FF00B050"/>
        </left>
        <right style="double">
          <color rgb="FF00B050"/>
        </right>
        <top style="double">
          <color rgb="FF00B050"/>
        </top>
        <bottom style="double">
          <color rgb="FF00B050"/>
        </bottom>
        <vertical style="double">
          <color rgb="FF00B050"/>
        </vertical>
        <horizontal style="double">
          <color rgb="FF00B050"/>
        </horizontal>
      </border>
    </dxf>
    <dxf>
      <border>
        <left style="double">
          <color rgb="FF00B050"/>
        </left>
        <right style="double">
          <color rgb="FF00B050"/>
        </right>
        <top style="double">
          <color rgb="FF00B050"/>
        </top>
        <bottom style="double">
          <color rgb="FF00B050"/>
        </bottom>
        <vertical style="double">
          <color rgb="FF00B050"/>
        </vertical>
        <horizontal style="double">
          <color rgb="FF00B050"/>
        </horizontal>
      </border>
    </dxf>
    <dxf>
      <fill>
        <patternFill>
          <bgColor theme="9" tint="0.59999389629810485"/>
        </patternFill>
      </fill>
    </dxf>
    <dxf>
      <fill>
        <patternFill>
          <bgColor theme="9" tint="0.59999389629810485"/>
        </patternFill>
      </fill>
    </dxf>
    <dxf>
      <fill>
        <patternFill>
          <bgColor theme="9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border>
        <left style="double">
          <color rgb="FF00B0F0"/>
        </left>
        <right style="double">
          <color rgb="FF00B0F0"/>
        </right>
        <top style="double">
          <color rgb="FF00B0F0"/>
        </top>
        <bottom style="double">
          <color rgb="FF00B0F0"/>
        </bottom>
        <vertical style="double">
          <color rgb="FF00B0F0"/>
        </vertical>
        <horizontal style="double">
          <color rgb="FF00B0F0"/>
        </horizontal>
      </border>
    </dxf>
    <dxf>
      <border>
        <left style="double">
          <color rgb="FF00B0F0"/>
        </left>
        <right style="double">
          <color rgb="FF00B0F0"/>
        </right>
        <top style="double">
          <color rgb="FF00B0F0"/>
        </top>
        <bottom style="double">
          <color rgb="FF00B0F0"/>
        </bottom>
        <vertical style="double">
          <color rgb="FF00B0F0"/>
        </vertical>
        <horizontal style="double">
          <color rgb="FF00B0F0"/>
        </horizontal>
      </border>
    </dxf>
    <dxf>
      <border>
        <left style="double">
          <color rgb="FF00B0F0"/>
        </left>
        <right style="double">
          <color rgb="FF00B0F0"/>
        </right>
        <top style="double">
          <color rgb="FF00B0F0"/>
        </top>
        <bottom style="double">
          <color rgb="FF00B0F0"/>
        </bottom>
        <vertical style="double">
          <color rgb="FF00B0F0"/>
        </vertical>
        <horizontal style="double">
          <color rgb="FF00B0F0"/>
        </horizontal>
      </border>
    </dxf>
    <dxf>
      <border>
        <right style="double">
          <color rgb="FF00B050"/>
        </right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bgColor theme="1" tint="4.9989318521683403E-2"/>
        </patternFill>
      </fill>
    </dxf>
    <dxf>
      <fill>
        <patternFill>
          <bgColor theme="1" tint="4.9989318521683403E-2"/>
        </patternFill>
      </fill>
    </dxf>
    <dxf>
      <font>
        <b/>
      </font>
    </dxf>
    <dxf>
      <font>
        <b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ont>
        <name val="Cambria"/>
        <family val="1"/>
        <scheme val="none"/>
      </font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border>
        <right/>
        <top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0"/>
      </font>
      <fill>
        <patternFill patternType="solid">
          <fgColor indexed="64"/>
          <bgColor theme="1" tint="4.9989318521683403E-2"/>
        </patternFill>
      </fill>
    </dxf>
    <dxf>
      <font>
        <b/>
        <color theme="0"/>
      </font>
      <fill>
        <patternFill patternType="solid">
          <fgColor indexed="64"/>
          <bgColor theme="1" tint="4.9989318521683403E-2"/>
        </patternFill>
      </fill>
    </dxf>
    <dxf>
      <font>
        <b/>
        <color theme="0"/>
      </font>
      <fill>
        <patternFill patternType="solid">
          <fgColor indexed="64"/>
          <bgColor theme="1" tint="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formance/KPI/2025/non%20telcome/Jun/Jun%20Agent%20&amp;%20SV%20-%20Score%20C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 SV"/>
      <sheetName val="Final"/>
      <sheetName val="Abuse Matrix"/>
      <sheetName val="SCH"/>
      <sheetName val="ADH &amp; Conf"/>
      <sheetName val="Exception"/>
      <sheetName val="AHT"/>
      <sheetName val="V3 Report"/>
      <sheetName val="Manual ACW"/>
      <sheetName val="Out"/>
      <sheetName val="QCom"/>
      <sheetName val="Quality"/>
      <sheetName val="Rejection "/>
      <sheetName val="C-SAT"/>
      <sheetName val="FCR"/>
      <sheetName val="Variable"/>
      <sheetName val="Waiving"/>
      <sheetName val="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F4" t="str">
            <v>Agent</v>
          </cell>
        </row>
        <row r="6">
          <cell r="F6" t="str">
            <v>Area</v>
          </cell>
          <cell r="G6" t="str">
            <v>(All)</v>
          </cell>
        </row>
        <row r="8">
          <cell r="F8" t="str">
            <v>Row Labels</v>
          </cell>
          <cell r="G8">
            <v>0.1</v>
          </cell>
          <cell r="H8">
            <v>0.05</v>
          </cell>
          <cell r="I8">
            <v>0.1</v>
          </cell>
        </row>
        <row r="9">
          <cell r="G9" t="str">
            <v>Attitude</v>
          </cell>
          <cell r="H9" t="str">
            <v>Other Complains</v>
          </cell>
          <cell r="I9" t="str">
            <v>Quality Complaint Score</v>
          </cell>
          <cell r="J9" t="str">
            <v>Final Deductions</v>
          </cell>
        </row>
        <row r="10">
          <cell r="F10" t="str">
            <v>(blank)</v>
          </cell>
          <cell r="G10">
            <v>0</v>
          </cell>
          <cell r="H10">
            <v>0</v>
          </cell>
          <cell r="I10">
            <v>0.1</v>
          </cell>
          <cell r="J10">
            <v>0</v>
          </cell>
        </row>
        <row r="11">
          <cell r="F11">
            <v>72647</v>
          </cell>
          <cell r="G11">
            <v>1</v>
          </cell>
          <cell r="H11">
            <v>0</v>
          </cell>
          <cell r="I11">
            <v>0</v>
          </cell>
          <cell r="J11">
            <v>0</v>
          </cell>
        </row>
        <row r="12">
          <cell r="F12" t="str">
            <v>Grand Total</v>
          </cell>
          <cell r="G12">
            <v>0</v>
          </cell>
          <cell r="H12">
            <v>0</v>
          </cell>
          <cell r="I12">
            <v>0.1</v>
          </cell>
          <cell r="J12">
            <v>0</v>
          </cell>
        </row>
        <row r="13">
          <cell r="G13">
            <v>0</v>
          </cell>
          <cell r="H13">
            <v>0</v>
          </cell>
          <cell r="I13">
            <v>0.1</v>
          </cell>
          <cell r="J13">
            <v>0</v>
          </cell>
        </row>
        <row r="14">
          <cell r="G14">
            <v>0</v>
          </cell>
          <cell r="H14">
            <v>0</v>
          </cell>
          <cell r="I14">
            <v>0.1</v>
          </cell>
          <cell r="J14">
            <v>0</v>
          </cell>
        </row>
        <row r="15">
          <cell r="G15">
            <v>0</v>
          </cell>
          <cell r="H15">
            <v>0</v>
          </cell>
          <cell r="I15">
            <v>0.1</v>
          </cell>
          <cell r="J15">
            <v>0</v>
          </cell>
        </row>
      </sheetData>
      <sheetData sheetId="11">
        <row r="1">
          <cell r="A1" t="str">
            <v>Row Labels</v>
          </cell>
          <cell r="B1" t="str">
            <v>QA %</v>
          </cell>
          <cell r="C1" t="str">
            <v>Score</v>
          </cell>
        </row>
        <row r="2">
          <cell r="A2">
            <v>71005</v>
          </cell>
          <cell r="B2">
            <v>0.88</v>
          </cell>
          <cell r="C2">
            <v>0.05</v>
          </cell>
        </row>
        <row r="3">
          <cell r="A3">
            <v>71007</v>
          </cell>
          <cell r="B3">
            <v>0.95499999999999996</v>
          </cell>
          <cell r="C3">
            <v>0.1</v>
          </cell>
        </row>
        <row r="4">
          <cell r="A4">
            <v>71011</v>
          </cell>
          <cell r="B4">
            <v>1</v>
          </cell>
          <cell r="C4">
            <v>0.1</v>
          </cell>
        </row>
        <row r="5">
          <cell r="A5">
            <v>71012</v>
          </cell>
          <cell r="B5">
            <v>0.94</v>
          </cell>
          <cell r="C5">
            <v>0.1</v>
          </cell>
        </row>
        <row r="6">
          <cell r="A6">
            <v>71013</v>
          </cell>
          <cell r="B6">
            <v>0.92500000000000004</v>
          </cell>
          <cell r="C6">
            <v>0.1</v>
          </cell>
        </row>
        <row r="7">
          <cell r="A7">
            <v>71014</v>
          </cell>
          <cell r="B7">
            <v>1</v>
          </cell>
          <cell r="C7">
            <v>0.1</v>
          </cell>
        </row>
        <row r="8">
          <cell r="A8">
            <v>71019</v>
          </cell>
          <cell r="B8">
            <v>1</v>
          </cell>
          <cell r="C8">
            <v>0.1</v>
          </cell>
        </row>
        <row r="9">
          <cell r="A9">
            <v>71020</v>
          </cell>
          <cell r="B9">
            <v>1</v>
          </cell>
          <cell r="C9">
            <v>0.1</v>
          </cell>
        </row>
        <row r="10">
          <cell r="A10">
            <v>71022</v>
          </cell>
          <cell r="B10">
            <v>0.91500000000000004</v>
          </cell>
          <cell r="C10">
            <v>0.1</v>
          </cell>
        </row>
        <row r="11">
          <cell r="A11">
            <v>71023</v>
          </cell>
          <cell r="B11">
            <v>0.97499999999999998</v>
          </cell>
          <cell r="C11">
            <v>0.1</v>
          </cell>
        </row>
        <row r="12">
          <cell r="A12">
            <v>71032</v>
          </cell>
          <cell r="B12">
            <v>0.73</v>
          </cell>
          <cell r="C12">
            <v>0</v>
          </cell>
        </row>
        <row r="13">
          <cell r="A13">
            <v>71033</v>
          </cell>
          <cell r="B13">
            <v>0.89999999999999991</v>
          </cell>
          <cell r="C13">
            <v>0.1</v>
          </cell>
        </row>
        <row r="14">
          <cell r="A14">
            <v>71034</v>
          </cell>
          <cell r="B14">
            <v>0.86499999999999999</v>
          </cell>
          <cell r="C14">
            <v>0.05</v>
          </cell>
        </row>
        <row r="15">
          <cell r="A15">
            <v>71039</v>
          </cell>
          <cell r="B15">
            <v>1</v>
          </cell>
          <cell r="C15">
            <v>0.1</v>
          </cell>
        </row>
        <row r="16">
          <cell r="A16">
            <v>71041</v>
          </cell>
          <cell r="B16">
            <v>0.89999999999999991</v>
          </cell>
          <cell r="C16">
            <v>0.1</v>
          </cell>
        </row>
        <row r="17">
          <cell r="A17">
            <v>71044</v>
          </cell>
          <cell r="B17">
            <v>1</v>
          </cell>
          <cell r="C17">
            <v>0.1</v>
          </cell>
        </row>
        <row r="18">
          <cell r="A18">
            <v>71045</v>
          </cell>
          <cell r="B18">
            <v>0.87</v>
          </cell>
          <cell r="C18">
            <v>0.05</v>
          </cell>
        </row>
        <row r="19">
          <cell r="A19">
            <v>71046</v>
          </cell>
          <cell r="B19">
            <v>1</v>
          </cell>
          <cell r="C19">
            <v>0.1</v>
          </cell>
        </row>
        <row r="20">
          <cell r="A20">
            <v>71048</v>
          </cell>
          <cell r="B20">
            <v>1</v>
          </cell>
          <cell r="C20">
            <v>0.1</v>
          </cell>
        </row>
        <row r="21">
          <cell r="A21">
            <v>71049</v>
          </cell>
          <cell r="B21">
            <v>1</v>
          </cell>
          <cell r="C21">
            <v>0.1</v>
          </cell>
        </row>
        <row r="22">
          <cell r="A22">
            <v>71050</v>
          </cell>
          <cell r="B22">
            <v>0.97499999999999998</v>
          </cell>
          <cell r="C22">
            <v>0.1</v>
          </cell>
        </row>
        <row r="23">
          <cell r="A23">
            <v>71052</v>
          </cell>
          <cell r="B23">
            <v>0.85</v>
          </cell>
          <cell r="C23">
            <v>0.05</v>
          </cell>
        </row>
        <row r="24">
          <cell r="A24">
            <v>71055</v>
          </cell>
          <cell r="B24">
            <v>0.82499999999999996</v>
          </cell>
          <cell r="C24">
            <v>0.05</v>
          </cell>
        </row>
        <row r="25">
          <cell r="A25">
            <v>71057</v>
          </cell>
          <cell r="B25">
            <v>0.83000000000000007</v>
          </cell>
          <cell r="C25">
            <v>0.05</v>
          </cell>
        </row>
        <row r="26">
          <cell r="A26">
            <v>71058</v>
          </cell>
          <cell r="B26">
            <v>0.875</v>
          </cell>
          <cell r="C26">
            <v>0.05</v>
          </cell>
        </row>
        <row r="27">
          <cell r="A27">
            <v>71059</v>
          </cell>
          <cell r="B27">
            <v>1</v>
          </cell>
          <cell r="C27">
            <v>0.1</v>
          </cell>
        </row>
        <row r="28">
          <cell r="A28">
            <v>71060</v>
          </cell>
          <cell r="B28">
            <v>0.95</v>
          </cell>
          <cell r="C28">
            <v>0.1</v>
          </cell>
        </row>
        <row r="29">
          <cell r="A29">
            <v>71062</v>
          </cell>
          <cell r="B29">
            <v>1</v>
          </cell>
          <cell r="C29">
            <v>0.1</v>
          </cell>
        </row>
        <row r="30">
          <cell r="A30">
            <v>71066</v>
          </cell>
          <cell r="B30">
            <v>0.92500000000000004</v>
          </cell>
          <cell r="C30">
            <v>0.1</v>
          </cell>
        </row>
        <row r="31">
          <cell r="A31">
            <v>71067</v>
          </cell>
          <cell r="B31">
            <v>0.95</v>
          </cell>
          <cell r="C31">
            <v>0.1</v>
          </cell>
        </row>
        <row r="32">
          <cell r="A32">
            <v>71068</v>
          </cell>
          <cell r="B32">
            <v>0</v>
          </cell>
          <cell r="C32">
            <v>0</v>
          </cell>
        </row>
        <row r="33">
          <cell r="A33">
            <v>71071</v>
          </cell>
          <cell r="B33">
            <v>0.88500000000000001</v>
          </cell>
          <cell r="C33">
            <v>0.05</v>
          </cell>
        </row>
        <row r="34">
          <cell r="A34">
            <v>71072</v>
          </cell>
          <cell r="B34">
            <v>0.82000000000000006</v>
          </cell>
          <cell r="C34">
            <v>0.05</v>
          </cell>
        </row>
        <row r="35">
          <cell r="A35">
            <v>71073</v>
          </cell>
          <cell r="B35">
            <v>0.92500000000000004</v>
          </cell>
          <cell r="C35">
            <v>0.1</v>
          </cell>
        </row>
        <row r="36">
          <cell r="A36">
            <v>71074</v>
          </cell>
          <cell r="B36">
            <v>1</v>
          </cell>
          <cell r="C36">
            <v>0.1</v>
          </cell>
        </row>
        <row r="37">
          <cell r="A37">
            <v>71075</v>
          </cell>
          <cell r="B37">
            <v>0.97499999999999998</v>
          </cell>
          <cell r="C37">
            <v>0.1</v>
          </cell>
        </row>
        <row r="38">
          <cell r="A38">
            <v>71076</v>
          </cell>
          <cell r="B38">
            <v>0.88500000000000001</v>
          </cell>
          <cell r="C38">
            <v>0.05</v>
          </cell>
        </row>
        <row r="39">
          <cell r="A39">
            <v>71077</v>
          </cell>
          <cell r="B39">
            <v>0.85</v>
          </cell>
          <cell r="C39">
            <v>0.05</v>
          </cell>
        </row>
        <row r="40">
          <cell r="A40">
            <v>71082</v>
          </cell>
          <cell r="B40">
            <v>0.6</v>
          </cell>
          <cell r="C40">
            <v>0</v>
          </cell>
        </row>
        <row r="41">
          <cell r="A41">
            <v>71084</v>
          </cell>
          <cell r="B41">
            <v>1</v>
          </cell>
          <cell r="C41">
            <v>0.1</v>
          </cell>
        </row>
        <row r="42">
          <cell r="A42">
            <v>71085</v>
          </cell>
          <cell r="B42">
            <v>0.84499999999999997</v>
          </cell>
          <cell r="C42">
            <v>0.05</v>
          </cell>
        </row>
        <row r="43">
          <cell r="A43">
            <v>71090</v>
          </cell>
          <cell r="B43">
            <v>1</v>
          </cell>
          <cell r="C43">
            <v>0.1</v>
          </cell>
        </row>
        <row r="44">
          <cell r="A44">
            <v>71091</v>
          </cell>
          <cell r="B44">
            <v>0.88</v>
          </cell>
          <cell r="C44">
            <v>0.05</v>
          </cell>
        </row>
        <row r="45">
          <cell r="A45">
            <v>71093</v>
          </cell>
          <cell r="B45">
            <v>0.45</v>
          </cell>
          <cell r="C45">
            <v>0</v>
          </cell>
        </row>
        <row r="46">
          <cell r="A46">
            <v>71094</v>
          </cell>
          <cell r="B46">
            <v>1</v>
          </cell>
          <cell r="C46">
            <v>0.1</v>
          </cell>
        </row>
        <row r="47">
          <cell r="A47">
            <v>71099</v>
          </cell>
          <cell r="B47">
            <v>0.875</v>
          </cell>
          <cell r="C47">
            <v>0.05</v>
          </cell>
        </row>
        <row r="48">
          <cell r="A48">
            <v>71100</v>
          </cell>
          <cell r="B48">
            <v>0.82499999999999996</v>
          </cell>
          <cell r="C48">
            <v>0.05</v>
          </cell>
        </row>
        <row r="49">
          <cell r="A49">
            <v>71105</v>
          </cell>
          <cell r="B49">
            <v>0.95</v>
          </cell>
          <cell r="C49">
            <v>0.1</v>
          </cell>
        </row>
        <row r="50">
          <cell r="A50">
            <v>71107</v>
          </cell>
          <cell r="B50">
            <v>0.35</v>
          </cell>
          <cell r="C50">
            <v>0</v>
          </cell>
        </row>
        <row r="51">
          <cell r="A51">
            <v>71110</v>
          </cell>
          <cell r="B51">
            <v>0.97499999999999998</v>
          </cell>
          <cell r="C51">
            <v>0.1</v>
          </cell>
        </row>
        <row r="52">
          <cell r="A52">
            <v>71112</v>
          </cell>
          <cell r="B52">
            <v>0.92500000000000004</v>
          </cell>
          <cell r="C52">
            <v>0.1</v>
          </cell>
        </row>
        <row r="53">
          <cell r="A53">
            <v>71114</v>
          </cell>
          <cell r="B53">
            <v>0.75</v>
          </cell>
          <cell r="C53">
            <v>0</v>
          </cell>
        </row>
        <row r="54">
          <cell r="A54">
            <v>71115</v>
          </cell>
          <cell r="B54">
            <v>0.42499999999999999</v>
          </cell>
          <cell r="C54">
            <v>0</v>
          </cell>
        </row>
        <row r="55">
          <cell r="A55">
            <v>71117</v>
          </cell>
          <cell r="B55">
            <v>0.77</v>
          </cell>
          <cell r="C55">
            <v>0</v>
          </cell>
        </row>
        <row r="56">
          <cell r="A56">
            <v>71118</v>
          </cell>
          <cell r="B56">
            <v>1</v>
          </cell>
          <cell r="C56">
            <v>0.1</v>
          </cell>
        </row>
        <row r="57">
          <cell r="A57">
            <v>71119</v>
          </cell>
          <cell r="B57">
            <v>0.77500000000000002</v>
          </cell>
          <cell r="C57">
            <v>0</v>
          </cell>
        </row>
        <row r="58">
          <cell r="A58">
            <v>71120</v>
          </cell>
          <cell r="B58">
            <v>0.875</v>
          </cell>
          <cell r="C58">
            <v>0.05</v>
          </cell>
        </row>
        <row r="59">
          <cell r="A59">
            <v>71121</v>
          </cell>
          <cell r="B59">
            <v>0.8666666666666667</v>
          </cell>
          <cell r="C59">
            <v>0.05</v>
          </cell>
        </row>
        <row r="60">
          <cell r="A60">
            <v>71123</v>
          </cell>
          <cell r="B60">
            <v>1</v>
          </cell>
          <cell r="C60">
            <v>0.1</v>
          </cell>
        </row>
        <row r="61">
          <cell r="A61">
            <v>71125</v>
          </cell>
          <cell r="B61">
            <v>0.36499999999999999</v>
          </cell>
          <cell r="C61">
            <v>0</v>
          </cell>
        </row>
        <row r="62">
          <cell r="A62">
            <v>71127</v>
          </cell>
          <cell r="B62">
            <v>0.81499999999999995</v>
          </cell>
          <cell r="C62">
            <v>0.05</v>
          </cell>
        </row>
        <row r="63">
          <cell r="A63">
            <v>71129</v>
          </cell>
          <cell r="B63">
            <v>0.87</v>
          </cell>
          <cell r="C63">
            <v>0.05</v>
          </cell>
        </row>
        <row r="64">
          <cell r="A64">
            <v>71131</v>
          </cell>
          <cell r="B64">
            <v>1</v>
          </cell>
          <cell r="C64">
            <v>0.1</v>
          </cell>
        </row>
        <row r="65">
          <cell r="A65">
            <v>71132</v>
          </cell>
          <cell r="B65">
            <v>0.82499999999999996</v>
          </cell>
          <cell r="C65">
            <v>0.05</v>
          </cell>
        </row>
        <row r="66">
          <cell r="A66">
            <v>71134</v>
          </cell>
          <cell r="B66">
            <v>0.87</v>
          </cell>
          <cell r="C66">
            <v>0.05</v>
          </cell>
        </row>
        <row r="67">
          <cell r="A67">
            <v>71135</v>
          </cell>
          <cell r="B67">
            <v>1</v>
          </cell>
          <cell r="C67">
            <v>0.1</v>
          </cell>
        </row>
        <row r="68">
          <cell r="A68">
            <v>71137</v>
          </cell>
          <cell r="B68">
            <v>0.88</v>
          </cell>
          <cell r="C68">
            <v>0.05</v>
          </cell>
        </row>
        <row r="69">
          <cell r="A69">
            <v>71141</v>
          </cell>
          <cell r="B69">
            <v>0.97499999999999998</v>
          </cell>
          <cell r="C69">
            <v>0.1</v>
          </cell>
        </row>
        <row r="70">
          <cell r="A70">
            <v>71142</v>
          </cell>
          <cell r="B70">
            <v>1</v>
          </cell>
          <cell r="C70">
            <v>0.1</v>
          </cell>
        </row>
        <row r="71">
          <cell r="A71">
            <v>71143</v>
          </cell>
          <cell r="B71">
            <v>0.875</v>
          </cell>
          <cell r="C71">
            <v>0.05</v>
          </cell>
        </row>
        <row r="72">
          <cell r="A72">
            <v>71144</v>
          </cell>
          <cell r="B72">
            <v>0.92500000000000004</v>
          </cell>
          <cell r="C72">
            <v>0.1</v>
          </cell>
        </row>
        <row r="73">
          <cell r="A73">
            <v>71146</v>
          </cell>
          <cell r="B73">
            <v>0.90666666666666673</v>
          </cell>
          <cell r="C73">
            <v>0.1</v>
          </cell>
        </row>
        <row r="74">
          <cell r="A74">
            <v>71147</v>
          </cell>
          <cell r="B74">
            <v>0.82000000000000006</v>
          </cell>
          <cell r="C74">
            <v>0.05</v>
          </cell>
        </row>
        <row r="75">
          <cell r="A75">
            <v>71154</v>
          </cell>
          <cell r="B75">
            <v>0.35</v>
          </cell>
          <cell r="C75">
            <v>0</v>
          </cell>
        </row>
        <row r="76">
          <cell r="A76">
            <v>71155</v>
          </cell>
          <cell r="B76">
            <v>0.875</v>
          </cell>
          <cell r="C76">
            <v>0.05</v>
          </cell>
        </row>
        <row r="77">
          <cell r="A77">
            <v>71158</v>
          </cell>
          <cell r="B77">
            <v>0.8</v>
          </cell>
          <cell r="C77">
            <v>0.05</v>
          </cell>
        </row>
        <row r="78">
          <cell r="A78">
            <v>71159</v>
          </cell>
          <cell r="B78">
            <v>1</v>
          </cell>
          <cell r="C78">
            <v>0.1</v>
          </cell>
        </row>
        <row r="79">
          <cell r="A79">
            <v>71161</v>
          </cell>
          <cell r="B79">
            <v>1</v>
          </cell>
          <cell r="C79">
            <v>0.1</v>
          </cell>
        </row>
        <row r="80">
          <cell r="A80">
            <v>71162</v>
          </cell>
          <cell r="B80">
            <v>0.88666666666666671</v>
          </cell>
          <cell r="C80">
            <v>0.05</v>
          </cell>
        </row>
        <row r="81">
          <cell r="A81">
            <v>71163</v>
          </cell>
          <cell r="B81">
            <v>0.9</v>
          </cell>
          <cell r="C81">
            <v>0.1</v>
          </cell>
        </row>
        <row r="82">
          <cell r="A82">
            <v>71165</v>
          </cell>
          <cell r="B82">
            <v>0.92500000000000004</v>
          </cell>
          <cell r="C82">
            <v>0.1</v>
          </cell>
        </row>
        <row r="83">
          <cell r="A83">
            <v>71168</v>
          </cell>
          <cell r="B83">
            <v>0.98333333333333339</v>
          </cell>
          <cell r="C83">
            <v>0.1</v>
          </cell>
        </row>
        <row r="84">
          <cell r="A84">
            <v>71169</v>
          </cell>
          <cell r="B84">
            <v>0.89999999999999991</v>
          </cell>
          <cell r="C84">
            <v>0.1</v>
          </cell>
        </row>
        <row r="85">
          <cell r="A85">
            <v>71170</v>
          </cell>
          <cell r="B85">
            <v>0.75</v>
          </cell>
          <cell r="C85">
            <v>0</v>
          </cell>
        </row>
        <row r="86">
          <cell r="A86">
            <v>71171</v>
          </cell>
          <cell r="B86">
            <v>0.98666666666666669</v>
          </cell>
          <cell r="C86">
            <v>0.1</v>
          </cell>
        </row>
        <row r="87">
          <cell r="A87">
            <v>71172</v>
          </cell>
          <cell r="B87">
            <v>0.81333333333333335</v>
          </cell>
          <cell r="C87">
            <v>0.05</v>
          </cell>
        </row>
        <row r="88">
          <cell r="A88">
            <v>71179</v>
          </cell>
          <cell r="B88">
            <v>0.9</v>
          </cell>
          <cell r="C88">
            <v>0.1</v>
          </cell>
        </row>
        <row r="89">
          <cell r="A89">
            <v>71180</v>
          </cell>
          <cell r="B89">
            <v>0.93333333333333324</v>
          </cell>
          <cell r="C89">
            <v>0.1</v>
          </cell>
        </row>
        <row r="90">
          <cell r="A90">
            <v>71181</v>
          </cell>
          <cell r="B90">
            <v>0.875</v>
          </cell>
          <cell r="C90">
            <v>0.05</v>
          </cell>
        </row>
        <row r="91">
          <cell r="A91">
            <v>71182</v>
          </cell>
          <cell r="B91">
            <v>0.93666666666666665</v>
          </cell>
          <cell r="C91">
            <v>0.1</v>
          </cell>
        </row>
        <row r="92">
          <cell r="A92">
            <v>71184</v>
          </cell>
          <cell r="B92">
            <v>0.86499999999999999</v>
          </cell>
          <cell r="C92">
            <v>0.05</v>
          </cell>
        </row>
        <row r="93">
          <cell r="A93">
            <v>71185</v>
          </cell>
          <cell r="B93">
            <v>0.42499999999999999</v>
          </cell>
          <cell r="C93">
            <v>0</v>
          </cell>
        </row>
        <row r="94">
          <cell r="A94">
            <v>71187</v>
          </cell>
          <cell r="B94">
            <v>0.9</v>
          </cell>
          <cell r="C94">
            <v>0.1</v>
          </cell>
        </row>
        <row r="95">
          <cell r="A95">
            <v>71190</v>
          </cell>
          <cell r="B95">
            <v>0</v>
          </cell>
          <cell r="C95">
            <v>0</v>
          </cell>
        </row>
        <row r="96">
          <cell r="A96">
            <v>71191</v>
          </cell>
          <cell r="B96">
            <v>0.875</v>
          </cell>
          <cell r="C96">
            <v>0.05</v>
          </cell>
        </row>
        <row r="97">
          <cell r="A97">
            <v>71197</v>
          </cell>
          <cell r="B97">
            <v>0.97499999999999998</v>
          </cell>
          <cell r="C97">
            <v>0.1</v>
          </cell>
        </row>
        <row r="98">
          <cell r="A98">
            <v>71205</v>
          </cell>
          <cell r="B98">
            <v>0.54999999999999993</v>
          </cell>
          <cell r="C98">
            <v>0</v>
          </cell>
        </row>
        <row r="99">
          <cell r="A99">
            <v>71211</v>
          </cell>
          <cell r="B99">
            <v>0.97499999999999998</v>
          </cell>
          <cell r="C99">
            <v>0.1</v>
          </cell>
        </row>
        <row r="100">
          <cell r="A100">
            <v>71213</v>
          </cell>
          <cell r="B100">
            <v>0.92500000000000004</v>
          </cell>
          <cell r="C100">
            <v>0.1</v>
          </cell>
        </row>
        <row r="101">
          <cell r="A101">
            <v>71215</v>
          </cell>
          <cell r="B101">
            <v>0.89</v>
          </cell>
          <cell r="C101">
            <v>0.05</v>
          </cell>
        </row>
        <row r="102">
          <cell r="A102">
            <v>71217</v>
          </cell>
          <cell r="B102">
            <v>0.85</v>
          </cell>
          <cell r="C102">
            <v>0.05</v>
          </cell>
        </row>
        <row r="103">
          <cell r="A103">
            <v>71219</v>
          </cell>
          <cell r="B103">
            <v>1</v>
          </cell>
          <cell r="C103">
            <v>0.1</v>
          </cell>
        </row>
        <row r="104">
          <cell r="A104">
            <v>71221</v>
          </cell>
          <cell r="B104">
            <v>0.86</v>
          </cell>
          <cell r="C104">
            <v>0.05</v>
          </cell>
        </row>
        <row r="105">
          <cell r="A105">
            <v>71225</v>
          </cell>
          <cell r="B105">
            <v>0.96666666666666667</v>
          </cell>
          <cell r="C105">
            <v>0.1</v>
          </cell>
        </row>
        <row r="106">
          <cell r="A106">
            <v>71229</v>
          </cell>
          <cell r="B106">
            <v>0.42499999999999999</v>
          </cell>
          <cell r="C106">
            <v>0</v>
          </cell>
        </row>
        <row r="107">
          <cell r="A107">
            <v>71237</v>
          </cell>
          <cell r="B107">
            <v>0.83499999999999996</v>
          </cell>
          <cell r="C107">
            <v>0.05</v>
          </cell>
        </row>
        <row r="108">
          <cell r="A108">
            <v>71238</v>
          </cell>
          <cell r="B108">
            <v>0.83333333333333337</v>
          </cell>
          <cell r="C108">
            <v>0.05</v>
          </cell>
        </row>
        <row r="109">
          <cell r="A109">
            <v>71239</v>
          </cell>
          <cell r="B109">
            <v>0.95</v>
          </cell>
          <cell r="C109">
            <v>0.1</v>
          </cell>
        </row>
        <row r="110">
          <cell r="A110">
            <v>71243</v>
          </cell>
          <cell r="B110">
            <v>0.89999999999999991</v>
          </cell>
          <cell r="C110">
            <v>0.1</v>
          </cell>
        </row>
        <row r="111">
          <cell r="A111">
            <v>71245</v>
          </cell>
          <cell r="B111">
            <v>0.45</v>
          </cell>
          <cell r="C111">
            <v>0</v>
          </cell>
        </row>
        <row r="112">
          <cell r="A112">
            <v>71247</v>
          </cell>
          <cell r="B112">
            <v>0.47499999999999998</v>
          </cell>
          <cell r="C112">
            <v>0</v>
          </cell>
        </row>
        <row r="113">
          <cell r="A113">
            <v>71248</v>
          </cell>
          <cell r="B113">
            <v>0.875</v>
          </cell>
          <cell r="C113">
            <v>0.05</v>
          </cell>
        </row>
        <row r="114">
          <cell r="A114">
            <v>71249</v>
          </cell>
          <cell r="B114">
            <v>0.95333333333333325</v>
          </cell>
          <cell r="C114">
            <v>0.1</v>
          </cell>
        </row>
        <row r="115">
          <cell r="A115">
            <v>71257</v>
          </cell>
          <cell r="B115">
            <v>0.92500000000000004</v>
          </cell>
          <cell r="C115">
            <v>0.1</v>
          </cell>
        </row>
        <row r="116">
          <cell r="A116">
            <v>71258</v>
          </cell>
          <cell r="B116">
            <v>0.82499999999999996</v>
          </cell>
          <cell r="C116">
            <v>0.05</v>
          </cell>
        </row>
        <row r="117">
          <cell r="A117">
            <v>71260</v>
          </cell>
          <cell r="B117">
            <v>1</v>
          </cell>
          <cell r="C117">
            <v>0.1</v>
          </cell>
        </row>
        <row r="118">
          <cell r="A118">
            <v>71262</v>
          </cell>
          <cell r="B118">
            <v>0.90333333333333332</v>
          </cell>
          <cell r="C118">
            <v>0.1</v>
          </cell>
        </row>
        <row r="119">
          <cell r="A119">
            <v>71264</v>
          </cell>
          <cell r="B119">
            <v>0.77499999999999991</v>
          </cell>
          <cell r="C119">
            <v>0</v>
          </cell>
        </row>
        <row r="120">
          <cell r="A120">
            <v>71267</v>
          </cell>
          <cell r="B120">
            <v>1</v>
          </cell>
          <cell r="C120">
            <v>0.1</v>
          </cell>
        </row>
        <row r="121">
          <cell r="A121">
            <v>71268</v>
          </cell>
          <cell r="B121">
            <v>0.85</v>
          </cell>
          <cell r="C121">
            <v>0.05</v>
          </cell>
        </row>
        <row r="122">
          <cell r="A122">
            <v>71269</v>
          </cell>
          <cell r="B122">
            <v>1</v>
          </cell>
          <cell r="C122">
            <v>0.1</v>
          </cell>
        </row>
        <row r="123">
          <cell r="A123">
            <v>71271</v>
          </cell>
          <cell r="B123">
            <v>1</v>
          </cell>
          <cell r="C123">
            <v>0.1</v>
          </cell>
        </row>
        <row r="124">
          <cell r="A124">
            <v>71272</v>
          </cell>
          <cell r="B124">
            <v>0.82499999999999996</v>
          </cell>
          <cell r="C124">
            <v>0.05</v>
          </cell>
        </row>
        <row r="125">
          <cell r="A125">
            <v>71278</v>
          </cell>
          <cell r="B125">
            <v>0.42499999999999999</v>
          </cell>
          <cell r="C125">
            <v>0</v>
          </cell>
        </row>
        <row r="126">
          <cell r="A126">
            <v>71279</v>
          </cell>
          <cell r="B126">
            <v>0.82499999999999996</v>
          </cell>
          <cell r="C126">
            <v>0.05</v>
          </cell>
        </row>
        <row r="127">
          <cell r="A127">
            <v>71280</v>
          </cell>
          <cell r="B127">
            <v>1</v>
          </cell>
          <cell r="C127">
            <v>0.1</v>
          </cell>
        </row>
        <row r="128">
          <cell r="A128">
            <v>71281</v>
          </cell>
          <cell r="B128">
            <v>0</v>
          </cell>
          <cell r="C128">
            <v>0</v>
          </cell>
        </row>
        <row r="129">
          <cell r="A129">
            <v>71282</v>
          </cell>
          <cell r="B129">
            <v>0.80499999999999994</v>
          </cell>
          <cell r="C129">
            <v>0.05</v>
          </cell>
        </row>
        <row r="130">
          <cell r="A130">
            <v>71286</v>
          </cell>
          <cell r="B130">
            <v>1</v>
          </cell>
          <cell r="C130">
            <v>0.1</v>
          </cell>
        </row>
        <row r="131">
          <cell r="A131">
            <v>71287</v>
          </cell>
          <cell r="B131">
            <v>1</v>
          </cell>
          <cell r="C131">
            <v>0.1</v>
          </cell>
        </row>
        <row r="132">
          <cell r="A132">
            <v>71288</v>
          </cell>
          <cell r="B132">
            <v>0.8833333333333333</v>
          </cell>
          <cell r="C132">
            <v>0.05</v>
          </cell>
        </row>
        <row r="133">
          <cell r="A133">
            <v>71291</v>
          </cell>
          <cell r="B133">
            <v>1</v>
          </cell>
          <cell r="C133">
            <v>0.1</v>
          </cell>
        </row>
        <row r="134">
          <cell r="A134">
            <v>71294</v>
          </cell>
          <cell r="B134">
            <v>1</v>
          </cell>
          <cell r="C134">
            <v>0.1</v>
          </cell>
        </row>
        <row r="135">
          <cell r="A135">
            <v>71297</v>
          </cell>
          <cell r="B135">
            <v>1</v>
          </cell>
          <cell r="C135">
            <v>0.1</v>
          </cell>
        </row>
        <row r="136">
          <cell r="A136">
            <v>71299</v>
          </cell>
          <cell r="B136">
            <v>1</v>
          </cell>
          <cell r="C136">
            <v>0.1</v>
          </cell>
        </row>
        <row r="137">
          <cell r="A137">
            <v>71300</v>
          </cell>
          <cell r="B137">
            <v>0.82499999999999996</v>
          </cell>
          <cell r="C137">
            <v>0.05</v>
          </cell>
        </row>
        <row r="138">
          <cell r="A138">
            <v>71303</v>
          </cell>
          <cell r="B138">
            <v>0.95</v>
          </cell>
          <cell r="C138">
            <v>0.1</v>
          </cell>
        </row>
        <row r="139">
          <cell r="A139">
            <v>71306</v>
          </cell>
          <cell r="B139">
            <v>1</v>
          </cell>
          <cell r="C139">
            <v>0.1</v>
          </cell>
        </row>
        <row r="140">
          <cell r="A140">
            <v>71311</v>
          </cell>
          <cell r="B140">
            <v>1</v>
          </cell>
          <cell r="C140">
            <v>0.1</v>
          </cell>
        </row>
        <row r="141">
          <cell r="A141">
            <v>71312</v>
          </cell>
          <cell r="B141">
            <v>1</v>
          </cell>
          <cell r="C141">
            <v>0.1</v>
          </cell>
        </row>
        <row r="142">
          <cell r="A142">
            <v>71313</v>
          </cell>
          <cell r="B142">
            <v>0.92500000000000004</v>
          </cell>
          <cell r="C142">
            <v>0.1</v>
          </cell>
        </row>
        <row r="143">
          <cell r="A143">
            <v>71315</v>
          </cell>
          <cell r="B143">
            <v>0.3066666666666667</v>
          </cell>
          <cell r="C143">
            <v>0</v>
          </cell>
        </row>
        <row r="144">
          <cell r="A144">
            <v>71317</v>
          </cell>
          <cell r="B144">
            <v>0.4</v>
          </cell>
          <cell r="C144">
            <v>0</v>
          </cell>
        </row>
        <row r="145">
          <cell r="A145">
            <v>71318</v>
          </cell>
          <cell r="B145">
            <v>0.5</v>
          </cell>
          <cell r="C145">
            <v>0</v>
          </cell>
        </row>
        <row r="146">
          <cell r="A146">
            <v>71320</v>
          </cell>
          <cell r="B146">
            <v>1</v>
          </cell>
          <cell r="C146">
            <v>0.1</v>
          </cell>
        </row>
        <row r="147">
          <cell r="A147">
            <v>71321</v>
          </cell>
          <cell r="B147">
            <v>1</v>
          </cell>
          <cell r="C147">
            <v>0.1</v>
          </cell>
        </row>
        <row r="148">
          <cell r="A148">
            <v>71324</v>
          </cell>
          <cell r="B148">
            <v>0.92500000000000004</v>
          </cell>
          <cell r="C148">
            <v>0.1</v>
          </cell>
        </row>
        <row r="149">
          <cell r="A149">
            <v>71326</v>
          </cell>
          <cell r="B149">
            <v>1</v>
          </cell>
          <cell r="C149">
            <v>0.1</v>
          </cell>
        </row>
        <row r="150">
          <cell r="A150">
            <v>71328</v>
          </cell>
          <cell r="B150">
            <v>1</v>
          </cell>
          <cell r="C150">
            <v>0.1</v>
          </cell>
        </row>
        <row r="151">
          <cell r="A151">
            <v>71329</v>
          </cell>
          <cell r="B151">
            <v>0.92500000000000004</v>
          </cell>
          <cell r="C151">
            <v>0.1</v>
          </cell>
        </row>
        <row r="152">
          <cell r="A152">
            <v>71331</v>
          </cell>
          <cell r="B152">
            <v>0.85</v>
          </cell>
          <cell r="C152">
            <v>0.05</v>
          </cell>
        </row>
        <row r="153">
          <cell r="A153">
            <v>71332</v>
          </cell>
          <cell r="B153">
            <v>0.98000000000000009</v>
          </cell>
          <cell r="C153">
            <v>0.1</v>
          </cell>
        </row>
        <row r="154">
          <cell r="A154">
            <v>71333</v>
          </cell>
          <cell r="B154">
            <v>1</v>
          </cell>
          <cell r="C154">
            <v>0.1</v>
          </cell>
        </row>
        <row r="155">
          <cell r="A155">
            <v>71339</v>
          </cell>
          <cell r="B155">
            <v>0.97499999999999998</v>
          </cell>
          <cell r="C155">
            <v>0.1</v>
          </cell>
        </row>
        <row r="156">
          <cell r="A156">
            <v>71340</v>
          </cell>
          <cell r="B156">
            <v>0.78500000000000003</v>
          </cell>
          <cell r="C156">
            <v>0</v>
          </cell>
        </row>
        <row r="157">
          <cell r="A157">
            <v>71341</v>
          </cell>
          <cell r="B157">
            <v>1</v>
          </cell>
          <cell r="C157">
            <v>0.1</v>
          </cell>
        </row>
        <row r="158">
          <cell r="A158">
            <v>71342</v>
          </cell>
          <cell r="B158">
            <v>0.92500000000000004</v>
          </cell>
          <cell r="C158">
            <v>0.1</v>
          </cell>
        </row>
        <row r="159">
          <cell r="A159">
            <v>71344</v>
          </cell>
          <cell r="B159">
            <v>0.89999999999999991</v>
          </cell>
          <cell r="C159">
            <v>0.1</v>
          </cell>
        </row>
        <row r="160">
          <cell r="A160">
            <v>71345</v>
          </cell>
          <cell r="B160">
            <v>0.92500000000000004</v>
          </cell>
          <cell r="C160">
            <v>0.1</v>
          </cell>
        </row>
        <row r="161">
          <cell r="A161">
            <v>71346</v>
          </cell>
          <cell r="B161">
            <v>0.77500000000000002</v>
          </cell>
          <cell r="C161">
            <v>0</v>
          </cell>
        </row>
        <row r="162">
          <cell r="A162">
            <v>71350</v>
          </cell>
          <cell r="B162">
            <v>0.5</v>
          </cell>
          <cell r="C162">
            <v>0</v>
          </cell>
        </row>
        <row r="163">
          <cell r="A163">
            <v>71352</v>
          </cell>
          <cell r="B163">
            <v>0.97499999999999998</v>
          </cell>
          <cell r="C163">
            <v>0.1</v>
          </cell>
        </row>
        <row r="164">
          <cell r="A164">
            <v>71356</v>
          </cell>
          <cell r="B164">
            <v>0.8</v>
          </cell>
          <cell r="C164">
            <v>0.05</v>
          </cell>
        </row>
        <row r="165">
          <cell r="A165">
            <v>71362</v>
          </cell>
          <cell r="B165">
            <v>0.82499999999999996</v>
          </cell>
          <cell r="C165">
            <v>0.05</v>
          </cell>
        </row>
        <row r="166">
          <cell r="A166">
            <v>71364</v>
          </cell>
          <cell r="B166">
            <v>1</v>
          </cell>
          <cell r="C166">
            <v>0.1</v>
          </cell>
        </row>
        <row r="167">
          <cell r="A167">
            <v>71365</v>
          </cell>
          <cell r="B167">
            <v>0.9</v>
          </cell>
          <cell r="C167">
            <v>0.1</v>
          </cell>
        </row>
        <row r="168">
          <cell r="A168">
            <v>71366</v>
          </cell>
          <cell r="B168">
            <v>0.42499999999999999</v>
          </cell>
          <cell r="C168">
            <v>0</v>
          </cell>
        </row>
        <row r="169">
          <cell r="A169">
            <v>71368</v>
          </cell>
          <cell r="B169">
            <v>1</v>
          </cell>
          <cell r="C169">
            <v>0.1</v>
          </cell>
        </row>
        <row r="170">
          <cell r="A170">
            <v>71369</v>
          </cell>
          <cell r="B170">
            <v>1</v>
          </cell>
          <cell r="C170">
            <v>0.1</v>
          </cell>
        </row>
        <row r="171">
          <cell r="A171">
            <v>71371</v>
          </cell>
          <cell r="B171">
            <v>0.95500000000000007</v>
          </cell>
          <cell r="C171">
            <v>0.1</v>
          </cell>
        </row>
        <row r="172">
          <cell r="A172">
            <v>71372</v>
          </cell>
          <cell r="B172">
            <v>0.92500000000000004</v>
          </cell>
          <cell r="C172">
            <v>0.1</v>
          </cell>
        </row>
        <row r="173">
          <cell r="A173">
            <v>71374</v>
          </cell>
          <cell r="B173">
            <v>0.89500000000000002</v>
          </cell>
          <cell r="C173">
            <v>0.05</v>
          </cell>
        </row>
        <row r="174">
          <cell r="A174">
            <v>71376</v>
          </cell>
          <cell r="B174">
            <v>1</v>
          </cell>
          <cell r="C174">
            <v>0.1</v>
          </cell>
        </row>
        <row r="175">
          <cell r="A175">
            <v>71377</v>
          </cell>
          <cell r="B175">
            <v>0.875</v>
          </cell>
          <cell r="C175">
            <v>0.05</v>
          </cell>
        </row>
        <row r="176">
          <cell r="A176">
            <v>71379</v>
          </cell>
          <cell r="B176">
            <v>0.95</v>
          </cell>
          <cell r="C176">
            <v>0.1</v>
          </cell>
        </row>
        <row r="177">
          <cell r="A177">
            <v>71382</v>
          </cell>
          <cell r="B177">
            <v>0.97500000000000009</v>
          </cell>
          <cell r="C177">
            <v>0.1</v>
          </cell>
        </row>
        <row r="178">
          <cell r="A178">
            <v>71384</v>
          </cell>
          <cell r="B178">
            <v>1</v>
          </cell>
          <cell r="C178">
            <v>0.1</v>
          </cell>
        </row>
        <row r="179">
          <cell r="A179">
            <v>71385</v>
          </cell>
          <cell r="B179">
            <v>1</v>
          </cell>
          <cell r="C179">
            <v>0.1</v>
          </cell>
        </row>
        <row r="180">
          <cell r="A180">
            <v>71386</v>
          </cell>
          <cell r="B180">
            <v>0.82000000000000006</v>
          </cell>
          <cell r="C180">
            <v>0.05</v>
          </cell>
        </row>
        <row r="181">
          <cell r="A181">
            <v>71392</v>
          </cell>
          <cell r="B181">
            <v>0.92500000000000004</v>
          </cell>
          <cell r="C181">
            <v>0.1</v>
          </cell>
        </row>
        <row r="182">
          <cell r="A182">
            <v>71397</v>
          </cell>
          <cell r="B182">
            <v>1</v>
          </cell>
          <cell r="C182">
            <v>0.1</v>
          </cell>
        </row>
        <row r="183">
          <cell r="A183">
            <v>71403</v>
          </cell>
          <cell r="B183">
            <v>0.92499999999999993</v>
          </cell>
          <cell r="C183">
            <v>0.1</v>
          </cell>
        </row>
        <row r="184">
          <cell r="A184">
            <v>71404</v>
          </cell>
          <cell r="B184">
            <v>0.8600000000000001</v>
          </cell>
          <cell r="C184">
            <v>0.05</v>
          </cell>
        </row>
        <row r="185">
          <cell r="A185">
            <v>71405</v>
          </cell>
          <cell r="B185">
            <v>0.5</v>
          </cell>
          <cell r="C185">
            <v>0</v>
          </cell>
        </row>
        <row r="186">
          <cell r="A186">
            <v>71408</v>
          </cell>
          <cell r="B186">
            <v>0.82499999999999996</v>
          </cell>
          <cell r="C186">
            <v>0.05</v>
          </cell>
        </row>
        <row r="187">
          <cell r="A187">
            <v>71409</v>
          </cell>
          <cell r="B187">
            <v>0.85</v>
          </cell>
          <cell r="C187">
            <v>0.05</v>
          </cell>
        </row>
        <row r="188">
          <cell r="A188">
            <v>71411</v>
          </cell>
          <cell r="B188">
            <v>0.97499999999999998</v>
          </cell>
          <cell r="C188">
            <v>0.1</v>
          </cell>
        </row>
        <row r="189">
          <cell r="A189">
            <v>71412</v>
          </cell>
          <cell r="B189">
            <v>0.92500000000000004</v>
          </cell>
          <cell r="C189">
            <v>0.1</v>
          </cell>
        </row>
        <row r="190">
          <cell r="A190">
            <v>71414</v>
          </cell>
          <cell r="B190">
            <v>0.91666666666666663</v>
          </cell>
          <cell r="C190">
            <v>0.1</v>
          </cell>
        </row>
        <row r="191">
          <cell r="A191">
            <v>71415</v>
          </cell>
          <cell r="B191">
            <v>1</v>
          </cell>
          <cell r="C191">
            <v>0.1</v>
          </cell>
        </row>
        <row r="192">
          <cell r="A192">
            <v>71416</v>
          </cell>
          <cell r="B192">
            <v>0.93500000000000005</v>
          </cell>
          <cell r="C192">
            <v>0.1</v>
          </cell>
        </row>
        <row r="193">
          <cell r="A193">
            <v>71419</v>
          </cell>
          <cell r="B193">
            <v>0.9</v>
          </cell>
          <cell r="C193">
            <v>0.1</v>
          </cell>
        </row>
        <row r="194">
          <cell r="A194">
            <v>71421</v>
          </cell>
          <cell r="B194">
            <v>0.85000000000000009</v>
          </cell>
          <cell r="C194">
            <v>0.05</v>
          </cell>
        </row>
        <row r="195">
          <cell r="A195">
            <v>71424</v>
          </cell>
          <cell r="B195">
            <v>0.875</v>
          </cell>
          <cell r="C195">
            <v>0.05</v>
          </cell>
        </row>
        <row r="196">
          <cell r="A196">
            <v>71425</v>
          </cell>
          <cell r="B196">
            <v>0.78</v>
          </cell>
          <cell r="C196">
            <v>0</v>
          </cell>
        </row>
        <row r="197">
          <cell r="A197">
            <v>71428</v>
          </cell>
          <cell r="B197">
            <v>1</v>
          </cell>
          <cell r="C197">
            <v>0.1</v>
          </cell>
        </row>
        <row r="198">
          <cell r="A198">
            <v>71429</v>
          </cell>
          <cell r="B198">
            <v>1</v>
          </cell>
          <cell r="C198">
            <v>0.1</v>
          </cell>
        </row>
        <row r="199">
          <cell r="A199">
            <v>71433</v>
          </cell>
          <cell r="B199">
            <v>1</v>
          </cell>
          <cell r="C199">
            <v>0.1</v>
          </cell>
        </row>
        <row r="200">
          <cell r="A200">
            <v>71434</v>
          </cell>
          <cell r="B200">
            <v>1</v>
          </cell>
          <cell r="C200">
            <v>0.1</v>
          </cell>
        </row>
        <row r="201">
          <cell r="A201">
            <v>71436</v>
          </cell>
          <cell r="B201">
            <v>0.97499999999999998</v>
          </cell>
          <cell r="C201">
            <v>0.1</v>
          </cell>
        </row>
        <row r="202">
          <cell r="A202">
            <v>71437</v>
          </cell>
          <cell r="B202">
            <v>0.92500000000000004</v>
          </cell>
          <cell r="C202">
            <v>0.1</v>
          </cell>
        </row>
        <row r="203">
          <cell r="A203">
            <v>71442</v>
          </cell>
          <cell r="B203">
            <v>0.86499999999999999</v>
          </cell>
          <cell r="C203">
            <v>0.05</v>
          </cell>
        </row>
        <row r="204">
          <cell r="A204">
            <v>71443</v>
          </cell>
          <cell r="B204">
            <v>0.92500000000000004</v>
          </cell>
          <cell r="C204">
            <v>0.1</v>
          </cell>
        </row>
        <row r="205">
          <cell r="A205">
            <v>71446</v>
          </cell>
          <cell r="B205">
            <v>0.97499999999999998</v>
          </cell>
          <cell r="C205">
            <v>0.1</v>
          </cell>
        </row>
        <row r="206">
          <cell r="A206">
            <v>71447</v>
          </cell>
          <cell r="B206">
            <v>0.875</v>
          </cell>
          <cell r="C206">
            <v>0.05</v>
          </cell>
        </row>
        <row r="207">
          <cell r="A207">
            <v>71449</v>
          </cell>
          <cell r="B207">
            <v>0.97499999999999998</v>
          </cell>
          <cell r="C207">
            <v>0.1</v>
          </cell>
        </row>
        <row r="208">
          <cell r="A208">
            <v>71450</v>
          </cell>
          <cell r="B208">
            <v>0.95500000000000007</v>
          </cell>
          <cell r="C208">
            <v>0.1</v>
          </cell>
        </row>
        <row r="209">
          <cell r="A209">
            <v>71454</v>
          </cell>
          <cell r="B209">
            <v>1</v>
          </cell>
          <cell r="C209">
            <v>0.1</v>
          </cell>
        </row>
        <row r="210">
          <cell r="A210">
            <v>71457</v>
          </cell>
          <cell r="B210">
            <v>0.94999999999999984</v>
          </cell>
          <cell r="C210">
            <v>0.1</v>
          </cell>
        </row>
        <row r="211">
          <cell r="A211">
            <v>71460</v>
          </cell>
          <cell r="B211">
            <v>0.4</v>
          </cell>
          <cell r="C211">
            <v>0</v>
          </cell>
        </row>
        <row r="212">
          <cell r="A212">
            <v>71464</v>
          </cell>
          <cell r="B212">
            <v>1</v>
          </cell>
          <cell r="C212">
            <v>0.1</v>
          </cell>
        </row>
        <row r="213">
          <cell r="A213">
            <v>71465</v>
          </cell>
          <cell r="B213">
            <v>1</v>
          </cell>
          <cell r="C213">
            <v>0.1</v>
          </cell>
        </row>
        <row r="214">
          <cell r="A214">
            <v>71466</v>
          </cell>
          <cell r="B214">
            <v>0.89</v>
          </cell>
          <cell r="C214">
            <v>0.05</v>
          </cell>
        </row>
        <row r="215">
          <cell r="A215">
            <v>71467</v>
          </cell>
          <cell r="B215">
            <v>0.91500000000000004</v>
          </cell>
          <cell r="C215">
            <v>0.1</v>
          </cell>
        </row>
        <row r="216">
          <cell r="A216">
            <v>71468</v>
          </cell>
          <cell r="B216">
            <v>0.42499999999999999</v>
          </cell>
          <cell r="C216">
            <v>0</v>
          </cell>
        </row>
        <row r="217">
          <cell r="A217">
            <v>71471</v>
          </cell>
          <cell r="B217">
            <v>0.95000000000000007</v>
          </cell>
          <cell r="C217">
            <v>0.1</v>
          </cell>
        </row>
        <row r="218">
          <cell r="A218">
            <v>71472</v>
          </cell>
          <cell r="B218">
            <v>0.92999999999999994</v>
          </cell>
          <cell r="C218">
            <v>0.1</v>
          </cell>
        </row>
        <row r="219">
          <cell r="A219">
            <v>71475</v>
          </cell>
          <cell r="B219">
            <v>1</v>
          </cell>
          <cell r="C219">
            <v>0.1</v>
          </cell>
        </row>
        <row r="220">
          <cell r="A220">
            <v>71477</v>
          </cell>
          <cell r="B220">
            <v>0.83000000000000007</v>
          </cell>
          <cell r="C220">
            <v>0.05</v>
          </cell>
        </row>
        <row r="221">
          <cell r="A221">
            <v>71480</v>
          </cell>
          <cell r="B221">
            <v>0.95333333333333325</v>
          </cell>
          <cell r="C221">
            <v>0.1</v>
          </cell>
        </row>
        <row r="222">
          <cell r="A222">
            <v>71481</v>
          </cell>
          <cell r="B222">
            <v>0.88500000000000001</v>
          </cell>
          <cell r="C222">
            <v>0.05</v>
          </cell>
        </row>
        <row r="223">
          <cell r="A223">
            <v>71487</v>
          </cell>
          <cell r="B223">
            <v>0.48</v>
          </cell>
          <cell r="C223">
            <v>0</v>
          </cell>
        </row>
        <row r="224">
          <cell r="A224">
            <v>71488</v>
          </cell>
          <cell r="B224">
            <v>0.88500000000000001</v>
          </cell>
          <cell r="C224">
            <v>0.05</v>
          </cell>
        </row>
        <row r="225">
          <cell r="A225">
            <v>71490</v>
          </cell>
          <cell r="B225">
            <v>1</v>
          </cell>
          <cell r="C225">
            <v>0.1</v>
          </cell>
        </row>
        <row r="226">
          <cell r="A226">
            <v>71491</v>
          </cell>
          <cell r="B226">
            <v>0.92500000000000004</v>
          </cell>
          <cell r="C226">
            <v>0.1</v>
          </cell>
        </row>
        <row r="227">
          <cell r="A227">
            <v>71493</v>
          </cell>
          <cell r="B227">
            <v>0.92500000000000004</v>
          </cell>
          <cell r="C227">
            <v>0.1</v>
          </cell>
        </row>
        <row r="228">
          <cell r="A228">
            <v>71494</v>
          </cell>
          <cell r="B228">
            <v>0.9</v>
          </cell>
          <cell r="C228">
            <v>0.1</v>
          </cell>
        </row>
        <row r="229">
          <cell r="A229">
            <v>71496</v>
          </cell>
          <cell r="B229">
            <v>1</v>
          </cell>
          <cell r="C229">
            <v>0.1</v>
          </cell>
        </row>
        <row r="230">
          <cell r="A230">
            <v>71497</v>
          </cell>
          <cell r="B230">
            <v>0.95</v>
          </cell>
          <cell r="C230">
            <v>0.1</v>
          </cell>
        </row>
        <row r="231">
          <cell r="A231">
            <v>71498</v>
          </cell>
          <cell r="B231">
            <v>0.91999999999999993</v>
          </cell>
          <cell r="C231">
            <v>0.1</v>
          </cell>
        </row>
        <row r="232">
          <cell r="A232">
            <v>71505</v>
          </cell>
          <cell r="B232">
            <v>0.98</v>
          </cell>
          <cell r="C232">
            <v>0.1</v>
          </cell>
        </row>
        <row r="233">
          <cell r="A233">
            <v>71510</v>
          </cell>
          <cell r="B233">
            <v>0.85</v>
          </cell>
          <cell r="C233">
            <v>0.05</v>
          </cell>
        </row>
        <row r="234">
          <cell r="A234">
            <v>71511</v>
          </cell>
          <cell r="B234">
            <v>0.99</v>
          </cell>
          <cell r="C234">
            <v>0.1</v>
          </cell>
        </row>
        <row r="235">
          <cell r="A235">
            <v>71513</v>
          </cell>
          <cell r="B235">
            <v>1</v>
          </cell>
          <cell r="C235">
            <v>0.1</v>
          </cell>
        </row>
        <row r="236">
          <cell r="A236">
            <v>71514</v>
          </cell>
          <cell r="B236">
            <v>0.95</v>
          </cell>
          <cell r="C236">
            <v>0.1</v>
          </cell>
        </row>
        <row r="237">
          <cell r="A237">
            <v>71519</v>
          </cell>
          <cell r="B237">
            <v>0.95</v>
          </cell>
          <cell r="C237">
            <v>0.1</v>
          </cell>
        </row>
        <row r="238">
          <cell r="A238">
            <v>71520</v>
          </cell>
          <cell r="B238">
            <v>0.90666666666666662</v>
          </cell>
          <cell r="C238">
            <v>0.1</v>
          </cell>
        </row>
        <row r="239">
          <cell r="A239">
            <v>71521</v>
          </cell>
          <cell r="B239">
            <v>0.97499999999999998</v>
          </cell>
          <cell r="C239">
            <v>0.1</v>
          </cell>
        </row>
        <row r="240">
          <cell r="A240">
            <v>71522</v>
          </cell>
          <cell r="B240">
            <v>0.96</v>
          </cell>
          <cell r="C240">
            <v>0.1</v>
          </cell>
        </row>
        <row r="241">
          <cell r="A241">
            <v>71523</v>
          </cell>
          <cell r="B241">
            <v>0.98999999999999988</v>
          </cell>
          <cell r="C241">
            <v>0.1</v>
          </cell>
        </row>
        <row r="242">
          <cell r="A242">
            <v>71524</v>
          </cell>
          <cell r="B242">
            <v>1</v>
          </cell>
          <cell r="C242">
            <v>0.1</v>
          </cell>
        </row>
        <row r="243">
          <cell r="A243">
            <v>71525</v>
          </cell>
          <cell r="B243">
            <v>0.92500000000000004</v>
          </cell>
          <cell r="C243">
            <v>0.1</v>
          </cell>
        </row>
        <row r="244">
          <cell r="A244">
            <v>71527</v>
          </cell>
          <cell r="B244">
            <v>0.85</v>
          </cell>
          <cell r="C244">
            <v>0.05</v>
          </cell>
        </row>
        <row r="245">
          <cell r="A245">
            <v>71530</v>
          </cell>
          <cell r="B245">
            <v>0.85499999999999998</v>
          </cell>
          <cell r="C245">
            <v>0.05</v>
          </cell>
        </row>
        <row r="246">
          <cell r="A246">
            <v>71533</v>
          </cell>
          <cell r="B246">
            <v>0.96499999999999997</v>
          </cell>
          <cell r="C246">
            <v>0.1</v>
          </cell>
        </row>
        <row r="247">
          <cell r="A247">
            <v>71536</v>
          </cell>
          <cell r="B247">
            <v>1</v>
          </cell>
          <cell r="C247">
            <v>0.1</v>
          </cell>
        </row>
        <row r="248">
          <cell r="A248">
            <v>71538</v>
          </cell>
          <cell r="B248">
            <v>0.92500000000000004</v>
          </cell>
          <cell r="C248">
            <v>0.1</v>
          </cell>
        </row>
        <row r="249">
          <cell r="A249">
            <v>71539</v>
          </cell>
          <cell r="B249">
            <v>0.82499999999999996</v>
          </cell>
          <cell r="C249">
            <v>0.05</v>
          </cell>
        </row>
        <row r="250">
          <cell r="A250">
            <v>71542</v>
          </cell>
          <cell r="B250">
            <v>0.97499999999999998</v>
          </cell>
          <cell r="C250">
            <v>0.1</v>
          </cell>
        </row>
        <row r="251">
          <cell r="A251">
            <v>71543</v>
          </cell>
          <cell r="B251">
            <v>0.77</v>
          </cell>
          <cell r="C251">
            <v>0</v>
          </cell>
        </row>
        <row r="252">
          <cell r="A252">
            <v>71544</v>
          </cell>
          <cell r="B252">
            <v>0.98499999999999999</v>
          </cell>
          <cell r="C252">
            <v>0.1</v>
          </cell>
        </row>
        <row r="253">
          <cell r="A253">
            <v>71546</v>
          </cell>
          <cell r="B253">
            <v>0.45500000000000002</v>
          </cell>
          <cell r="C253">
            <v>0</v>
          </cell>
        </row>
        <row r="254">
          <cell r="A254">
            <v>71547</v>
          </cell>
          <cell r="B254">
            <v>1</v>
          </cell>
          <cell r="C254">
            <v>0.1</v>
          </cell>
        </row>
        <row r="255">
          <cell r="A255">
            <v>71552</v>
          </cell>
          <cell r="B255">
            <v>0.85</v>
          </cell>
          <cell r="C255">
            <v>0.05</v>
          </cell>
        </row>
        <row r="256">
          <cell r="A256">
            <v>71554</v>
          </cell>
          <cell r="B256">
            <v>0.95</v>
          </cell>
          <cell r="C256">
            <v>0.1</v>
          </cell>
        </row>
        <row r="257">
          <cell r="A257">
            <v>71556</v>
          </cell>
          <cell r="B257">
            <v>1</v>
          </cell>
          <cell r="C257">
            <v>0.1</v>
          </cell>
        </row>
        <row r="258">
          <cell r="A258">
            <v>71557</v>
          </cell>
          <cell r="B258">
            <v>0.97333333333333327</v>
          </cell>
          <cell r="C258">
            <v>0.1</v>
          </cell>
        </row>
        <row r="259">
          <cell r="A259">
            <v>71559</v>
          </cell>
          <cell r="B259">
            <v>0.875</v>
          </cell>
          <cell r="C259">
            <v>0.05</v>
          </cell>
        </row>
        <row r="260">
          <cell r="A260">
            <v>71562</v>
          </cell>
          <cell r="B260">
            <v>0.4</v>
          </cell>
          <cell r="C260">
            <v>0</v>
          </cell>
        </row>
        <row r="261">
          <cell r="A261">
            <v>71563</v>
          </cell>
          <cell r="B261">
            <v>0.5</v>
          </cell>
          <cell r="C261">
            <v>0</v>
          </cell>
        </row>
        <row r="262">
          <cell r="A262">
            <v>71564</v>
          </cell>
          <cell r="B262">
            <v>0.9375</v>
          </cell>
          <cell r="C262">
            <v>0.1</v>
          </cell>
        </row>
        <row r="263">
          <cell r="A263">
            <v>71568</v>
          </cell>
          <cell r="B263">
            <v>0.97499999999999998</v>
          </cell>
          <cell r="C263">
            <v>0.1</v>
          </cell>
        </row>
        <row r="264">
          <cell r="A264">
            <v>71569</v>
          </cell>
          <cell r="B264">
            <v>0.92500000000000004</v>
          </cell>
          <cell r="C264">
            <v>0.1</v>
          </cell>
        </row>
        <row r="265">
          <cell r="A265">
            <v>71574</v>
          </cell>
          <cell r="B265">
            <v>1</v>
          </cell>
          <cell r="C265">
            <v>0.1</v>
          </cell>
        </row>
        <row r="266">
          <cell r="A266">
            <v>71577</v>
          </cell>
          <cell r="B266">
            <v>0.89999999999999991</v>
          </cell>
          <cell r="C266">
            <v>0.1</v>
          </cell>
        </row>
        <row r="267">
          <cell r="A267">
            <v>71578</v>
          </cell>
          <cell r="B267">
            <v>1</v>
          </cell>
          <cell r="C267">
            <v>0.1</v>
          </cell>
        </row>
        <row r="268">
          <cell r="A268">
            <v>71580</v>
          </cell>
          <cell r="B268">
            <v>0.85</v>
          </cell>
          <cell r="C268">
            <v>0.05</v>
          </cell>
        </row>
        <row r="269">
          <cell r="A269">
            <v>71581</v>
          </cell>
          <cell r="B269">
            <v>0.5</v>
          </cell>
          <cell r="C269">
            <v>0</v>
          </cell>
        </row>
        <row r="270">
          <cell r="A270">
            <v>71584</v>
          </cell>
          <cell r="B270">
            <v>0.98499999999999999</v>
          </cell>
          <cell r="C270">
            <v>0.1</v>
          </cell>
        </row>
        <row r="271">
          <cell r="A271">
            <v>71588</v>
          </cell>
          <cell r="B271">
            <v>0.89500000000000002</v>
          </cell>
          <cell r="C271">
            <v>0.05</v>
          </cell>
        </row>
        <row r="272">
          <cell r="A272">
            <v>71589</v>
          </cell>
          <cell r="B272">
            <v>0.88500000000000001</v>
          </cell>
          <cell r="C272">
            <v>0.05</v>
          </cell>
        </row>
        <row r="273">
          <cell r="A273">
            <v>71591</v>
          </cell>
          <cell r="B273">
            <v>0.95</v>
          </cell>
          <cell r="C273">
            <v>0.1</v>
          </cell>
        </row>
        <row r="274">
          <cell r="A274">
            <v>71593</v>
          </cell>
          <cell r="B274">
            <v>1</v>
          </cell>
          <cell r="C274">
            <v>0.1</v>
          </cell>
        </row>
        <row r="275">
          <cell r="A275">
            <v>71597</v>
          </cell>
          <cell r="B275">
            <v>1</v>
          </cell>
          <cell r="C275">
            <v>0.1</v>
          </cell>
        </row>
        <row r="276">
          <cell r="A276">
            <v>71598</v>
          </cell>
          <cell r="B276">
            <v>1</v>
          </cell>
          <cell r="C276">
            <v>0.1</v>
          </cell>
        </row>
        <row r="277">
          <cell r="A277">
            <v>71600</v>
          </cell>
          <cell r="B277">
            <v>0.89999999999999991</v>
          </cell>
          <cell r="C277">
            <v>0.1</v>
          </cell>
        </row>
        <row r="278">
          <cell r="A278">
            <v>71604</v>
          </cell>
          <cell r="B278">
            <v>0.98666666666666669</v>
          </cell>
          <cell r="C278">
            <v>0.1</v>
          </cell>
        </row>
        <row r="279">
          <cell r="A279">
            <v>71609</v>
          </cell>
          <cell r="B279">
            <v>0.90333333333333332</v>
          </cell>
          <cell r="C279">
            <v>0.1</v>
          </cell>
        </row>
        <row r="280">
          <cell r="A280">
            <v>71613</v>
          </cell>
          <cell r="B280">
            <v>0.95</v>
          </cell>
          <cell r="C280">
            <v>0.1</v>
          </cell>
        </row>
        <row r="281">
          <cell r="A281">
            <v>71614</v>
          </cell>
          <cell r="B281">
            <v>1</v>
          </cell>
          <cell r="C281">
            <v>0.1</v>
          </cell>
        </row>
        <row r="282">
          <cell r="A282">
            <v>71615</v>
          </cell>
          <cell r="B282">
            <v>1</v>
          </cell>
          <cell r="C282">
            <v>0.1</v>
          </cell>
        </row>
        <row r="283">
          <cell r="A283">
            <v>71618</v>
          </cell>
          <cell r="B283">
            <v>0.97499999999999998</v>
          </cell>
          <cell r="C283">
            <v>0.1</v>
          </cell>
        </row>
        <row r="284">
          <cell r="A284">
            <v>71619</v>
          </cell>
          <cell r="B284">
            <v>0.92999999999999994</v>
          </cell>
          <cell r="C284">
            <v>0.1</v>
          </cell>
        </row>
        <row r="285">
          <cell r="A285">
            <v>71620</v>
          </cell>
          <cell r="B285">
            <v>0.82499999999999996</v>
          </cell>
          <cell r="C285">
            <v>0.05</v>
          </cell>
        </row>
        <row r="286">
          <cell r="A286">
            <v>71621</v>
          </cell>
          <cell r="B286">
            <v>1</v>
          </cell>
          <cell r="C286">
            <v>0.1</v>
          </cell>
        </row>
        <row r="287">
          <cell r="A287">
            <v>71622</v>
          </cell>
          <cell r="B287">
            <v>0.875</v>
          </cell>
          <cell r="C287">
            <v>0.05</v>
          </cell>
        </row>
        <row r="288">
          <cell r="A288">
            <v>71623</v>
          </cell>
          <cell r="B288">
            <v>0.92</v>
          </cell>
          <cell r="C288">
            <v>0.1</v>
          </cell>
        </row>
        <row r="289">
          <cell r="A289">
            <v>71624</v>
          </cell>
          <cell r="B289">
            <v>0.8833333333333333</v>
          </cell>
          <cell r="C289">
            <v>0.05</v>
          </cell>
        </row>
        <row r="290">
          <cell r="A290">
            <v>71626</v>
          </cell>
          <cell r="B290">
            <v>0.97499999999999998</v>
          </cell>
          <cell r="C290">
            <v>0.1</v>
          </cell>
        </row>
        <row r="291">
          <cell r="A291">
            <v>71628</v>
          </cell>
          <cell r="B291">
            <v>0.8</v>
          </cell>
          <cell r="C291">
            <v>0.05</v>
          </cell>
        </row>
        <row r="292">
          <cell r="A292">
            <v>71629</v>
          </cell>
          <cell r="B292">
            <v>0.97499999999999998</v>
          </cell>
          <cell r="C292">
            <v>0.1</v>
          </cell>
        </row>
        <row r="293">
          <cell r="A293">
            <v>71630</v>
          </cell>
          <cell r="B293">
            <v>0.92500000000000004</v>
          </cell>
          <cell r="C293">
            <v>0.1</v>
          </cell>
        </row>
        <row r="294">
          <cell r="A294">
            <v>71634</v>
          </cell>
          <cell r="B294">
            <v>0.95</v>
          </cell>
          <cell r="C294">
            <v>0.1</v>
          </cell>
        </row>
        <row r="295">
          <cell r="A295">
            <v>71645</v>
          </cell>
          <cell r="B295">
            <v>1</v>
          </cell>
          <cell r="C295">
            <v>0.1</v>
          </cell>
        </row>
        <row r="296">
          <cell r="A296">
            <v>71647</v>
          </cell>
          <cell r="B296">
            <v>0.47499999999999998</v>
          </cell>
          <cell r="C296">
            <v>0</v>
          </cell>
        </row>
        <row r="297">
          <cell r="A297">
            <v>71650</v>
          </cell>
          <cell r="B297">
            <v>1</v>
          </cell>
          <cell r="C297">
            <v>0.1</v>
          </cell>
        </row>
        <row r="298">
          <cell r="A298">
            <v>71651</v>
          </cell>
          <cell r="B298">
            <v>1</v>
          </cell>
          <cell r="C298">
            <v>0.1</v>
          </cell>
        </row>
        <row r="299">
          <cell r="A299">
            <v>71652</v>
          </cell>
          <cell r="B299">
            <v>0.8666666666666667</v>
          </cell>
          <cell r="C299">
            <v>0.05</v>
          </cell>
        </row>
        <row r="300">
          <cell r="A300">
            <v>71657</v>
          </cell>
          <cell r="B300">
            <v>0.90500000000000003</v>
          </cell>
          <cell r="C300">
            <v>0.1</v>
          </cell>
        </row>
        <row r="301">
          <cell r="A301">
            <v>71660</v>
          </cell>
          <cell r="B301">
            <v>0.85</v>
          </cell>
          <cell r="C301">
            <v>0.05</v>
          </cell>
        </row>
        <row r="302">
          <cell r="A302">
            <v>71661</v>
          </cell>
          <cell r="B302">
            <v>0.85</v>
          </cell>
          <cell r="C302">
            <v>0.05</v>
          </cell>
        </row>
        <row r="303">
          <cell r="A303">
            <v>71665</v>
          </cell>
          <cell r="B303">
            <v>0.66999999999999993</v>
          </cell>
          <cell r="C303">
            <v>0</v>
          </cell>
        </row>
        <row r="304">
          <cell r="A304">
            <v>71666</v>
          </cell>
          <cell r="B304">
            <v>0.90500000000000003</v>
          </cell>
          <cell r="C304">
            <v>0.1</v>
          </cell>
        </row>
        <row r="305">
          <cell r="A305">
            <v>71667</v>
          </cell>
          <cell r="B305">
            <v>0.97499999999999998</v>
          </cell>
          <cell r="C305">
            <v>0.1</v>
          </cell>
        </row>
        <row r="306">
          <cell r="A306">
            <v>71671</v>
          </cell>
          <cell r="B306">
            <v>0</v>
          </cell>
          <cell r="C306">
            <v>0</v>
          </cell>
        </row>
        <row r="307">
          <cell r="A307">
            <v>71673</v>
          </cell>
          <cell r="B307">
            <v>0.97499999999999998</v>
          </cell>
          <cell r="C307">
            <v>0.1</v>
          </cell>
        </row>
        <row r="308">
          <cell r="A308">
            <v>71674</v>
          </cell>
          <cell r="B308">
            <v>1</v>
          </cell>
          <cell r="C308">
            <v>0.1</v>
          </cell>
        </row>
        <row r="309">
          <cell r="A309">
            <v>71680</v>
          </cell>
          <cell r="B309">
            <v>0.92</v>
          </cell>
          <cell r="C309">
            <v>0.1</v>
          </cell>
        </row>
        <row r="310">
          <cell r="A310">
            <v>71681</v>
          </cell>
          <cell r="B310">
            <v>0.5</v>
          </cell>
          <cell r="C310">
            <v>0</v>
          </cell>
        </row>
        <row r="311">
          <cell r="A311">
            <v>71682</v>
          </cell>
          <cell r="B311">
            <v>0.92500000000000004</v>
          </cell>
          <cell r="C311">
            <v>0.1</v>
          </cell>
        </row>
        <row r="312">
          <cell r="A312">
            <v>71684</v>
          </cell>
          <cell r="B312">
            <v>0.92999999999999994</v>
          </cell>
          <cell r="C312">
            <v>0.1</v>
          </cell>
        </row>
        <row r="313">
          <cell r="A313">
            <v>71685</v>
          </cell>
          <cell r="B313">
            <v>0.90500000000000003</v>
          </cell>
          <cell r="C313">
            <v>0.1</v>
          </cell>
        </row>
        <row r="314">
          <cell r="A314">
            <v>71686</v>
          </cell>
          <cell r="B314">
            <v>0.5</v>
          </cell>
          <cell r="C314">
            <v>0</v>
          </cell>
        </row>
        <row r="315">
          <cell r="A315">
            <v>71689</v>
          </cell>
          <cell r="B315">
            <v>0.95000000000000007</v>
          </cell>
          <cell r="C315">
            <v>0.1</v>
          </cell>
        </row>
        <row r="316">
          <cell r="A316">
            <v>71692</v>
          </cell>
          <cell r="B316">
            <v>1</v>
          </cell>
          <cell r="C316">
            <v>0.1</v>
          </cell>
        </row>
        <row r="317">
          <cell r="A317">
            <v>71698</v>
          </cell>
          <cell r="B317">
            <v>0.95</v>
          </cell>
          <cell r="C317">
            <v>0.1</v>
          </cell>
        </row>
        <row r="318">
          <cell r="A318">
            <v>71701</v>
          </cell>
          <cell r="B318">
            <v>0</v>
          </cell>
          <cell r="C318">
            <v>0</v>
          </cell>
        </row>
        <row r="319">
          <cell r="A319">
            <v>71704</v>
          </cell>
          <cell r="B319">
            <v>0.89999999999999991</v>
          </cell>
          <cell r="C319">
            <v>0.1</v>
          </cell>
        </row>
        <row r="320">
          <cell r="A320">
            <v>71707</v>
          </cell>
          <cell r="B320">
            <v>0.96250000000000002</v>
          </cell>
          <cell r="C320">
            <v>0.1</v>
          </cell>
        </row>
        <row r="321">
          <cell r="A321">
            <v>71709</v>
          </cell>
          <cell r="B321">
            <v>0.8</v>
          </cell>
          <cell r="C321">
            <v>0.05</v>
          </cell>
        </row>
        <row r="322">
          <cell r="A322">
            <v>71716</v>
          </cell>
          <cell r="B322">
            <v>0.90500000000000003</v>
          </cell>
          <cell r="C322">
            <v>0.1</v>
          </cell>
        </row>
        <row r="323">
          <cell r="A323">
            <v>71719</v>
          </cell>
          <cell r="B323">
            <v>0.83000000000000007</v>
          </cell>
          <cell r="C323">
            <v>0.05</v>
          </cell>
        </row>
        <row r="324">
          <cell r="A324">
            <v>71720</v>
          </cell>
          <cell r="B324">
            <v>0.9</v>
          </cell>
          <cell r="C324">
            <v>0.1</v>
          </cell>
        </row>
        <row r="325">
          <cell r="A325">
            <v>71722</v>
          </cell>
          <cell r="B325">
            <v>0.83499999999999996</v>
          </cell>
          <cell r="C325">
            <v>0.05</v>
          </cell>
        </row>
        <row r="326">
          <cell r="A326">
            <v>71725</v>
          </cell>
          <cell r="B326">
            <v>1</v>
          </cell>
          <cell r="C326">
            <v>0.1</v>
          </cell>
        </row>
        <row r="327">
          <cell r="A327">
            <v>71728</v>
          </cell>
          <cell r="B327">
            <v>0.89999999999999991</v>
          </cell>
          <cell r="C327">
            <v>0.1</v>
          </cell>
        </row>
        <row r="328">
          <cell r="A328">
            <v>71733</v>
          </cell>
          <cell r="B328">
            <v>0.57250000000000001</v>
          </cell>
          <cell r="C328">
            <v>0</v>
          </cell>
        </row>
        <row r="329">
          <cell r="A329">
            <v>71735</v>
          </cell>
          <cell r="B329">
            <v>0.95</v>
          </cell>
          <cell r="C329">
            <v>0.1</v>
          </cell>
        </row>
        <row r="330">
          <cell r="A330">
            <v>71736</v>
          </cell>
          <cell r="B330">
            <v>0.97499999999999998</v>
          </cell>
          <cell r="C330">
            <v>0.1</v>
          </cell>
        </row>
        <row r="331">
          <cell r="A331">
            <v>71738</v>
          </cell>
          <cell r="B331">
            <v>0.90500000000000003</v>
          </cell>
          <cell r="C331">
            <v>0.1</v>
          </cell>
        </row>
        <row r="332">
          <cell r="A332">
            <v>71739</v>
          </cell>
          <cell r="B332">
            <v>0.92500000000000004</v>
          </cell>
          <cell r="C332">
            <v>0.1</v>
          </cell>
        </row>
        <row r="333">
          <cell r="A333">
            <v>71741</v>
          </cell>
          <cell r="B333">
            <v>0.8</v>
          </cell>
          <cell r="C333">
            <v>0.05</v>
          </cell>
        </row>
        <row r="334">
          <cell r="A334">
            <v>71743</v>
          </cell>
          <cell r="B334">
            <v>1</v>
          </cell>
          <cell r="C334">
            <v>0.1</v>
          </cell>
        </row>
        <row r="335">
          <cell r="A335">
            <v>71745</v>
          </cell>
          <cell r="B335">
            <v>0.90500000000000003</v>
          </cell>
          <cell r="C335">
            <v>0.1</v>
          </cell>
        </row>
        <row r="336">
          <cell r="A336">
            <v>71756</v>
          </cell>
          <cell r="B336">
            <v>0.85499999999999998</v>
          </cell>
          <cell r="C336">
            <v>0.05</v>
          </cell>
        </row>
        <row r="337">
          <cell r="A337">
            <v>71763</v>
          </cell>
          <cell r="B337">
            <v>1</v>
          </cell>
          <cell r="C337">
            <v>0.1</v>
          </cell>
        </row>
        <row r="338">
          <cell r="A338">
            <v>71764</v>
          </cell>
          <cell r="B338">
            <v>0.70500000000000007</v>
          </cell>
          <cell r="C338">
            <v>0</v>
          </cell>
        </row>
        <row r="339">
          <cell r="A339">
            <v>71765</v>
          </cell>
          <cell r="B339">
            <v>1</v>
          </cell>
          <cell r="C339">
            <v>0.1</v>
          </cell>
        </row>
        <row r="340">
          <cell r="A340">
            <v>71767</v>
          </cell>
          <cell r="B340">
            <v>0.82499999999999996</v>
          </cell>
          <cell r="C340">
            <v>0.05</v>
          </cell>
        </row>
        <row r="341">
          <cell r="A341">
            <v>71772</v>
          </cell>
          <cell r="B341">
            <v>0.77500000000000002</v>
          </cell>
          <cell r="C341">
            <v>0</v>
          </cell>
        </row>
        <row r="342">
          <cell r="A342">
            <v>71773</v>
          </cell>
          <cell r="B342">
            <v>0.98</v>
          </cell>
          <cell r="C342">
            <v>0.1</v>
          </cell>
        </row>
        <row r="343">
          <cell r="A343">
            <v>71774</v>
          </cell>
          <cell r="B343">
            <v>0.95499999999999996</v>
          </cell>
          <cell r="C343">
            <v>0.1</v>
          </cell>
        </row>
        <row r="344">
          <cell r="A344">
            <v>71779</v>
          </cell>
          <cell r="B344">
            <v>0.56666666666666665</v>
          </cell>
          <cell r="C344">
            <v>0</v>
          </cell>
        </row>
        <row r="345">
          <cell r="A345">
            <v>71780</v>
          </cell>
          <cell r="B345">
            <v>0.97499999999999998</v>
          </cell>
          <cell r="C345">
            <v>0.1</v>
          </cell>
        </row>
        <row r="346">
          <cell r="A346">
            <v>71782</v>
          </cell>
          <cell r="B346">
            <v>0.98499999999999999</v>
          </cell>
          <cell r="C346">
            <v>0.1</v>
          </cell>
        </row>
        <row r="347">
          <cell r="A347">
            <v>71784</v>
          </cell>
          <cell r="B347">
            <v>0.89999999999999991</v>
          </cell>
          <cell r="C347">
            <v>0.1</v>
          </cell>
        </row>
        <row r="348">
          <cell r="A348">
            <v>71785</v>
          </cell>
          <cell r="B348">
            <v>0.98</v>
          </cell>
          <cell r="C348">
            <v>0.1</v>
          </cell>
        </row>
        <row r="349">
          <cell r="A349">
            <v>71786</v>
          </cell>
          <cell r="B349">
            <v>0.97499999999999998</v>
          </cell>
          <cell r="C349">
            <v>0.1</v>
          </cell>
        </row>
        <row r="350">
          <cell r="A350">
            <v>71789</v>
          </cell>
          <cell r="B350">
            <v>0.90999999999999992</v>
          </cell>
          <cell r="C350">
            <v>0.1</v>
          </cell>
        </row>
        <row r="351">
          <cell r="A351">
            <v>71793</v>
          </cell>
          <cell r="B351">
            <v>0.90999999999999981</v>
          </cell>
          <cell r="C351">
            <v>0.1</v>
          </cell>
        </row>
        <row r="352">
          <cell r="A352">
            <v>71794</v>
          </cell>
          <cell r="B352">
            <v>0.78500000000000003</v>
          </cell>
          <cell r="C352">
            <v>0</v>
          </cell>
        </row>
        <row r="353">
          <cell r="A353">
            <v>71795</v>
          </cell>
          <cell r="B353">
            <v>0.95</v>
          </cell>
          <cell r="C353">
            <v>0.1</v>
          </cell>
        </row>
        <row r="354">
          <cell r="A354">
            <v>71796</v>
          </cell>
          <cell r="B354">
            <v>1</v>
          </cell>
          <cell r="C354">
            <v>0.1</v>
          </cell>
        </row>
        <row r="355">
          <cell r="A355">
            <v>71806</v>
          </cell>
          <cell r="B355">
            <v>0.89999999999999991</v>
          </cell>
          <cell r="C355">
            <v>0.1</v>
          </cell>
        </row>
        <row r="356">
          <cell r="A356">
            <v>71809</v>
          </cell>
          <cell r="B356">
            <v>0.95000000000000007</v>
          </cell>
          <cell r="C356">
            <v>0.1</v>
          </cell>
        </row>
        <row r="357">
          <cell r="A357">
            <v>71810</v>
          </cell>
          <cell r="B357">
            <v>0.92999999999999994</v>
          </cell>
          <cell r="C357">
            <v>0.1</v>
          </cell>
        </row>
        <row r="358">
          <cell r="A358">
            <v>71812</v>
          </cell>
          <cell r="B358">
            <v>0.98499999999999999</v>
          </cell>
          <cell r="C358">
            <v>0.1</v>
          </cell>
        </row>
        <row r="359">
          <cell r="A359">
            <v>71813</v>
          </cell>
          <cell r="B359">
            <v>0.5</v>
          </cell>
          <cell r="C359">
            <v>0</v>
          </cell>
        </row>
        <row r="360">
          <cell r="A360">
            <v>71814</v>
          </cell>
          <cell r="B360">
            <v>0.95000000000000007</v>
          </cell>
          <cell r="C360">
            <v>0.1</v>
          </cell>
        </row>
        <row r="361">
          <cell r="A361">
            <v>71816</v>
          </cell>
          <cell r="B361">
            <v>1</v>
          </cell>
          <cell r="C361">
            <v>0.1</v>
          </cell>
        </row>
        <row r="362">
          <cell r="A362">
            <v>71822</v>
          </cell>
          <cell r="B362">
            <v>0.5</v>
          </cell>
          <cell r="C362">
            <v>0</v>
          </cell>
        </row>
        <row r="363">
          <cell r="A363">
            <v>71824</v>
          </cell>
          <cell r="B363">
            <v>0.92500000000000004</v>
          </cell>
          <cell r="C363">
            <v>0.1</v>
          </cell>
        </row>
        <row r="364">
          <cell r="A364">
            <v>71825</v>
          </cell>
          <cell r="B364">
            <v>0.82499999999999996</v>
          </cell>
          <cell r="C364">
            <v>0.05</v>
          </cell>
        </row>
        <row r="365">
          <cell r="A365">
            <v>71827</v>
          </cell>
          <cell r="B365">
            <v>0.88500000000000001</v>
          </cell>
          <cell r="C365">
            <v>0.05</v>
          </cell>
        </row>
        <row r="366">
          <cell r="A366">
            <v>71828</v>
          </cell>
          <cell r="B366">
            <v>0.9</v>
          </cell>
          <cell r="C366">
            <v>0.1</v>
          </cell>
        </row>
        <row r="367">
          <cell r="A367">
            <v>71831</v>
          </cell>
          <cell r="B367">
            <v>0.97499999999999998</v>
          </cell>
          <cell r="C367">
            <v>0.1</v>
          </cell>
        </row>
        <row r="368">
          <cell r="A368">
            <v>71834</v>
          </cell>
          <cell r="B368">
            <v>1</v>
          </cell>
          <cell r="C368">
            <v>0.1</v>
          </cell>
        </row>
        <row r="369">
          <cell r="A369">
            <v>71835</v>
          </cell>
          <cell r="B369">
            <v>0.98999999999999988</v>
          </cell>
          <cell r="C369">
            <v>0.1</v>
          </cell>
        </row>
        <row r="370">
          <cell r="A370">
            <v>71839</v>
          </cell>
          <cell r="B370">
            <v>0.92500000000000004</v>
          </cell>
          <cell r="C370">
            <v>0.1</v>
          </cell>
        </row>
        <row r="371">
          <cell r="A371">
            <v>71841</v>
          </cell>
          <cell r="B371">
            <v>0.85</v>
          </cell>
          <cell r="C371">
            <v>0.05</v>
          </cell>
        </row>
        <row r="372">
          <cell r="A372">
            <v>71842</v>
          </cell>
          <cell r="B372">
            <v>0.98</v>
          </cell>
          <cell r="C372">
            <v>0.1</v>
          </cell>
        </row>
        <row r="373">
          <cell r="A373">
            <v>71844</v>
          </cell>
          <cell r="B373">
            <v>0.88</v>
          </cell>
          <cell r="C373">
            <v>0.05</v>
          </cell>
        </row>
        <row r="374">
          <cell r="A374">
            <v>71847</v>
          </cell>
          <cell r="B374">
            <v>0.95</v>
          </cell>
          <cell r="C374">
            <v>0.1</v>
          </cell>
        </row>
        <row r="375">
          <cell r="A375">
            <v>71848</v>
          </cell>
          <cell r="B375">
            <v>0.92500000000000004</v>
          </cell>
          <cell r="C375">
            <v>0.1</v>
          </cell>
        </row>
        <row r="376">
          <cell r="A376">
            <v>71849</v>
          </cell>
          <cell r="B376">
            <v>0.95</v>
          </cell>
          <cell r="C376">
            <v>0.1</v>
          </cell>
        </row>
        <row r="377">
          <cell r="A377">
            <v>71851</v>
          </cell>
          <cell r="B377">
            <v>0.91666666666666663</v>
          </cell>
          <cell r="C377">
            <v>0.1</v>
          </cell>
        </row>
        <row r="378">
          <cell r="A378">
            <v>71852</v>
          </cell>
          <cell r="B378">
            <v>1</v>
          </cell>
          <cell r="C378">
            <v>0.1</v>
          </cell>
        </row>
        <row r="379">
          <cell r="A379">
            <v>71854</v>
          </cell>
          <cell r="B379">
            <v>0.97499999999999998</v>
          </cell>
          <cell r="C379">
            <v>0.1</v>
          </cell>
        </row>
        <row r="380">
          <cell r="A380">
            <v>71856</v>
          </cell>
          <cell r="B380">
            <v>0.98999999999999988</v>
          </cell>
          <cell r="C380">
            <v>0.1</v>
          </cell>
        </row>
        <row r="381">
          <cell r="A381">
            <v>71859</v>
          </cell>
          <cell r="B381">
            <v>0.90999999999999992</v>
          </cell>
          <cell r="C381">
            <v>0.1</v>
          </cell>
        </row>
        <row r="382">
          <cell r="A382">
            <v>71861</v>
          </cell>
          <cell r="B382">
            <v>0.97499999999999998</v>
          </cell>
          <cell r="C382">
            <v>0.1</v>
          </cell>
        </row>
        <row r="383">
          <cell r="A383">
            <v>71865</v>
          </cell>
          <cell r="B383">
            <v>1</v>
          </cell>
          <cell r="C383">
            <v>0.1</v>
          </cell>
        </row>
        <row r="384">
          <cell r="A384">
            <v>71867</v>
          </cell>
          <cell r="B384">
            <v>0.77500000000000002</v>
          </cell>
          <cell r="C384">
            <v>0</v>
          </cell>
        </row>
        <row r="385">
          <cell r="A385">
            <v>71871</v>
          </cell>
          <cell r="B385">
            <v>0.97499999999999998</v>
          </cell>
          <cell r="C385">
            <v>0.1</v>
          </cell>
        </row>
        <row r="386">
          <cell r="A386">
            <v>71874</v>
          </cell>
          <cell r="B386">
            <v>0.92500000000000004</v>
          </cell>
          <cell r="C386">
            <v>0.1</v>
          </cell>
        </row>
        <row r="387">
          <cell r="A387">
            <v>71876</v>
          </cell>
          <cell r="B387">
            <v>0.92500000000000004</v>
          </cell>
          <cell r="C387">
            <v>0.1</v>
          </cell>
        </row>
        <row r="388">
          <cell r="A388">
            <v>71882</v>
          </cell>
          <cell r="B388">
            <v>1</v>
          </cell>
          <cell r="C388">
            <v>0.1</v>
          </cell>
        </row>
        <row r="389">
          <cell r="A389">
            <v>71884</v>
          </cell>
          <cell r="B389">
            <v>1</v>
          </cell>
          <cell r="C389">
            <v>0.1</v>
          </cell>
        </row>
        <row r="390">
          <cell r="A390">
            <v>71885</v>
          </cell>
          <cell r="B390">
            <v>0.92500000000000004</v>
          </cell>
          <cell r="C390">
            <v>0.1</v>
          </cell>
        </row>
        <row r="391">
          <cell r="A391">
            <v>71887</v>
          </cell>
          <cell r="B391">
            <v>0.99</v>
          </cell>
          <cell r="C391">
            <v>0.1</v>
          </cell>
        </row>
        <row r="392">
          <cell r="A392">
            <v>71888</v>
          </cell>
          <cell r="B392">
            <v>0.80499999999999994</v>
          </cell>
          <cell r="C392">
            <v>0.05</v>
          </cell>
        </row>
        <row r="393">
          <cell r="A393">
            <v>71892</v>
          </cell>
          <cell r="B393">
            <v>0.96</v>
          </cell>
          <cell r="C393">
            <v>0.1</v>
          </cell>
        </row>
        <row r="394">
          <cell r="A394">
            <v>71894</v>
          </cell>
          <cell r="B394">
            <v>0.96666666666666667</v>
          </cell>
          <cell r="C394">
            <v>0.1</v>
          </cell>
        </row>
        <row r="395">
          <cell r="A395">
            <v>71895</v>
          </cell>
          <cell r="B395">
            <v>0.99333333333333329</v>
          </cell>
          <cell r="C395">
            <v>0.1</v>
          </cell>
        </row>
        <row r="396">
          <cell r="A396">
            <v>71896</v>
          </cell>
          <cell r="B396">
            <v>0.96</v>
          </cell>
          <cell r="C396">
            <v>0.1</v>
          </cell>
        </row>
        <row r="397">
          <cell r="A397">
            <v>71897</v>
          </cell>
          <cell r="B397">
            <v>0.97000000000000008</v>
          </cell>
          <cell r="C397">
            <v>0.1</v>
          </cell>
        </row>
        <row r="398">
          <cell r="A398">
            <v>71900</v>
          </cell>
          <cell r="B398">
            <v>1</v>
          </cell>
          <cell r="C398">
            <v>0.1</v>
          </cell>
        </row>
        <row r="399">
          <cell r="A399">
            <v>71903</v>
          </cell>
          <cell r="B399">
            <v>0.85</v>
          </cell>
          <cell r="C399">
            <v>0.05</v>
          </cell>
        </row>
        <row r="400">
          <cell r="A400">
            <v>71904</v>
          </cell>
          <cell r="B400">
            <v>0</v>
          </cell>
          <cell r="C400">
            <v>0</v>
          </cell>
        </row>
        <row r="401">
          <cell r="A401">
            <v>71905</v>
          </cell>
          <cell r="B401">
            <v>0.85</v>
          </cell>
          <cell r="C401">
            <v>0.05</v>
          </cell>
        </row>
        <row r="402">
          <cell r="A402">
            <v>71907</v>
          </cell>
          <cell r="B402">
            <v>0.89999999999999991</v>
          </cell>
          <cell r="C402">
            <v>0.1</v>
          </cell>
        </row>
        <row r="403">
          <cell r="A403">
            <v>71908</v>
          </cell>
          <cell r="B403">
            <v>0.95</v>
          </cell>
          <cell r="C403">
            <v>0.1</v>
          </cell>
        </row>
        <row r="404">
          <cell r="A404">
            <v>71911</v>
          </cell>
          <cell r="B404">
            <v>1</v>
          </cell>
          <cell r="C404">
            <v>0.1</v>
          </cell>
        </row>
        <row r="405">
          <cell r="A405">
            <v>71912</v>
          </cell>
          <cell r="B405">
            <v>0.96666666666666667</v>
          </cell>
          <cell r="C405">
            <v>0.1</v>
          </cell>
        </row>
        <row r="406">
          <cell r="A406">
            <v>71913</v>
          </cell>
          <cell r="B406">
            <v>0.86</v>
          </cell>
          <cell r="C406">
            <v>0.05</v>
          </cell>
        </row>
        <row r="407">
          <cell r="A407">
            <v>71914</v>
          </cell>
          <cell r="B407">
            <v>0.92500000000000004</v>
          </cell>
          <cell r="C407">
            <v>0.1</v>
          </cell>
        </row>
        <row r="408">
          <cell r="A408">
            <v>71915</v>
          </cell>
          <cell r="B408">
            <v>0.92500000000000004</v>
          </cell>
          <cell r="C408">
            <v>0.1</v>
          </cell>
        </row>
        <row r="409">
          <cell r="A409">
            <v>71919</v>
          </cell>
          <cell r="B409">
            <v>0.91500000000000004</v>
          </cell>
          <cell r="C409">
            <v>0.1</v>
          </cell>
        </row>
        <row r="410">
          <cell r="A410">
            <v>71923</v>
          </cell>
          <cell r="B410">
            <v>0.86</v>
          </cell>
          <cell r="C410">
            <v>0.05</v>
          </cell>
        </row>
        <row r="411">
          <cell r="A411">
            <v>71925</v>
          </cell>
          <cell r="B411">
            <v>0.98</v>
          </cell>
          <cell r="C411">
            <v>0.1</v>
          </cell>
        </row>
        <row r="412">
          <cell r="A412">
            <v>71927</v>
          </cell>
          <cell r="B412">
            <v>0.89999999999999991</v>
          </cell>
          <cell r="C412">
            <v>0.1</v>
          </cell>
        </row>
        <row r="413">
          <cell r="A413">
            <v>71928</v>
          </cell>
          <cell r="B413">
            <v>0.86499999999999999</v>
          </cell>
          <cell r="C413">
            <v>0.05</v>
          </cell>
        </row>
        <row r="414">
          <cell r="A414">
            <v>71930</v>
          </cell>
          <cell r="B414">
            <v>1</v>
          </cell>
          <cell r="C414">
            <v>0.1</v>
          </cell>
        </row>
        <row r="415">
          <cell r="A415">
            <v>71932</v>
          </cell>
          <cell r="B415">
            <v>0.92999999999999994</v>
          </cell>
          <cell r="C415">
            <v>0.1</v>
          </cell>
        </row>
        <row r="416">
          <cell r="A416">
            <v>71933</v>
          </cell>
          <cell r="B416">
            <v>0.82499999999999996</v>
          </cell>
          <cell r="C416">
            <v>0.05</v>
          </cell>
        </row>
        <row r="417">
          <cell r="A417">
            <v>71935</v>
          </cell>
          <cell r="B417">
            <v>0.97499999999999998</v>
          </cell>
          <cell r="C417">
            <v>0.1</v>
          </cell>
        </row>
        <row r="418">
          <cell r="A418">
            <v>71936</v>
          </cell>
          <cell r="B418">
            <v>0.82499999999999996</v>
          </cell>
          <cell r="C418">
            <v>0.05</v>
          </cell>
        </row>
        <row r="419">
          <cell r="A419">
            <v>71946</v>
          </cell>
          <cell r="B419">
            <v>1</v>
          </cell>
          <cell r="C419">
            <v>0.1</v>
          </cell>
        </row>
        <row r="420">
          <cell r="A420">
            <v>71948</v>
          </cell>
          <cell r="B420">
            <v>0.92500000000000004</v>
          </cell>
          <cell r="C420">
            <v>0.1</v>
          </cell>
        </row>
        <row r="421">
          <cell r="A421">
            <v>71951</v>
          </cell>
          <cell r="B421">
            <v>1</v>
          </cell>
          <cell r="C421">
            <v>0.1</v>
          </cell>
        </row>
        <row r="422">
          <cell r="A422">
            <v>71955</v>
          </cell>
          <cell r="B422">
            <v>0.81499999999999995</v>
          </cell>
          <cell r="C422">
            <v>0.05</v>
          </cell>
        </row>
        <row r="423">
          <cell r="A423">
            <v>71959</v>
          </cell>
          <cell r="B423">
            <v>0.92500000000000004</v>
          </cell>
          <cell r="C423">
            <v>0.1</v>
          </cell>
        </row>
        <row r="424">
          <cell r="A424">
            <v>71962</v>
          </cell>
          <cell r="B424">
            <v>1</v>
          </cell>
          <cell r="C424">
            <v>0.1</v>
          </cell>
        </row>
        <row r="425">
          <cell r="A425">
            <v>71966</v>
          </cell>
          <cell r="B425">
            <v>0.98</v>
          </cell>
          <cell r="C425">
            <v>0.1</v>
          </cell>
        </row>
        <row r="426">
          <cell r="A426">
            <v>71967</v>
          </cell>
          <cell r="B426">
            <v>0.875</v>
          </cell>
          <cell r="C426">
            <v>0.05</v>
          </cell>
        </row>
        <row r="427">
          <cell r="A427">
            <v>71969</v>
          </cell>
          <cell r="B427">
            <v>0.82499999999999996</v>
          </cell>
          <cell r="C427">
            <v>0.05</v>
          </cell>
        </row>
        <row r="428">
          <cell r="A428">
            <v>71974</v>
          </cell>
          <cell r="B428">
            <v>0.92500000000000004</v>
          </cell>
          <cell r="C428">
            <v>0.1</v>
          </cell>
        </row>
        <row r="429">
          <cell r="A429">
            <v>71975</v>
          </cell>
          <cell r="B429">
            <v>0.94500000000000006</v>
          </cell>
          <cell r="C429">
            <v>0.1</v>
          </cell>
        </row>
        <row r="430">
          <cell r="A430">
            <v>71979</v>
          </cell>
          <cell r="B430">
            <v>0.875</v>
          </cell>
          <cell r="C430">
            <v>0.05</v>
          </cell>
        </row>
        <row r="431">
          <cell r="A431">
            <v>71980</v>
          </cell>
          <cell r="B431">
            <v>1</v>
          </cell>
          <cell r="C431">
            <v>0.1</v>
          </cell>
        </row>
        <row r="432">
          <cell r="A432">
            <v>71981</v>
          </cell>
          <cell r="B432">
            <v>0.71499999999999997</v>
          </cell>
          <cell r="C432">
            <v>0</v>
          </cell>
        </row>
        <row r="433">
          <cell r="A433">
            <v>71989</v>
          </cell>
          <cell r="B433">
            <v>0.92500000000000004</v>
          </cell>
          <cell r="C433">
            <v>0.1</v>
          </cell>
        </row>
        <row r="434">
          <cell r="A434">
            <v>71991</v>
          </cell>
          <cell r="B434">
            <v>1</v>
          </cell>
          <cell r="C434">
            <v>0.1</v>
          </cell>
        </row>
        <row r="435">
          <cell r="A435">
            <v>71993</v>
          </cell>
          <cell r="B435">
            <v>0.95</v>
          </cell>
          <cell r="C435">
            <v>0.1</v>
          </cell>
        </row>
        <row r="436">
          <cell r="A436">
            <v>71998</v>
          </cell>
          <cell r="B436">
            <v>1</v>
          </cell>
          <cell r="C436">
            <v>0.1</v>
          </cell>
        </row>
        <row r="437">
          <cell r="A437">
            <v>72106</v>
          </cell>
          <cell r="B437">
            <v>0.93333333333333324</v>
          </cell>
          <cell r="C437">
            <v>0.1</v>
          </cell>
        </row>
        <row r="438">
          <cell r="A438">
            <v>72107</v>
          </cell>
          <cell r="B438">
            <v>0.82499999999999996</v>
          </cell>
          <cell r="C438">
            <v>0.05</v>
          </cell>
        </row>
        <row r="439">
          <cell r="A439">
            <v>72108</v>
          </cell>
          <cell r="B439">
            <v>0.92999999999999994</v>
          </cell>
          <cell r="C439">
            <v>0.1</v>
          </cell>
        </row>
        <row r="440">
          <cell r="A440">
            <v>72109</v>
          </cell>
          <cell r="B440">
            <v>0.88</v>
          </cell>
          <cell r="C440">
            <v>0.05</v>
          </cell>
        </row>
        <row r="441">
          <cell r="A441">
            <v>72111</v>
          </cell>
          <cell r="B441">
            <v>0.56999999999999995</v>
          </cell>
          <cell r="C441">
            <v>0</v>
          </cell>
        </row>
        <row r="442">
          <cell r="A442">
            <v>72112</v>
          </cell>
          <cell r="B442">
            <v>0.98499999999999999</v>
          </cell>
          <cell r="C442">
            <v>0.1</v>
          </cell>
        </row>
        <row r="443">
          <cell r="A443">
            <v>72113</v>
          </cell>
          <cell r="B443">
            <v>1</v>
          </cell>
          <cell r="C443">
            <v>0.1</v>
          </cell>
        </row>
        <row r="444">
          <cell r="A444">
            <v>72119</v>
          </cell>
          <cell r="B444">
            <v>0.90500000000000003</v>
          </cell>
          <cell r="C444">
            <v>0.1</v>
          </cell>
        </row>
        <row r="445">
          <cell r="A445">
            <v>72121</v>
          </cell>
          <cell r="B445">
            <v>1</v>
          </cell>
          <cell r="C445">
            <v>0.1</v>
          </cell>
        </row>
        <row r="446">
          <cell r="A446">
            <v>72122</v>
          </cell>
          <cell r="B446">
            <v>0.92500000000000004</v>
          </cell>
          <cell r="C446">
            <v>0.1</v>
          </cell>
        </row>
        <row r="447">
          <cell r="A447">
            <v>72124</v>
          </cell>
          <cell r="B447">
            <v>1</v>
          </cell>
          <cell r="C447">
            <v>0.1</v>
          </cell>
        </row>
        <row r="448">
          <cell r="A448">
            <v>72125</v>
          </cell>
          <cell r="B448">
            <v>0.875</v>
          </cell>
          <cell r="C448">
            <v>0.05</v>
          </cell>
        </row>
        <row r="449">
          <cell r="A449">
            <v>72126</v>
          </cell>
          <cell r="B449">
            <v>0.85</v>
          </cell>
          <cell r="C449">
            <v>0.05</v>
          </cell>
        </row>
        <row r="450">
          <cell r="A450">
            <v>72129</v>
          </cell>
          <cell r="B450">
            <v>0.77500000000000002</v>
          </cell>
          <cell r="C450">
            <v>0</v>
          </cell>
        </row>
        <row r="451">
          <cell r="A451">
            <v>72130</v>
          </cell>
          <cell r="B451">
            <v>0.80499999999999994</v>
          </cell>
          <cell r="C451">
            <v>0.05</v>
          </cell>
        </row>
        <row r="452">
          <cell r="A452">
            <v>72134</v>
          </cell>
          <cell r="B452">
            <v>0.9</v>
          </cell>
          <cell r="C452">
            <v>0.1</v>
          </cell>
        </row>
        <row r="453">
          <cell r="A453">
            <v>72135</v>
          </cell>
          <cell r="B453">
            <v>0.5</v>
          </cell>
          <cell r="C453">
            <v>0</v>
          </cell>
        </row>
        <row r="454">
          <cell r="A454">
            <v>72136</v>
          </cell>
          <cell r="B454">
            <v>0.49</v>
          </cell>
          <cell r="C454">
            <v>0</v>
          </cell>
        </row>
        <row r="455">
          <cell r="A455">
            <v>72137</v>
          </cell>
          <cell r="B455">
            <v>1</v>
          </cell>
          <cell r="C455">
            <v>0.1</v>
          </cell>
        </row>
        <row r="456">
          <cell r="A456">
            <v>72141</v>
          </cell>
          <cell r="B456">
            <v>0.91500000000000004</v>
          </cell>
          <cell r="C456">
            <v>0.1</v>
          </cell>
        </row>
        <row r="457">
          <cell r="A457">
            <v>72142</v>
          </cell>
          <cell r="B457">
            <v>0.82499999999999996</v>
          </cell>
          <cell r="C457">
            <v>0.05</v>
          </cell>
        </row>
        <row r="458">
          <cell r="A458">
            <v>72144</v>
          </cell>
          <cell r="B458">
            <v>0.98499999999999999</v>
          </cell>
          <cell r="C458">
            <v>0.1</v>
          </cell>
        </row>
        <row r="459">
          <cell r="A459">
            <v>72145</v>
          </cell>
          <cell r="B459">
            <v>0.92500000000000004</v>
          </cell>
          <cell r="C459">
            <v>0.1</v>
          </cell>
        </row>
        <row r="460">
          <cell r="A460">
            <v>72147</v>
          </cell>
          <cell r="B460">
            <v>1</v>
          </cell>
          <cell r="C460">
            <v>0.1</v>
          </cell>
        </row>
        <row r="461">
          <cell r="A461">
            <v>72150</v>
          </cell>
          <cell r="B461">
            <v>0.93500000000000005</v>
          </cell>
          <cell r="C461">
            <v>0.1</v>
          </cell>
        </row>
        <row r="462">
          <cell r="A462">
            <v>72151</v>
          </cell>
          <cell r="B462">
            <v>0.90999999999999992</v>
          </cell>
          <cell r="C462">
            <v>0.1</v>
          </cell>
        </row>
        <row r="463">
          <cell r="A463">
            <v>72152</v>
          </cell>
          <cell r="B463">
            <v>0.95</v>
          </cell>
          <cell r="C463">
            <v>0.1</v>
          </cell>
        </row>
        <row r="464">
          <cell r="A464">
            <v>72156</v>
          </cell>
          <cell r="B464">
            <v>0.86999999999999988</v>
          </cell>
          <cell r="C464">
            <v>0.05</v>
          </cell>
        </row>
        <row r="465">
          <cell r="A465">
            <v>72157</v>
          </cell>
          <cell r="B465">
            <v>0.97499999999999998</v>
          </cell>
          <cell r="C465">
            <v>0.1</v>
          </cell>
        </row>
        <row r="466">
          <cell r="A466">
            <v>72160</v>
          </cell>
          <cell r="B466">
            <v>1</v>
          </cell>
          <cell r="C466">
            <v>0.1</v>
          </cell>
        </row>
        <row r="467">
          <cell r="A467">
            <v>72162</v>
          </cell>
          <cell r="B467">
            <v>0.9</v>
          </cell>
          <cell r="C467">
            <v>0.1</v>
          </cell>
        </row>
        <row r="468">
          <cell r="A468">
            <v>72165</v>
          </cell>
          <cell r="B468">
            <v>0.98499999999999999</v>
          </cell>
          <cell r="C468">
            <v>0.1</v>
          </cell>
        </row>
        <row r="469">
          <cell r="A469">
            <v>72166</v>
          </cell>
          <cell r="B469">
            <v>0.91</v>
          </cell>
          <cell r="C469">
            <v>0.1</v>
          </cell>
        </row>
        <row r="470">
          <cell r="A470">
            <v>72170</v>
          </cell>
          <cell r="B470">
            <v>0.95</v>
          </cell>
          <cell r="C470">
            <v>0.1</v>
          </cell>
        </row>
        <row r="471">
          <cell r="A471">
            <v>72171</v>
          </cell>
          <cell r="B471">
            <v>0.92500000000000004</v>
          </cell>
          <cell r="C471">
            <v>0.1</v>
          </cell>
        </row>
        <row r="472">
          <cell r="A472">
            <v>72172</v>
          </cell>
          <cell r="B472">
            <v>0.96666666666666667</v>
          </cell>
          <cell r="C472">
            <v>0.1</v>
          </cell>
        </row>
        <row r="473">
          <cell r="A473">
            <v>72173</v>
          </cell>
          <cell r="B473">
            <v>1</v>
          </cell>
          <cell r="C473">
            <v>0.1</v>
          </cell>
        </row>
        <row r="474">
          <cell r="A474">
            <v>72174</v>
          </cell>
          <cell r="B474">
            <v>1</v>
          </cell>
          <cell r="C474">
            <v>0.1</v>
          </cell>
        </row>
        <row r="475">
          <cell r="A475">
            <v>72175</v>
          </cell>
          <cell r="B475">
            <v>0.875</v>
          </cell>
          <cell r="C475">
            <v>0.05</v>
          </cell>
        </row>
        <row r="476">
          <cell r="A476">
            <v>72177</v>
          </cell>
          <cell r="B476">
            <v>0.4</v>
          </cell>
          <cell r="C476">
            <v>0</v>
          </cell>
        </row>
        <row r="477">
          <cell r="A477">
            <v>72178</v>
          </cell>
          <cell r="B477">
            <v>0.91999999999999993</v>
          </cell>
          <cell r="C477">
            <v>0.1</v>
          </cell>
        </row>
        <row r="478">
          <cell r="A478">
            <v>72182</v>
          </cell>
          <cell r="B478">
            <v>0.93500000000000005</v>
          </cell>
          <cell r="C478">
            <v>0.1</v>
          </cell>
        </row>
        <row r="479">
          <cell r="A479">
            <v>72185</v>
          </cell>
          <cell r="B479">
            <v>1</v>
          </cell>
          <cell r="C479">
            <v>0.1</v>
          </cell>
        </row>
        <row r="480">
          <cell r="A480">
            <v>72186</v>
          </cell>
          <cell r="B480">
            <v>0.82499999999999996</v>
          </cell>
          <cell r="C480">
            <v>0.05</v>
          </cell>
        </row>
        <row r="481">
          <cell r="A481">
            <v>72187</v>
          </cell>
          <cell r="B481">
            <v>1</v>
          </cell>
          <cell r="C481">
            <v>0.1</v>
          </cell>
        </row>
        <row r="482">
          <cell r="A482">
            <v>72190</v>
          </cell>
          <cell r="B482">
            <v>0.9</v>
          </cell>
          <cell r="C482">
            <v>0.1</v>
          </cell>
        </row>
        <row r="483">
          <cell r="A483">
            <v>72193</v>
          </cell>
          <cell r="B483">
            <v>0.95</v>
          </cell>
          <cell r="C483">
            <v>0.1</v>
          </cell>
        </row>
        <row r="484">
          <cell r="A484">
            <v>72194</v>
          </cell>
          <cell r="B484">
            <v>0.5</v>
          </cell>
          <cell r="C484">
            <v>0</v>
          </cell>
        </row>
        <row r="485">
          <cell r="A485">
            <v>72200</v>
          </cell>
          <cell r="B485">
            <v>0.95500000000000007</v>
          </cell>
          <cell r="C485">
            <v>0.1</v>
          </cell>
        </row>
        <row r="486">
          <cell r="A486">
            <v>72203</v>
          </cell>
          <cell r="B486">
            <v>0.82499999999999996</v>
          </cell>
          <cell r="C486">
            <v>0.05</v>
          </cell>
        </row>
        <row r="487">
          <cell r="A487">
            <v>72204</v>
          </cell>
          <cell r="B487">
            <v>0.41499999999999998</v>
          </cell>
          <cell r="C487">
            <v>0</v>
          </cell>
        </row>
        <row r="488">
          <cell r="A488">
            <v>72206</v>
          </cell>
          <cell r="B488">
            <v>0.4325</v>
          </cell>
          <cell r="C488">
            <v>0</v>
          </cell>
        </row>
        <row r="489">
          <cell r="A489">
            <v>72207</v>
          </cell>
          <cell r="B489">
            <v>0.97499999999999998</v>
          </cell>
          <cell r="C489">
            <v>0.1</v>
          </cell>
        </row>
        <row r="490">
          <cell r="A490">
            <v>72208</v>
          </cell>
          <cell r="B490">
            <v>0.96499999999999997</v>
          </cell>
          <cell r="C490">
            <v>0.1</v>
          </cell>
        </row>
        <row r="491">
          <cell r="A491">
            <v>72210</v>
          </cell>
          <cell r="B491">
            <v>1</v>
          </cell>
          <cell r="C491">
            <v>0.1</v>
          </cell>
        </row>
        <row r="492">
          <cell r="A492">
            <v>72211</v>
          </cell>
          <cell r="B492">
            <v>0.78333333333333333</v>
          </cell>
          <cell r="C492">
            <v>0</v>
          </cell>
        </row>
        <row r="493">
          <cell r="A493">
            <v>72212</v>
          </cell>
          <cell r="B493">
            <v>1</v>
          </cell>
          <cell r="C493">
            <v>0.1</v>
          </cell>
        </row>
        <row r="494">
          <cell r="A494">
            <v>72216</v>
          </cell>
          <cell r="B494">
            <v>0.875</v>
          </cell>
          <cell r="C494">
            <v>0.05</v>
          </cell>
        </row>
        <row r="495">
          <cell r="A495">
            <v>72218</v>
          </cell>
          <cell r="B495">
            <v>0.95</v>
          </cell>
          <cell r="C495">
            <v>0.1</v>
          </cell>
        </row>
        <row r="496">
          <cell r="A496">
            <v>72220</v>
          </cell>
          <cell r="B496">
            <v>0.95</v>
          </cell>
          <cell r="C496">
            <v>0.1</v>
          </cell>
        </row>
        <row r="497">
          <cell r="A497">
            <v>72221</v>
          </cell>
          <cell r="B497">
            <v>0.92500000000000004</v>
          </cell>
          <cell r="C497">
            <v>0.1</v>
          </cell>
        </row>
        <row r="498">
          <cell r="A498">
            <v>72223</v>
          </cell>
          <cell r="B498">
            <v>0.72500000000000009</v>
          </cell>
          <cell r="C498">
            <v>0</v>
          </cell>
        </row>
        <row r="499">
          <cell r="A499">
            <v>72227</v>
          </cell>
          <cell r="B499">
            <v>1</v>
          </cell>
          <cell r="C499">
            <v>0.1</v>
          </cell>
        </row>
        <row r="500">
          <cell r="A500">
            <v>72228</v>
          </cell>
          <cell r="B500">
            <v>0.875</v>
          </cell>
          <cell r="C500">
            <v>0.05</v>
          </cell>
        </row>
        <row r="501">
          <cell r="A501">
            <v>72229</v>
          </cell>
          <cell r="B501">
            <v>0.5</v>
          </cell>
          <cell r="C501">
            <v>0</v>
          </cell>
        </row>
        <row r="502">
          <cell r="A502">
            <v>72230</v>
          </cell>
          <cell r="B502">
            <v>0.88</v>
          </cell>
          <cell r="C502">
            <v>0.05</v>
          </cell>
        </row>
        <row r="503">
          <cell r="A503">
            <v>72231</v>
          </cell>
          <cell r="B503">
            <v>0.92500000000000004</v>
          </cell>
          <cell r="C503">
            <v>0.1</v>
          </cell>
        </row>
        <row r="504">
          <cell r="A504">
            <v>72232</v>
          </cell>
          <cell r="B504">
            <v>1</v>
          </cell>
          <cell r="C504">
            <v>0.1</v>
          </cell>
        </row>
        <row r="505">
          <cell r="A505">
            <v>72234</v>
          </cell>
          <cell r="B505">
            <v>1</v>
          </cell>
          <cell r="C505">
            <v>0.1</v>
          </cell>
        </row>
        <row r="506">
          <cell r="A506">
            <v>72243</v>
          </cell>
          <cell r="B506">
            <v>0.85</v>
          </cell>
          <cell r="C506">
            <v>0.05</v>
          </cell>
        </row>
        <row r="507">
          <cell r="A507">
            <v>72300</v>
          </cell>
          <cell r="B507">
            <v>0.94</v>
          </cell>
          <cell r="C507">
            <v>0.1</v>
          </cell>
        </row>
        <row r="508">
          <cell r="A508">
            <v>72303</v>
          </cell>
          <cell r="B508">
            <v>1</v>
          </cell>
          <cell r="C508">
            <v>0.1</v>
          </cell>
        </row>
        <row r="509">
          <cell r="A509">
            <v>72304</v>
          </cell>
          <cell r="B509">
            <v>0.98499999999999999</v>
          </cell>
          <cell r="C509">
            <v>0.1</v>
          </cell>
        </row>
        <row r="510">
          <cell r="A510">
            <v>72306</v>
          </cell>
          <cell r="B510">
            <v>0.9</v>
          </cell>
          <cell r="C510">
            <v>0.1</v>
          </cell>
        </row>
        <row r="511">
          <cell r="A511">
            <v>72307</v>
          </cell>
          <cell r="B511">
            <v>0.77500000000000002</v>
          </cell>
          <cell r="C511">
            <v>0</v>
          </cell>
        </row>
        <row r="512">
          <cell r="A512">
            <v>72308</v>
          </cell>
          <cell r="B512">
            <v>0.92500000000000004</v>
          </cell>
          <cell r="C512">
            <v>0.1</v>
          </cell>
        </row>
        <row r="513">
          <cell r="A513">
            <v>72309</v>
          </cell>
          <cell r="B513">
            <v>0.9</v>
          </cell>
          <cell r="C513">
            <v>0.1</v>
          </cell>
        </row>
        <row r="514">
          <cell r="A514">
            <v>72313</v>
          </cell>
          <cell r="B514">
            <v>0.42499999999999999</v>
          </cell>
          <cell r="C514">
            <v>0</v>
          </cell>
        </row>
        <row r="515">
          <cell r="A515">
            <v>72315</v>
          </cell>
          <cell r="B515">
            <v>0.91666666666666663</v>
          </cell>
          <cell r="C515">
            <v>0.1</v>
          </cell>
        </row>
        <row r="516">
          <cell r="A516">
            <v>72316</v>
          </cell>
          <cell r="B516">
            <v>1</v>
          </cell>
          <cell r="C516">
            <v>0.1</v>
          </cell>
        </row>
        <row r="517">
          <cell r="A517">
            <v>72317</v>
          </cell>
          <cell r="B517">
            <v>0.90999999999999992</v>
          </cell>
          <cell r="C517">
            <v>0.1</v>
          </cell>
        </row>
        <row r="518">
          <cell r="A518">
            <v>72319</v>
          </cell>
          <cell r="B518">
            <v>0.7</v>
          </cell>
          <cell r="C518">
            <v>0</v>
          </cell>
        </row>
        <row r="519">
          <cell r="A519">
            <v>72320</v>
          </cell>
          <cell r="B519">
            <v>0.5</v>
          </cell>
          <cell r="C519">
            <v>0</v>
          </cell>
        </row>
        <row r="520">
          <cell r="A520">
            <v>72323</v>
          </cell>
          <cell r="B520">
            <v>0.47499999999999998</v>
          </cell>
          <cell r="C520">
            <v>0</v>
          </cell>
        </row>
        <row r="521">
          <cell r="A521">
            <v>72324</v>
          </cell>
          <cell r="B521">
            <v>0.78</v>
          </cell>
          <cell r="C521">
            <v>0</v>
          </cell>
        </row>
        <row r="522">
          <cell r="A522">
            <v>72325</v>
          </cell>
          <cell r="B522">
            <v>0.92500000000000004</v>
          </cell>
          <cell r="C522">
            <v>0.1</v>
          </cell>
        </row>
        <row r="523">
          <cell r="A523">
            <v>72326</v>
          </cell>
          <cell r="B523">
            <v>0.82499999999999996</v>
          </cell>
          <cell r="C523">
            <v>0.05</v>
          </cell>
        </row>
        <row r="524">
          <cell r="A524">
            <v>72331</v>
          </cell>
          <cell r="B524">
            <v>0.8</v>
          </cell>
          <cell r="C524">
            <v>0.05</v>
          </cell>
        </row>
        <row r="525">
          <cell r="A525">
            <v>72332</v>
          </cell>
          <cell r="B525">
            <v>0.92500000000000004</v>
          </cell>
          <cell r="C525">
            <v>0.1</v>
          </cell>
        </row>
        <row r="526">
          <cell r="A526">
            <v>72333</v>
          </cell>
          <cell r="B526">
            <v>0.92500000000000004</v>
          </cell>
          <cell r="C526">
            <v>0.1</v>
          </cell>
        </row>
        <row r="527">
          <cell r="A527">
            <v>72337</v>
          </cell>
          <cell r="B527">
            <v>0.875</v>
          </cell>
          <cell r="C527">
            <v>0.05</v>
          </cell>
        </row>
        <row r="528">
          <cell r="A528">
            <v>72339</v>
          </cell>
          <cell r="B528">
            <v>0.31666666666666665</v>
          </cell>
          <cell r="C528">
            <v>0</v>
          </cell>
        </row>
        <row r="529">
          <cell r="A529">
            <v>72342</v>
          </cell>
          <cell r="B529">
            <v>1</v>
          </cell>
          <cell r="C529">
            <v>0.1</v>
          </cell>
        </row>
        <row r="530">
          <cell r="A530">
            <v>72344</v>
          </cell>
          <cell r="B530">
            <v>0.95</v>
          </cell>
          <cell r="C530">
            <v>0.1</v>
          </cell>
        </row>
        <row r="531">
          <cell r="A531">
            <v>72345</v>
          </cell>
          <cell r="B531">
            <v>0.91666666666666663</v>
          </cell>
          <cell r="C531">
            <v>0.1</v>
          </cell>
        </row>
        <row r="532">
          <cell r="A532">
            <v>72346</v>
          </cell>
          <cell r="B532">
            <v>0.92999999999999994</v>
          </cell>
          <cell r="C532">
            <v>0.1</v>
          </cell>
        </row>
        <row r="533">
          <cell r="A533">
            <v>72347</v>
          </cell>
          <cell r="B533">
            <v>0.89999999999999991</v>
          </cell>
          <cell r="C533">
            <v>0.1</v>
          </cell>
        </row>
        <row r="534">
          <cell r="A534">
            <v>72348</v>
          </cell>
          <cell r="B534">
            <v>0.93500000000000005</v>
          </cell>
          <cell r="C534">
            <v>0.1</v>
          </cell>
        </row>
        <row r="535">
          <cell r="A535">
            <v>72349</v>
          </cell>
          <cell r="B535">
            <v>0.85</v>
          </cell>
          <cell r="C535">
            <v>0.05</v>
          </cell>
        </row>
        <row r="536">
          <cell r="A536">
            <v>72350</v>
          </cell>
          <cell r="B536">
            <v>0.92500000000000004</v>
          </cell>
          <cell r="C536">
            <v>0.1</v>
          </cell>
        </row>
        <row r="537">
          <cell r="A537">
            <v>72351</v>
          </cell>
          <cell r="B537">
            <v>0.85</v>
          </cell>
          <cell r="C537">
            <v>0.05</v>
          </cell>
        </row>
        <row r="538">
          <cell r="A538">
            <v>72352</v>
          </cell>
          <cell r="B538">
            <v>0.5</v>
          </cell>
          <cell r="C538">
            <v>0</v>
          </cell>
        </row>
        <row r="539">
          <cell r="A539">
            <v>72353</v>
          </cell>
          <cell r="B539">
            <v>0.75</v>
          </cell>
          <cell r="C539">
            <v>0</v>
          </cell>
        </row>
        <row r="540">
          <cell r="A540">
            <v>72354</v>
          </cell>
          <cell r="B540">
            <v>1</v>
          </cell>
          <cell r="C540">
            <v>0.1</v>
          </cell>
        </row>
        <row r="541">
          <cell r="A541">
            <v>72358</v>
          </cell>
          <cell r="B541">
            <v>1</v>
          </cell>
          <cell r="C541">
            <v>0.1</v>
          </cell>
        </row>
        <row r="542">
          <cell r="A542">
            <v>72359</v>
          </cell>
          <cell r="B542">
            <v>0.97499999999999998</v>
          </cell>
          <cell r="C542">
            <v>0.1</v>
          </cell>
        </row>
        <row r="543">
          <cell r="A543">
            <v>72360</v>
          </cell>
          <cell r="B543">
            <v>1</v>
          </cell>
          <cell r="C543">
            <v>0.1</v>
          </cell>
        </row>
        <row r="544">
          <cell r="A544">
            <v>72361</v>
          </cell>
          <cell r="B544">
            <v>0.8</v>
          </cell>
          <cell r="C544">
            <v>0.05</v>
          </cell>
        </row>
        <row r="545">
          <cell r="A545">
            <v>72362</v>
          </cell>
          <cell r="B545">
            <v>0.97</v>
          </cell>
          <cell r="C545">
            <v>0.1</v>
          </cell>
        </row>
        <row r="546">
          <cell r="A546">
            <v>72364</v>
          </cell>
          <cell r="B546">
            <v>0.92500000000000004</v>
          </cell>
          <cell r="C546">
            <v>0.1</v>
          </cell>
        </row>
        <row r="547">
          <cell r="A547">
            <v>72365</v>
          </cell>
          <cell r="B547">
            <v>1</v>
          </cell>
          <cell r="C547">
            <v>0.1</v>
          </cell>
        </row>
        <row r="548">
          <cell r="A548">
            <v>72369</v>
          </cell>
          <cell r="B548">
            <v>1</v>
          </cell>
          <cell r="C548">
            <v>0.1</v>
          </cell>
        </row>
        <row r="549">
          <cell r="A549">
            <v>72370</v>
          </cell>
          <cell r="B549">
            <v>1</v>
          </cell>
          <cell r="C549">
            <v>0.1</v>
          </cell>
        </row>
        <row r="550">
          <cell r="A550">
            <v>72372</v>
          </cell>
          <cell r="B550">
            <v>0.66666666666666663</v>
          </cell>
          <cell r="C550">
            <v>0</v>
          </cell>
        </row>
        <row r="551">
          <cell r="A551">
            <v>72374</v>
          </cell>
          <cell r="B551">
            <v>0.875</v>
          </cell>
          <cell r="C551">
            <v>0.05</v>
          </cell>
        </row>
        <row r="552">
          <cell r="A552">
            <v>72375</v>
          </cell>
          <cell r="B552">
            <v>1</v>
          </cell>
          <cell r="C552">
            <v>0.1</v>
          </cell>
        </row>
        <row r="553">
          <cell r="A553">
            <v>72376</v>
          </cell>
          <cell r="B553">
            <v>0.85</v>
          </cell>
          <cell r="C553">
            <v>0.05</v>
          </cell>
        </row>
        <row r="554">
          <cell r="A554">
            <v>72377</v>
          </cell>
          <cell r="B554">
            <v>0.4</v>
          </cell>
          <cell r="C554">
            <v>0</v>
          </cell>
        </row>
        <row r="555">
          <cell r="A555">
            <v>72378</v>
          </cell>
          <cell r="B555">
            <v>0.94500000000000006</v>
          </cell>
          <cell r="C555">
            <v>0.1</v>
          </cell>
        </row>
        <row r="556">
          <cell r="A556">
            <v>72379</v>
          </cell>
          <cell r="B556">
            <v>1</v>
          </cell>
          <cell r="C556">
            <v>0.1</v>
          </cell>
        </row>
        <row r="557">
          <cell r="A557">
            <v>72380</v>
          </cell>
          <cell r="B557">
            <v>1</v>
          </cell>
          <cell r="C557">
            <v>0.1</v>
          </cell>
        </row>
        <row r="558">
          <cell r="A558">
            <v>72402</v>
          </cell>
          <cell r="B558">
            <v>0.4</v>
          </cell>
          <cell r="C558">
            <v>0</v>
          </cell>
        </row>
        <row r="559">
          <cell r="A559">
            <v>72405</v>
          </cell>
          <cell r="B559">
            <v>0.82499999999999996</v>
          </cell>
          <cell r="C559">
            <v>0.05</v>
          </cell>
        </row>
        <row r="560">
          <cell r="A560">
            <v>72407</v>
          </cell>
          <cell r="B560">
            <v>0.91666666666666663</v>
          </cell>
          <cell r="C560">
            <v>0.1</v>
          </cell>
        </row>
        <row r="561">
          <cell r="A561">
            <v>72410</v>
          </cell>
          <cell r="B561">
            <v>0.42499999999999999</v>
          </cell>
          <cell r="C561">
            <v>0</v>
          </cell>
        </row>
        <row r="562">
          <cell r="A562">
            <v>72411</v>
          </cell>
          <cell r="B562">
            <v>0.97499999999999998</v>
          </cell>
          <cell r="C562">
            <v>0.1</v>
          </cell>
        </row>
        <row r="563">
          <cell r="A563">
            <v>72412</v>
          </cell>
          <cell r="B563">
            <v>0.66666666666666663</v>
          </cell>
          <cell r="C563">
            <v>0</v>
          </cell>
        </row>
        <row r="564">
          <cell r="A564">
            <v>72417</v>
          </cell>
          <cell r="B564">
            <v>1</v>
          </cell>
          <cell r="C564">
            <v>0.1</v>
          </cell>
        </row>
        <row r="565">
          <cell r="A565">
            <v>72419</v>
          </cell>
          <cell r="B565">
            <v>0.8600000000000001</v>
          </cell>
          <cell r="C565">
            <v>0.05</v>
          </cell>
        </row>
        <row r="566">
          <cell r="A566">
            <v>72422</v>
          </cell>
          <cell r="B566">
            <v>0.88500000000000001</v>
          </cell>
          <cell r="C566">
            <v>0.05</v>
          </cell>
        </row>
        <row r="567">
          <cell r="A567">
            <v>72423</v>
          </cell>
          <cell r="B567">
            <v>0.82499999999999996</v>
          </cell>
          <cell r="C567">
            <v>0.05</v>
          </cell>
        </row>
        <row r="568">
          <cell r="A568">
            <v>72424</v>
          </cell>
          <cell r="B568">
            <v>0.92500000000000004</v>
          </cell>
          <cell r="C568">
            <v>0.1</v>
          </cell>
        </row>
        <row r="569">
          <cell r="A569">
            <v>72429</v>
          </cell>
          <cell r="B569">
            <v>0.5</v>
          </cell>
          <cell r="C569">
            <v>0</v>
          </cell>
        </row>
        <row r="570">
          <cell r="A570">
            <v>72442</v>
          </cell>
          <cell r="B570">
            <v>1</v>
          </cell>
          <cell r="C570">
            <v>0.1</v>
          </cell>
        </row>
        <row r="571">
          <cell r="A571">
            <v>72443</v>
          </cell>
          <cell r="B571">
            <v>0.57333333333333336</v>
          </cell>
          <cell r="C571">
            <v>0</v>
          </cell>
        </row>
        <row r="572">
          <cell r="A572">
            <v>72444</v>
          </cell>
          <cell r="B572">
            <v>0.96499999999999997</v>
          </cell>
          <cell r="C572">
            <v>0.1</v>
          </cell>
        </row>
        <row r="573">
          <cell r="A573">
            <v>72449</v>
          </cell>
          <cell r="B573">
            <v>0.96666666666666667</v>
          </cell>
          <cell r="C573">
            <v>0.1</v>
          </cell>
        </row>
        <row r="574">
          <cell r="A574">
            <v>72450</v>
          </cell>
          <cell r="B574">
            <v>0</v>
          </cell>
          <cell r="C574">
            <v>0</v>
          </cell>
        </row>
        <row r="575">
          <cell r="A575">
            <v>72451</v>
          </cell>
          <cell r="B575">
            <v>1</v>
          </cell>
          <cell r="C575">
            <v>0.1</v>
          </cell>
        </row>
        <row r="576">
          <cell r="A576">
            <v>72452</v>
          </cell>
          <cell r="B576">
            <v>0.92500000000000004</v>
          </cell>
          <cell r="C576">
            <v>0.1</v>
          </cell>
        </row>
        <row r="577">
          <cell r="A577">
            <v>72455</v>
          </cell>
          <cell r="B577">
            <v>0.5</v>
          </cell>
          <cell r="C577">
            <v>0</v>
          </cell>
        </row>
        <row r="578">
          <cell r="A578">
            <v>72457</v>
          </cell>
          <cell r="B578">
            <v>0.83000000000000007</v>
          </cell>
          <cell r="C578">
            <v>0.05</v>
          </cell>
        </row>
        <row r="579">
          <cell r="A579">
            <v>72459</v>
          </cell>
          <cell r="B579">
            <v>0.82499999999999996</v>
          </cell>
          <cell r="C579">
            <v>0.05</v>
          </cell>
        </row>
        <row r="580">
          <cell r="A580">
            <v>72460</v>
          </cell>
          <cell r="B580">
            <v>0.85</v>
          </cell>
          <cell r="C580">
            <v>0.05</v>
          </cell>
        </row>
        <row r="581">
          <cell r="A581">
            <v>72461</v>
          </cell>
          <cell r="B581">
            <v>0.82499999999999996</v>
          </cell>
          <cell r="C581">
            <v>0.05</v>
          </cell>
        </row>
        <row r="582">
          <cell r="A582">
            <v>72462</v>
          </cell>
          <cell r="B582">
            <v>0</v>
          </cell>
          <cell r="C582">
            <v>0</v>
          </cell>
        </row>
        <row r="583">
          <cell r="A583">
            <v>72466</v>
          </cell>
          <cell r="B583">
            <v>1</v>
          </cell>
          <cell r="C583">
            <v>0.1</v>
          </cell>
        </row>
        <row r="584">
          <cell r="A584">
            <v>72470</v>
          </cell>
          <cell r="B584">
            <v>1</v>
          </cell>
          <cell r="C584">
            <v>0.1</v>
          </cell>
        </row>
        <row r="585">
          <cell r="A585">
            <v>72472</v>
          </cell>
          <cell r="B585">
            <v>0.82499999999999996</v>
          </cell>
          <cell r="C585">
            <v>0.05</v>
          </cell>
        </row>
        <row r="586">
          <cell r="A586">
            <v>72473</v>
          </cell>
          <cell r="B586">
            <v>0.89999999999999991</v>
          </cell>
          <cell r="C586">
            <v>0.1</v>
          </cell>
        </row>
        <row r="587">
          <cell r="A587">
            <v>72475</v>
          </cell>
          <cell r="B587">
            <v>0.95000000000000007</v>
          </cell>
          <cell r="C587">
            <v>0.1</v>
          </cell>
        </row>
        <row r="588">
          <cell r="A588">
            <v>72476</v>
          </cell>
          <cell r="B588">
            <v>0.98333333333333339</v>
          </cell>
          <cell r="C588">
            <v>0.1</v>
          </cell>
        </row>
        <row r="589">
          <cell r="A589">
            <v>72481</v>
          </cell>
          <cell r="B589">
            <v>0.77500000000000002</v>
          </cell>
          <cell r="C589">
            <v>0</v>
          </cell>
        </row>
        <row r="590">
          <cell r="A590">
            <v>72482</v>
          </cell>
          <cell r="B590">
            <v>0.95500000000000007</v>
          </cell>
          <cell r="C590">
            <v>0.1</v>
          </cell>
        </row>
        <row r="591">
          <cell r="A591">
            <v>72483</v>
          </cell>
          <cell r="B591">
            <v>0.95</v>
          </cell>
          <cell r="C591">
            <v>0.1</v>
          </cell>
        </row>
        <row r="592">
          <cell r="A592">
            <v>72488</v>
          </cell>
          <cell r="B592">
            <v>0.97499999999999998</v>
          </cell>
          <cell r="C592">
            <v>0.1</v>
          </cell>
        </row>
        <row r="593">
          <cell r="A593">
            <v>72491</v>
          </cell>
          <cell r="B593">
            <v>0.95</v>
          </cell>
          <cell r="C593">
            <v>0.1</v>
          </cell>
        </row>
        <row r="594">
          <cell r="A594">
            <v>72492</v>
          </cell>
          <cell r="B594">
            <v>1</v>
          </cell>
          <cell r="C594">
            <v>0.1</v>
          </cell>
        </row>
        <row r="595">
          <cell r="A595">
            <v>72493</v>
          </cell>
          <cell r="B595">
            <v>1</v>
          </cell>
          <cell r="C595">
            <v>0.1</v>
          </cell>
        </row>
        <row r="596">
          <cell r="A596">
            <v>72495</v>
          </cell>
          <cell r="B596">
            <v>0.92500000000000004</v>
          </cell>
          <cell r="C596">
            <v>0.1</v>
          </cell>
        </row>
        <row r="597">
          <cell r="A597">
            <v>72497</v>
          </cell>
          <cell r="B597">
            <v>0.85</v>
          </cell>
          <cell r="C597">
            <v>0.05</v>
          </cell>
        </row>
        <row r="598">
          <cell r="A598">
            <v>72498</v>
          </cell>
          <cell r="B598">
            <v>0.92500000000000004</v>
          </cell>
          <cell r="C598">
            <v>0.1</v>
          </cell>
        </row>
        <row r="599">
          <cell r="A599">
            <v>72499</v>
          </cell>
          <cell r="B599">
            <v>1</v>
          </cell>
          <cell r="C599">
            <v>0.1</v>
          </cell>
        </row>
        <row r="600">
          <cell r="A600">
            <v>72500</v>
          </cell>
          <cell r="B600">
            <v>1</v>
          </cell>
          <cell r="C600">
            <v>0.1</v>
          </cell>
        </row>
        <row r="601">
          <cell r="A601">
            <v>72503</v>
          </cell>
          <cell r="B601">
            <v>0.95000000000000007</v>
          </cell>
          <cell r="C601">
            <v>0.1</v>
          </cell>
        </row>
        <row r="602">
          <cell r="A602">
            <v>72505</v>
          </cell>
          <cell r="B602">
            <v>0.88500000000000001</v>
          </cell>
          <cell r="C602">
            <v>0.05</v>
          </cell>
        </row>
        <row r="603">
          <cell r="A603">
            <v>72506</v>
          </cell>
          <cell r="B603">
            <v>0.83000000000000007</v>
          </cell>
          <cell r="C603">
            <v>0.05</v>
          </cell>
        </row>
        <row r="604">
          <cell r="A604">
            <v>72511</v>
          </cell>
          <cell r="B604">
            <v>0.42499999999999999</v>
          </cell>
          <cell r="C604">
            <v>0</v>
          </cell>
        </row>
        <row r="605">
          <cell r="A605">
            <v>72513</v>
          </cell>
          <cell r="B605">
            <v>0.98499999999999999</v>
          </cell>
          <cell r="C605">
            <v>0.1</v>
          </cell>
        </row>
        <row r="606">
          <cell r="A606">
            <v>72514</v>
          </cell>
          <cell r="B606">
            <v>0.8</v>
          </cell>
          <cell r="C606">
            <v>0.05</v>
          </cell>
        </row>
        <row r="607">
          <cell r="A607">
            <v>72515</v>
          </cell>
          <cell r="B607">
            <v>0.96666666666666667</v>
          </cell>
          <cell r="C607">
            <v>0.1</v>
          </cell>
        </row>
        <row r="608">
          <cell r="A608">
            <v>72518</v>
          </cell>
          <cell r="B608">
            <v>1</v>
          </cell>
          <cell r="C608">
            <v>0.1</v>
          </cell>
        </row>
        <row r="609">
          <cell r="A609">
            <v>72519</v>
          </cell>
          <cell r="B609">
            <v>0.68500000000000005</v>
          </cell>
          <cell r="C609">
            <v>0</v>
          </cell>
        </row>
        <row r="610">
          <cell r="A610">
            <v>72524</v>
          </cell>
          <cell r="B610">
            <v>1</v>
          </cell>
          <cell r="C610">
            <v>0.1</v>
          </cell>
        </row>
        <row r="611">
          <cell r="A611">
            <v>72525</v>
          </cell>
          <cell r="B611">
            <v>0.92500000000000004</v>
          </cell>
          <cell r="C611">
            <v>0.1</v>
          </cell>
        </row>
        <row r="612">
          <cell r="A612">
            <v>72530</v>
          </cell>
          <cell r="B612">
            <v>0.63</v>
          </cell>
          <cell r="C612">
            <v>0</v>
          </cell>
        </row>
        <row r="613">
          <cell r="A613">
            <v>72531</v>
          </cell>
          <cell r="B613">
            <v>0.97499999999999998</v>
          </cell>
          <cell r="C613">
            <v>0.1</v>
          </cell>
        </row>
        <row r="614">
          <cell r="A614">
            <v>72532</v>
          </cell>
          <cell r="B614">
            <v>1</v>
          </cell>
          <cell r="C614">
            <v>0.1</v>
          </cell>
        </row>
        <row r="615">
          <cell r="A615">
            <v>72534</v>
          </cell>
          <cell r="B615">
            <v>0.80499999999999994</v>
          </cell>
          <cell r="C615">
            <v>0.05</v>
          </cell>
        </row>
        <row r="616">
          <cell r="A616">
            <v>72535</v>
          </cell>
          <cell r="B616">
            <v>0.98499999999999999</v>
          </cell>
          <cell r="C616">
            <v>0.1</v>
          </cell>
        </row>
        <row r="617">
          <cell r="A617">
            <v>72540</v>
          </cell>
          <cell r="B617">
            <v>1</v>
          </cell>
          <cell r="C617">
            <v>0.1</v>
          </cell>
        </row>
        <row r="618">
          <cell r="A618">
            <v>72542</v>
          </cell>
          <cell r="B618">
            <v>0.75</v>
          </cell>
          <cell r="C618">
            <v>0</v>
          </cell>
        </row>
        <row r="619">
          <cell r="A619">
            <v>72543</v>
          </cell>
          <cell r="B619">
            <v>0.92500000000000004</v>
          </cell>
          <cell r="C619">
            <v>0.1</v>
          </cell>
        </row>
        <row r="620">
          <cell r="A620">
            <v>72544</v>
          </cell>
          <cell r="B620">
            <v>1</v>
          </cell>
          <cell r="C620">
            <v>0.1</v>
          </cell>
        </row>
        <row r="621">
          <cell r="A621">
            <v>72546</v>
          </cell>
          <cell r="B621">
            <v>0.98</v>
          </cell>
          <cell r="C621">
            <v>0.1</v>
          </cell>
        </row>
        <row r="622">
          <cell r="A622">
            <v>72548</v>
          </cell>
          <cell r="B622">
            <v>1</v>
          </cell>
          <cell r="C622">
            <v>0.1</v>
          </cell>
        </row>
        <row r="623">
          <cell r="A623">
            <v>72553</v>
          </cell>
          <cell r="B623">
            <v>0.95</v>
          </cell>
          <cell r="C623">
            <v>0.1</v>
          </cell>
        </row>
        <row r="624">
          <cell r="A624">
            <v>72556</v>
          </cell>
          <cell r="B624">
            <v>0.98333333333333339</v>
          </cell>
          <cell r="C624">
            <v>0.1</v>
          </cell>
        </row>
        <row r="625">
          <cell r="A625">
            <v>72557</v>
          </cell>
          <cell r="B625">
            <v>1</v>
          </cell>
          <cell r="C625">
            <v>0.1</v>
          </cell>
        </row>
        <row r="626">
          <cell r="A626">
            <v>72558</v>
          </cell>
          <cell r="B626">
            <v>0.95000000000000007</v>
          </cell>
          <cell r="C626">
            <v>0.1</v>
          </cell>
        </row>
        <row r="627">
          <cell r="A627">
            <v>72564</v>
          </cell>
          <cell r="B627">
            <v>0.92500000000000004</v>
          </cell>
          <cell r="C627">
            <v>0.1</v>
          </cell>
        </row>
        <row r="628">
          <cell r="A628">
            <v>72565</v>
          </cell>
          <cell r="B628">
            <v>0.875</v>
          </cell>
          <cell r="C628">
            <v>0.05</v>
          </cell>
        </row>
        <row r="629">
          <cell r="A629">
            <v>72567</v>
          </cell>
          <cell r="B629">
            <v>0.875</v>
          </cell>
          <cell r="C629">
            <v>0.05</v>
          </cell>
        </row>
        <row r="630">
          <cell r="A630">
            <v>72568</v>
          </cell>
          <cell r="B630">
            <v>0.8833333333333333</v>
          </cell>
          <cell r="C630">
            <v>0.05</v>
          </cell>
        </row>
        <row r="631">
          <cell r="A631">
            <v>72569</v>
          </cell>
          <cell r="B631">
            <v>0.97499999999999998</v>
          </cell>
          <cell r="C631">
            <v>0.1</v>
          </cell>
        </row>
        <row r="632">
          <cell r="A632">
            <v>72573</v>
          </cell>
          <cell r="B632">
            <v>1</v>
          </cell>
          <cell r="C632">
            <v>0.1</v>
          </cell>
        </row>
        <row r="633">
          <cell r="A633">
            <v>72576</v>
          </cell>
          <cell r="B633">
            <v>0.85</v>
          </cell>
          <cell r="C633">
            <v>0.05</v>
          </cell>
        </row>
        <row r="634">
          <cell r="A634">
            <v>72579</v>
          </cell>
          <cell r="B634">
            <v>0.82499999999999996</v>
          </cell>
          <cell r="C634">
            <v>0.05</v>
          </cell>
        </row>
        <row r="635">
          <cell r="A635">
            <v>72597</v>
          </cell>
          <cell r="B635">
            <v>0.89999999999999991</v>
          </cell>
          <cell r="C635">
            <v>0.1</v>
          </cell>
        </row>
        <row r="636">
          <cell r="A636">
            <v>72600</v>
          </cell>
          <cell r="B636">
            <v>0.66249999999999998</v>
          </cell>
          <cell r="C636">
            <v>0</v>
          </cell>
        </row>
        <row r="637">
          <cell r="A637">
            <v>72604</v>
          </cell>
          <cell r="B637">
            <v>0.875</v>
          </cell>
          <cell r="C637">
            <v>0.05</v>
          </cell>
        </row>
        <row r="638">
          <cell r="A638">
            <v>72605</v>
          </cell>
          <cell r="B638">
            <v>0.77499999999999991</v>
          </cell>
          <cell r="C638">
            <v>0</v>
          </cell>
        </row>
        <row r="639">
          <cell r="A639">
            <v>72606</v>
          </cell>
          <cell r="B639">
            <v>1</v>
          </cell>
          <cell r="C639">
            <v>0.1</v>
          </cell>
        </row>
        <row r="640">
          <cell r="A640">
            <v>72607</v>
          </cell>
          <cell r="B640">
            <v>0.83</v>
          </cell>
          <cell r="C640">
            <v>0.05</v>
          </cell>
        </row>
        <row r="641">
          <cell r="A641">
            <v>72609</v>
          </cell>
          <cell r="B641">
            <v>0.97499999999999998</v>
          </cell>
          <cell r="C641">
            <v>0.1</v>
          </cell>
        </row>
        <row r="642">
          <cell r="A642">
            <v>72611</v>
          </cell>
          <cell r="B642">
            <v>0.6</v>
          </cell>
          <cell r="C642">
            <v>0</v>
          </cell>
        </row>
        <row r="643">
          <cell r="A643">
            <v>72612</v>
          </cell>
          <cell r="B643">
            <v>0.8</v>
          </cell>
          <cell r="C643">
            <v>0.05</v>
          </cell>
        </row>
        <row r="644">
          <cell r="A644">
            <v>72614</v>
          </cell>
          <cell r="B644">
            <v>1</v>
          </cell>
          <cell r="C644">
            <v>0.1</v>
          </cell>
        </row>
        <row r="645">
          <cell r="A645">
            <v>72616</v>
          </cell>
          <cell r="B645">
            <v>0.94</v>
          </cell>
          <cell r="C645">
            <v>0.1</v>
          </cell>
        </row>
        <row r="646">
          <cell r="A646">
            <v>72618</v>
          </cell>
          <cell r="B646">
            <v>0.875</v>
          </cell>
          <cell r="C646">
            <v>0.05</v>
          </cell>
        </row>
        <row r="647">
          <cell r="A647">
            <v>72619</v>
          </cell>
          <cell r="B647">
            <v>0.98333333333333339</v>
          </cell>
          <cell r="C647">
            <v>0.1</v>
          </cell>
        </row>
        <row r="648">
          <cell r="A648">
            <v>72621</v>
          </cell>
          <cell r="B648">
            <v>1</v>
          </cell>
          <cell r="C648">
            <v>0.1</v>
          </cell>
        </row>
        <row r="649">
          <cell r="A649">
            <v>72622</v>
          </cell>
          <cell r="B649">
            <v>0.98499999999999999</v>
          </cell>
          <cell r="C649">
            <v>0.1</v>
          </cell>
        </row>
        <row r="650">
          <cell r="A650">
            <v>72624</v>
          </cell>
          <cell r="B650">
            <v>0.91666666666666663</v>
          </cell>
          <cell r="C650">
            <v>0.1</v>
          </cell>
        </row>
        <row r="651">
          <cell r="A651">
            <v>72628</v>
          </cell>
          <cell r="B651">
            <v>0.85000000000000009</v>
          </cell>
          <cell r="C651">
            <v>0.05</v>
          </cell>
        </row>
        <row r="652">
          <cell r="A652">
            <v>72632</v>
          </cell>
          <cell r="B652">
            <v>1</v>
          </cell>
          <cell r="C652">
            <v>0.1</v>
          </cell>
        </row>
        <row r="653">
          <cell r="A653">
            <v>72633</v>
          </cell>
          <cell r="B653">
            <v>0.95</v>
          </cell>
          <cell r="C653">
            <v>0.1</v>
          </cell>
        </row>
        <row r="654">
          <cell r="A654">
            <v>72635</v>
          </cell>
          <cell r="B654">
            <v>0.85000000000000009</v>
          </cell>
          <cell r="C654">
            <v>0.05</v>
          </cell>
        </row>
        <row r="655">
          <cell r="A655">
            <v>72637</v>
          </cell>
          <cell r="B655">
            <v>0.88500000000000001</v>
          </cell>
          <cell r="C655">
            <v>0.05</v>
          </cell>
        </row>
        <row r="656">
          <cell r="A656">
            <v>72638</v>
          </cell>
          <cell r="B656">
            <v>1</v>
          </cell>
          <cell r="C656">
            <v>0.1</v>
          </cell>
        </row>
        <row r="657">
          <cell r="A657">
            <v>72639</v>
          </cell>
          <cell r="B657">
            <v>1</v>
          </cell>
          <cell r="C657">
            <v>0.1</v>
          </cell>
        </row>
        <row r="658">
          <cell r="A658">
            <v>72642</v>
          </cell>
          <cell r="B658">
            <v>1</v>
          </cell>
          <cell r="C658">
            <v>0.1</v>
          </cell>
        </row>
        <row r="659">
          <cell r="A659">
            <v>72643</v>
          </cell>
          <cell r="B659">
            <v>0.92500000000000004</v>
          </cell>
          <cell r="C659">
            <v>0.1</v>
          </cell>
        </row>
        <row r="660">
          <cell r="A660">
            <v>72646</v>
          </cell>
          <cell r="B660">
            <v>0.92500000000000004</v>
          </cell>
          <cell r="C660">
            <v>0.1</v>
          </cell>
        </row>
        <row r="661">
          <cell r="A661">
            <v>72647</v>
          </cell>
          <cell r="B661">
            <v>0.90500000000000003</v>
          </cell>
          <cell r="C661">
            <v>0.1</v>
          </cell>
        </row>
        <row r="662">
          <cell r="A662">
            <v>72649</v>
          </cell>
          <cell r="B662">
            <v>1</v>
          </cell>
          <cell r="C662">
            <v>0.1</v>
          </cell>
        </row>
        <row r="663">
          <cell r="A663">
            <v>72650</v>
          </cell>
          <cell r="B663">
            <v>1</v>
          </cell>
          <cell r="C663">
            <v>0.1</v>
          </cell>
        </row>
        <row r="664">
          <cell r="A664">
            <v>72654</v>
          </cell>
          <cell r="B664">
            <v>1</v>
          </cell>
          <cell r="C664">
            <v>0.1</v>
          </cell>
        </row>
        <row r="665">
          <cell r="A665">
            <v>72655</v>
          </cell>
          <cell r="B665">
            <v>0.9</v>
          </cell>
          <cell r="C665">
            <v>0.1</v>
          </cell>
        </row>
        <row r="666">
          <cell r="A666">
            <v>72656</v>
          </cell>
          <cell r="B666">
            <v>0.5</v>
          </cell>
          <cell r="C666">
            <v>0</v>
          </cell>
        </row>
        <row r="667">
          <cell r="A667">
            <v>72658</v>
          </cell>
          <cell r="B667">
            <v>0.89500000000000002</v>
          </cell>
          <cell r="C667">
            <v>0.05</v>
          </cell>
        </row>
        <row r="668">
          <cell r="A668">
            <v>72659</v>
          </cell>
          <cell r="B668">
            <v>0.92500000000000004</v>
          </cell>
          <cell r="C668">
            <v>0.1</v>
          </cell>
        </row>
        <row r="669">
          <cell r="A669">
            <v>72661</v>
          </cell>
          <cell r="B669">
            <v>0.98499999999999999</v>
          </cell>
          <cell r="C669">
            <v>0.1</v>
          </cell>
        </row>
        <row r="670">
          <cell r="A670">
            <v>72662</v>
          </cell>
          <cell r="B670">
            <v>0.90999999999999992</v>
          </cell>
          <cell r="C670">
            <v>0.1</v>
          </cell>
        </row>
        <row r="671">
          <cell r="A671">
            <v>72664</v>
          </cell>
          <cell r="B671">
            <v>0.91500000000000004</v>
          </cell>
          <cell r="C671">
            <v>0.1</v>
          </cell>
        </row>
        <row r="672">
          <cell r="A672">
            <v>72665</v>
          </cell>
          <cell r="B672">
            <v>0.95</v>
          </cell>
          <cell r="C672">
            <v>0.1</v>
          </cell>
        </row>
        <row r="673">
          <cell r="A673">
            <v>72671</v>
          </cell>
          <cell r="B673">
            <v>1</v>
          </cell>
          <cell r="C673">
            <v>0.1</v>
          </cell>
        </row>
        <row r="674">
          <cell r="A674">
            <v>72672</v>
          </cell>
          <cell r="B674">
            <v>0.81</v>
          </cell>
          <cell r="C674">
            <v>0.05</v>
          </cell>
        </row>
        <row r="675">
          <cell r="A675">
            <v>72673</v>
          </cell>
          <cell r="B675">
            <v>1</v>
          </cell>
          <cell r="C675">
            <v>0.1</v>
          </cell>
        </row>
        <row r="676">
          <cell r="A676">
            <v>72675</v>
          </cell>
          <cell r="B676">
            <v>0.91500000000000004</v>
          </cell>
          <cell r="C676">
            <v>0.1</v>
          </cell>
        </row>
        <row r="677">
          <cell r="A677">
            <v>72676</v>
          </cell>
          <cell r="B677">
            <v>0.97499999999999998</v>
          </cell>
          <cell r="C677">
            <v>0.1</v>
          </cell>
        </row>
        <row r="678">
          <cell r="A678">
            <v>72679</v>
          </cell>
          <cell r="B678">
            <v>0.83499999999999996</v>
          </cell>
          <cell r="C678">
            <v>0.05</v>
          </cell>
        </row>
        <row r="679">
          <cell r="A679">
            <v>72682</v>
          </cell>
          <cell r="B679">
            <v>0.875</v>
          </cell>
          <cell r="C679">
            <v>0.05</v>
          </cell>
        </row>
        <row r="680">
          <cell r="A680">
            <v>72683</v>
          </cell>
          <cell r="B680">
            <v>0.97499999999999998</v>
          </cell>
          <cell r="C680">
            <v>0.1</v>
          </cell>
        </row>
        <row r="681">
          <cell r="A681">
            <v>72692</v>
          </cell>
          <cell r="B681">
            <v>0.95000000000000007</v>
          </cell>
          <cell r="C681">
            <v>0.1</v>
          </cell>
        </row>
        <row r="682">
          <cell r="A682">
            <v>72694</v>
          </cell>
          <cell r="B682">
            <v>0.92999999999999994</v>
          </cell>
          <cell r="C682">
            <v>0.1</v>
          </cell>
        </row>
        <row r="683">
          <cell r="A683">
            <v>72696</v>
          </cell>
          <cell r="B683">
            <v>0.375</v>
          </cell>
          <cell r="C683">
            <v>0</v>
          </cell>
        </row>
        <row r="684">
          <cell r="A684">
            <v>72697</v>
          </cell>
          <cell r="B684">
            <v>0.93500000000000005</v>
          </cell>
          <cell r="C684">
            <v>0.1</v>
          </cell>
        </row>
        <row r="685">
          <cell r="A685">
            <v>72698</v>
          </cell>
          <cell r="B685">
            <v>0.98</v>
          </cell>
          <cell r="C685">
            <v>0.1</v>
          </cell>
        </row>
        <row r="686">
          <cell r="A686">
            <v>72699</v>
          </cell>
          <cell r="B686">
            <v>0.98499999999999999</v>
          </cell>
          <cell r="C686">
            <v>0.1</v>
          </cell>
        </row>
        <row r="687">
          <cell r="A687">
            <v>72700</v>
          </cell>
          <cell r="B687">
            <v>0.65</v>
          </cell>
          <cell r="C687">
            <v>0</v>
          </cell>
        </row>
        <row r="688">
          <cell r="A688">
            <v>72701</v>
          </cell>
          <cell r="B688">
            <v>0.92500000000000004</v>
          </cell>
          <cell r="C688">
            <v>0.1</v>
          </cell>
        </row>
        <row r="689">
          <cell r="A689">
            <v>72707</v>
          </cell>
          <cell r="B689">
            <v>0.4</v>
          </cell>
          <cell r="C689">
            <v>0</v>
          </cell>
        </row>
        <row r="690">
          <cell r="A690">
            <v>72708</v>
          </cell>
          <cell r="B690">
            <v>0.85</v>
          </cell>
          <cell r="C690">
            <v>0.05</v>
          </cell>
        </row>
        <row r="691">
          <cell r="A691">
            <v>72714</v>
          </cell>
          <cell r="B691">
            <v>0.77500000000000002</v>
          </cell>
          <cell r="C691">
            <v>0</v>
          </cell>
        </row>
        <row r="692">
          <cell r="A692">
            <v>72718</v>
          </cell>
          <cell r="B692">
            <v>0.9</v>
          </cell>
          <cell r="C692">
            <v>0.1</v>
          </cell>
        </row>
        <row r="693">
          <cell r="A693">
            <v>72719</v>
          </cell>
          <cell r="B693">
            <v>0.5</v>
          </cell>
          <cell r="C693">
            <v>0</v>
          </cell>
        </row>
        <row r="694">
          <cell r="A694">
            <v>72720</v>
          </cell>
          <cell r="B694">
            <v>0.89999999999999991</v>
          </cell>
          <cell r="C694">
            <v>0.1</v>
          </cell>
        </row>
        <row r="695">
          <cell r="A695">
            <v>72721</v>
          </cell>
          <cell r="B695">
            <v>0.83000000000000007</v>
          </cell>
          <cell r="C695">
            <v>0.05</v>
          </cell>
        </row>
        <row r="696">
          <cell r="A696">
            <v>72722</v>
          </cell>
          <cell r="B696">
            <v>0.89999999999999991</v>
          </cell>
          <cell r="C696">
            <v>0.1</v>
          </cell>
        </row>
        <row r="697">
          <cell r="A697">
            <v>72723</v>
          </cell>
          <cell r="B697">
            <v>1</v>
          </cell>
          <cell r="C697">
            <v>0.1</v>
          </cell>
        </row>
        <row r="698">
          <cell r="A698">
            <v>72724</v>
          </cell>
          <cell r="B698">
            <v>0.93333333333333324</v>
          </cell>
          <cell r="C698">
            <v>0.1</v>
          </cell>
        </row>
        <row r="699">
          <cell r="A699">
            <v>72725</v>
          </cell>
          <cell r="B699">
            <v>0.97499999999999998</v>
          </cell>
          <cell r="C699">
            <v>0.1</v>
          </cell>
        </row>
        <row r="700">
          <cell r="A700">
            <v>72726</v>
          </cell>
          <cell r="B700">
            <v>0.88666666666666671</v>
          </cell>
          <cell r="C700">
            <v>0.05</v>
          </cell>
        </row>
        <row r="701">
          <cell r="A701">
            <v>72727</v>
          </cell>
          <cell r="B701">
            <v>0.93333333333333324</v>
          </cell>
          <cell r="C701">
            <v>0.1</v>
          </cell>
        </row>
        <row r="702">
          <cell r="A702">
            <v>72728</v>
          </cell>
          <cell r="B702">
            <v>1</v>
          </cell>
          <cell r="C702">
            <v>0.1</v>
          </cell>
        </row>
        <row r="703">
          <cell r="A703">
            <v>72729</v>
          </cell>
          <cell r="B703">
            <v>0.98333333333333339</v>
          </cell>
          <cell r="C703">
            <v>0.1</v>
          </cell>
        </row>
        <row r="704">
          <cell r="A704">
            <v>72735</v>
          </cell>
          <cell r="B704">
            <v>0.72499999999999998</v>
          </cell>
          <cell r="C704">
            <v>0</v>
          </cell>
        </row>
        <row r="705">
          <cell r="A705">
            <v>72738</v>
          </cell>
          <cell r="B705">
            <v>0.72499999999999998</v>
          </cell>
          <cell r="C705">
            <v>0</v>
          </cell>
        </row>
        <row r="706">
          <cell r="A706">
            <v>72739</v>
          </cell>
          <cell r="B706">
            <v>0.9</v>
          </cell>
          <cell r="C706">
            <v>0.1</v>
          </cell>
        </row>
        <row r="707">
          <cell r="A707">
            <v>72741</v>
          </cell>
          <cell r="B707">
            <v>0.88500000000000001</v>
          </cell>
          <cell r="C707">
            <v>0.05</v>
          </cell>
        </row>
        <row r="708">
          <cell r="A708">
            <v>72742</v>
          </cell>
          <cell r="B708">
            <v>0.98333333333333339</v>
          </cell>
          <cell r="C708">
            <v>0.1</v>
          </cell>
        </row>
        <row r="709">
          <cell r="A709">
            <v>72744</v>
          </cell>
          <cell r="B709">
            <v>0.8</v>
          </cell>
          <cell r="C709">
            <v>0.05</v>
          </cell>
        </row>
        <row r="710">
          <cell r="A710">
            <v>72745</v>
          </cell>
          <cell r="B710">
            <v>0.86499999999999999</v>
          </cell>
          <cell r="C710">
            <v>0.05</v>
          </cell>
        </row>
        <row r="711">
          <cell r="A711">
            <v>72746</v>
          </cell>
          <cell r="B711">
            <v>0.98499999999999999</v>
          </cell>
          <cell r="C711">
            <v>0.1</v>
          </cell>
        </row>
        <row r="712">
          <cell r="A712">
            <v>72750</v>
          </cell>
          <cell r="B712">
            <v>0.93333333333333324</v>
          </cell>
          <cell r="C712">
            <v>0.1</v>
          </cell>
        </row>
        <row r="713">
          <cell r="A713">
            <v>72751</v>
          </cell>
          <cell r="B713">
            <v>0.4</v>
          </cell>
          <cell r="C713">
            <v>0</v>
          </cell>
        </row>
        <row r="714">
          <cell r="A714">
            <v>72752</v>
          </cell>
          <cell r="B714">
            <v>0</v>
          </cell>
          <cell r="C714">
            <v>0</v>
          </cell>
        </row>
        <row r="715">
          <cell r="A715">
            <v>72754</v>
          </cell>
          <cell r="B715">
            <v>0.97499999999999998</v>
          </cell>
          <cell r="C715">
            <v>0.1</v>
          </cell>
        </row>
        <row r="716">
          <cell r="A716">
            <v>72756</v>
          </cell>
          <cell r="B716">
            <v>0.86499999999999999</v>
          </cell>
          <cell r="C716">
            <v>0.05</v>
          </cell>
        </row>
        <row r="717">
          <cell r="A717">
            <v>72757</v>
          </cell>
          <cell r="B717">
            <v>0.98333333333333339</v>
          </cell>
          <cell r="C717">
            <v>0.1</v>
          </cell>
        </row>
        <row r="718">
          <cell r="A718">
            <v>72758</v>
          </cell>
          <cell r="B718">
            <v>0.42499999999999999</v>
          </cell>
          <cell r="C718">
            <v>0</v>
          </cell>
        </row>
        <row r="719">
          <cell r="A719">
            <v>72759</v>
          </cell>
          <cell r="B719">
            <v>0.5</v>
          </cell>
          <cell r="C719">
            <v>0</v>
          </cell>
        </row>
        <row r="720">
          <cell r="A720">
            <v>72760</v>
          </cell>
          <cell r="B720">
            <v>0.85</v>
          </cell>
          <cell r="C720">
            <v>0.05</v>
          </cell>
        </row>
        <row r="721">
          <cell r="A721">
            <v>72761</v>
          </cell>
          <cell r="B721">
            <v>0.9</v>
          </cell>
          <cell r="C721">
            <v>0.1</v>
          </cell>
        </row>
        <row r="722">
          <cell r="A722">
            <v>72762</v>
          </cell>
          <cell r="B722">
            <v>0.85</v>
          </cell>
          <cell r="C722">
            <v>0.05</v>
          </cell>
        </row>
        <row r="723">
          <cell r="A723">
            <v>72763</v>
          </cell>
          <cell r="B723">
            <v>0.88749999999999996</v>
          </cell>
          <cell r="C723">
            <v>0.05</v>
          </cell>
        </row>
        <row r="724">
          <cell r="A724">
            <v>72765</v>
          </cell>
          <cell r="B724">
            <v>0.80499999999999994</v>
          </cell>
          <cell r="C724">
            <v>0.05</v>
          </cell>
        </row>
        <row r="725">
          <cell r="A725">
            <v>72766</v>
          </cell>
          <cell r="B725">
            <v>0.82499999999999996</v>
          </cell>
          <cell r="C725">
            <v>0.05</v>
          </cell>
        </row>
        <row r="726">
          <cell r="A726">
            <v>72767</v>
          </cell>
          <cell r="B726">
            <v>0.97499999999999998</v>
          </cell>
          <cell r="C726">
            <v>0.1</v>
          </cell>
        </row>
        <row r="727">
          <cell r="A727">
            <v>72776</v>
          </cell>
          <cell r="B727">
            <v>0.97499999999999998</v>
          </cell>
          <cell r="C727">
            <v>0.1</v>
          </cell>
        </row>
        <row r="728">
          <cell r="A728">
            <v>72778</v>
          </cell>
          <cell r="B728">
            <v>0.95</v>
          </cell>
          <cell r="C728">
            <v>0.1</v>
          </cell>
        </row>
        <row r="729">
          <cell r="A729">
            <v>72780</v>
          </cell>
          <cell r="B729">
            <v>0.92500000000000004</v>
          </cell>
          <cell r="C729">
            <v>0.1</v>
          </cell>
        </row>
        <row r="730">
          <cell r="A730">
            <v>72781</v>
          </cell>
          <cell r="B730">
            <v>0.77499999999999991</v>
          </cell>
          <cell r="C730">
            <v>0</v>
          </cell>
        </row>
        <row r="731">
          <cell r="A731">
            <v>72784</v>
          </cell>
          <cell r="B731">
            <v>1</v>
          </cell>
          <cell r="C731">
            <v>0.1</v>
          </cell>
        </row>
        <row r="732">
          <cell r="A732">
            <v>72790</v>
          </cell>
          <cell r="B732">
            <v>0.97499999999999998</v>
          </cell>
          <cell r="C732">
            <v>0.1</v>
          </cell>
        </row>
        <row r="733">
          <cell r="A733">
            <v>72791</v>
          </cell>
          <cell r="B733">
            <v>1</v>
          </cell>
          <cell r="C733">
            <v>0.1</v>
          </cell>
        </row>
        <row r="734">
          <cell r="A734">
            <v>72793</v>
          </cell>
          <cell r="B734">
            <v>0.9</v>
          </cell>
          <cell r="C734">
            <v>0.1</v>
          </cell>
        </row>
        <row r="735">
          <cell r="A735">
            <v>72794</v>
          </cell>
          <cell r="B735">
            <v>0.35499999999999998</v>
          </cell>
          <cell r="C735">
            <v>0</v>
          </cell>
        </row>
        <row r="736">
          <cell r="A736">
            <v>72797</v>
          </cell>
          <cell r="B736">
            <v>0.875</v>
          </cell>
          <cell r="C736">
            <v>0.05</v>
          </cell>
        </row>
        <row r="737">
          <cell r="A737">
            <v>72798</v>
          </cell>
          <cell r="B737">
            <v>0.88500000000000001</v>
          </cell>
          <cell r="C737">
            <v>0.05</v>
          </cell>
        </row>
        <row r="738">
          <cell r="A738">
            <v>72799</v>
          </cell>
          <cell r="B738">
            <v>0.9</v>
          </cell>
          <cell r="C738">
            <v>0.1</v>
          </cell>
        </row>
        <row r="739">
          <cell r="A739">
            <v>72800</v>
          </cell>
          <cell r="B739">
            <v>0.99</v>
          </cell>
          <cell r="C739">
            <v>0.1</v>
          </cell>
        </row>
        <row r="740">
          <cell r="A740">
            <v>72804</v>
          </cell>
          <cell r="B740">
            <v>0.9</v>
          </cell>
          <cell r="C740">
            <v>0.1</v>
          </cell>
        </row>
        <row r="741">
          <cell r="A741">
            <v>72805</v>
          </cell>
          <cell r="B741">
            <v>0.69500000000000006</v>
          </cell>
          <cell r="C741">
            <v>0</v>
          </cell>
        </row>
        <row r="742">
          <cell r="A742">
            <v>72806</v>
          </cell>
          <cell r="B742">
            <v>0.42499999999999999</v>
          </cell>
          <cell r="C742">
            <v>0</v>
          </cell>
        </row>
        <row r="743">
          <cell r="A743">
            <v>72807</v>
          </cell>
          <cell r="B743">
            <v>0.78499999999999992</v>
          </cell>
          <cell r="C743">
            <v>0</v>
          </cell>
        </row>
        <row r="744">
          <cell r="A744">
            <v>72809</v>
          </cell>
          <cell r="B744">
            <v>0</v>
          </cell>
          <cell r="C744">
            <v>0</v>
          </cell>
        </row>
        <row r="745">
          <cell r="A745">
            <v>72810</v>
          </cell>
          <cell r="B745">
            <v>0.92500000000000004</v>
          </cell>
          <cell r="C745">
            <v>0.1</v>
          </cell>
        </row>
        <row r="746">
          <cell r="A746">
            <v>72811</v>
          </cell>
          <cell r="B746">
            <v>0.85</v>
          </cell>
          <cell r="C746">
            <v>0.05</v>
          </cell>
        </row>
        <row r="747">
          <cell r="A747">
            <v>72812</v>
          </cell>
          <cell r="B747">
            <v>0.84</v>
          </cell>
          <cell r="C747">
            <v>0.05</v>
          </cell>
        </row>
        <row r="748">
          <cell r="A748">
            <v>72813</v>
          </cell>
          <cell r="B748">
            <v>0.5</v>
          </cell>
          <cell r="C748">
            <v>0</v>
          </cell>
        </row>
        <row r="749">
          <cell r="A749">
            <v>72814</v>
          </cell>
          <cell r="B749">
            <v>0.42499999999999999</v>
          </cell>
          <cell r="C749">
            <v>0</v>
          </cell>
        </row>
        <row r="750">
          <cell r="A750">
            <v>72815</v>
          </cell>
          <cell r="B750">
            <v>1</v>
          </cell>
          <cell r="C750">
            <v>0.1</v>
          </cell>
        </row>
        <row r="751">
          <cell r="A751">
            <v>72816</v>
          </cell>
          <cell r="B751">
            <v>0.92500000000000004</v>
          </cell>
          <cell r="C751">
            <v>0.1</v>
          </cell>
        </row>
        <row r="752">
          <cell r="A752">
            <v>72817</v>
          </cell>
          <cell r="B752">
            <v>0.95</v>
          </cell>
          <cell r="C752">
            <v>0.1</v>
          </cell>
        </row>
        <row r="753">
          <cell r="A753">
            <v>72818</v>
          </cell>
          <cell r="B753">
            <v>1</v>
          </cell>
          <cell r="C753">
            <v>0.1</v>
          </cell>
        </row>
        <row r="754">
          <cell r="A754">
            <v>72820</v>
          </cell>
          <cell r="B754">
            <v>0.86</v>
          </cell>
          <cell r="C754">
            <v>0.05</v>
          </cell>
        </row>
        <row r="755">
          <cell r="A755">
            <v>72821</v>
          </cell>
          <cell r="B755">
            <v>0.91666666666666663</v>
          </cell>
          <cell r="C755">
            <v>0.1</v>
          </cell>
        </row>
        <row r="756">
          <cell r="A756">
            <v>72822</v>
          </cell>
          <cell r="B756">
            <v>0.76</v>
          </cell>
          <cell r="C756">
            <v>0</v>
          </cell>
        </row>
        <row r="757">
          <cell r="A757">
            <v>72824</v>
          </cell>
          <cell r="B757">
            <v>0.375</v>
          </cell>
          <cell r="C757">
            <v>0</v>
          </cell>
        </row>
        <row r="758">
          <cell r="A758">
            <v>72828</v>
          </cell>
          <cell r="B758">
            <v>0.89999999999999991</v>
          </cell>
          <cell r="C758">
            <v>0.1</v>
          </cell>
        </row>
        <row r="759">
          <cell r="A759">
            <v>72830</v>
          </cell>
          <cell r="B759">
            <v>0.73499999999999999</v>
          </cell>
          <cell r="C759">
            <v>0</v>
          </cell>
        </row>
        <row r="760">
          <cell r="A760">
            <v>72831</v>
          </cell>
          <cell r="B760">
            <v>0.77500000000000002</v>
          </cell>
          <cell r="C760">
            <v>0</v>
          </cell>
        </row>
        <row r="761">
          <cell r="A761">
            <v>72832</v>
          </cell>
          <cell r="B761">
            <v>0.48499999999999999</v>
          </cell>
          <cell r="C761">
            <v>0</v>
          </cell>
        </row>
        <row r="762">
          <cell r="A762">
            <v>72833</v>
          </cell>
          <cell r="B762">
            <v>0.9375</v>
          </cell>
          <cell r="C762">
            <v>0.1</v>
          </cell>
        </row>
        <row r="763">
          <cell r="A763">
            <v>72837</v>
          </cell>
          <cell r="B763">
            <v>0.92500000000000004</v>
          </cell>
          <cell r="C763">
            <v>0.1</v>
          </cell>
        </row>
        <row r="764">
          <cell r="A764">
            <v>72839</v>
          </cell>
          <cell r="B764">
            <v>0</v>
          </cell>
          <cell r="C764">
            <v>0</v>
          </cell>
        </row>
        <row r="765">
          <cell r="A765">
            <v>72840</v>
          </cell>
          <cell r="B765">
            <v>0.87000000000000011</v>
          </cell>
          <cell r="C765">
            <v>0.05</v>
          </cell>
        </row>
        <row r="766">
          <cell r="A766">
            <v>72841</v>
          </cell>
          <cell r="B766">
            <v>0.92500000000000004</v>
          </cell>
          <cell r="C766">
            <v>0.1</v>
          </cell>
        </row>
        <row r="767">
          <cell r="A767">
            <v>72842</v>
          </cell>
          <cell r="B767">
            <v>0.97499999999999998</v>
          </cell>
          <cell r="C767">
            <v>0.1</v>
          </cell>
        </row>
        <row r="768">
          <cell r="A768">
            <v>72843</v>
          </cell>
          <cell r="B768">
            <v>0.875</v>
          </cell>
          <cell r="C768">
            <v>0.05</v>
          </cell>
        </row>
        <row r="769">
          <cell r="A769">
            <v>72846</v>
          </cell>
          <cell r="B769">
            <v>1</v>
          </cell>
          <cell r="C769">
            <v>0.1</v>
          </cell>
        </row>
        <row r="770">
          <cell r="A770">
            <v>72847</v>
          </cell>
          <cell r="B770">
            <v>0.83333333333333337</v>
          </cell>
          <cell r="C770">
            <v>0.05</v>
          </cell>
        </row>
        <row r="771">
          <cell r="A771">
            <v>72848</v>
          </cell>
          <cell r="B771">
            <v>0.80500000000000005</v>
          </cell>
          <cell r="C771">
            <v>0.05</v>
          </cell>
        </row>
        <row r="772">
          <cell r="A772">
            <v>72849</v>
          </cell>
          <cell r="B772">
            <v>0.92500000000000004</v>
          </cell>
          <cell r="C772">
            <v>0.1</v>
          </cell>
        </row>
        <row r="773">
          <cell r="A773">
            <v>72851</v>
          </cell>
          <cell r="B773">
            <v>0.67500000000000004</v>
          </cell>
          <cell r="C773">
            <v>0</v>
          </cell>
        </row>
        <row r="774">
          <cell r="A774">
            <v>72852</v>
          </cell>
          <cell r="B774">
            <v>1</v>
          </cell>
          <cell r="C774">
            <v>0.1</v>
          </cell>
        </row>
        <row r="775">
          <cell r="A775">
            <v>72853</v>
          </cell>
          <cell r="B775">
            <v>0.4</v>
          </cell>
          <cell r="C775">
            <v>0</v>
          </cell>
        </row>
        <row r="776">
          <cell r="A776">
            <v>72854</v>
          </cell>
          <cell r="B776">
            <v>0.42499999999999999</v>
          </cell>
          <cell r="C776">
            <v>0</v>
          </cell>
        </row>
        <row r="777">
          <cell r="A777">
            <v>72857</v>
          </cell>
          <cell r="B777">
            <v>1</v>
          </cell>
          <cell r="C777">
            <v>0.1</v>
          </cell>
        </row>
        <row r="778">
          <cell r="A778">
            <v>72859</v>
          </cell>
          <cell r="B778">
            <v>1</v>
          </cell>
          <cell r="C778">
            <v>0.1</v>
          </cell>
        </row>
        <row r="779">
          <cell r="A779">
            <v>72860</v>
          </cell>
          <cell r="B779">
            <v>0.98</v>
          </cell>
          <cell r="C779">
            <v>0.1</v>
          </cell>
        </row>
        <row r="780">
          <cell r="A780">
            <v>72863</v>
          </cell>
          <cell r="B780">
            <v>0.91666666666666663</v>
          </cell>
          <cell r="C780">
            <v>0.1</v>
          </cell>
        </row>
        <row r="781">
          <cell r="A781">
            <v>72864</v>
          </cell>
          <cell r="B781">
            <v>0.97499999999999998</v>
          </cell>
          <cell r="C781">
            <v>0.1</v>
          </cell>
        </row>
        <row r="782">
          <cell r="A782">
            <v>72865</v>
          </cell>
          <cell r="B782">
            <v>0.85</v>
          </cell>
          <cell r="C782">
            <v>0.05</v>
          </cell>
        </row>
        <row r="783">
          <cell r="A783">
            <v>72866</v>
          </cell>
          <cell r="B783">
            <v>0.9</v>
          </cell>
          <cell r="C783">
            <v>0.1</v>
          </cell>
        </row>
        <row r="784">
          <cell r="A784">
            <v>72867</v>
          </cell>
          <cell r="B784">
            <v>1</v>
          </cell>
          <cell r="C784">
            <v>0.1</v>
          </cell>
        </row>
        <row r="785">
          <cell r="A785">
            <v>72868</v>
          </cell>
          <cell r="B785">
            <v>0.8666666666666667</v>
          </cell>
          <cell r="C785">
            <v>0.05</v>
          </cell>
        </row>
        <row r="786">
          <cell r="A786">
            <v>72869</v>
          </cell>
          <cell r="B786">
            <v>0.9</v>
          </cell>
          <cell r="C786">
            <v>0.1</v>
          </cell>
        </row>
        <row r="787">
          <cell r="A787">
            <v>72871</v>
          </cell>
          <cell r="B787">
            <v>0.98</v>
          </cell>
          <cell r="C787">
            <v>0.1</v>
          </cell>
        </row>
        <row r="788">
          <cell r="A788">
            <v>72872</v>
          </cell>
          <cell r="B788">
            <v>0.4</v>
          </cell>
          <cell r="C788">
            <v>0</v>
          </cell>
        </row>
        <row r="789">
          <cell r="A789">
            <v>72880</v>
          </cell>
          <cell r="B789">
            <v>1</v>
          </cell>
          <cell r="C789">
            <v>0.1</v>
          </cell>
        </row>
        <row r="790">
          <cell r="A790">
            <v>72887</v>
          </cell>
          <cell r="B790">
            <v>0.93500000000000005</v>
          </cell>
          <cell r="C790">
            <v>0.1</v>
          </cell>
        </row>
        <row r="791">
          <cell r="A791">
            <v>72891</v>
          </cell>
          <cell r="B791">
            <v>0.97499999999999998</v>
          </cell>
          <cell r="C791">
            <v>0.1</v>
          </cell>
        </row>
        <row r="792">
          <cell r="A792">
            <v>72893</v>
          </cell>
          <cell r="B792">
            <v>0.92500000000000004</v>
          </cell>
          <cell r="C792">
            <v>0.1</v>
          </cell>
        </row>
        <row r="793">
          <cell r="A793">
            <v>72895</v>
          </cell>
          <cell r="B793">
            <v>1</v>
          </cell>
          <cell r="C793">
            <v>0.1</v>
          </cell>
        </row>
        <row r="794">
          <cell r="A794">
            <v>72901</v>
          </cell>
          <cell r="B794">
            <v>1</v>
          </cell>
          <cell r="C794">
            <v>0.1</v>
          </cell>
        </row>
        <row r="795">
          <cell r="A795">
            <v>72903</v>
          </cell>
          <cell r="B795">
            <v>0.85</v>
          </cell>
          <cell r="C795">
            <v>0.05</v>
          </cell>
        </row>
        <row r="796">
          <cell r="A796">
            <v>72905</v>
          </cell>
          <cell r="B796">
            <v>0.82499999999999996</v>
          </cell>
          <cell r="C796">
            <v>0.05</v>
          </cell>
        </row>
        <row r="797">
          <cell r="A797">
            <v>72906</v>
          </cell>
          <cell r="B797">
            <v>0.4</v>
          </cell>
          <cell r="C797">
            <v>0</v>
          </cell>
        </row>
        <row r="798">
          <cell r="A798">
            <v>72907</v>
          </cell>
          <cell r="B798">
            <v>0.48</v>
          </cell>
          <cell r="C798">
            <v>0</v>
          </cell>
        </row>
        <row r="799">
          <cell r="A799">
            <v>72912</v>
          </cell>
          <cell r="B799">
            <v>0.78</v>
          </cell>
          <cell r="C799">
            <v>0</v>
          </cell>
        </row>
        <row r="800">
          <cell r="A800">
            <v>72913</v>
          </cell>
          <cell r="B800">
            <v>0.93666666666666665</v>
          </cell>
          <cell r="C800">
            <v>0.1</v>
          </cell>
        </row>
        <row r="801">
          <cell r="A801">
            <v>72914</v>
          </cell>
          <cell r="B801">
            <v>0.77500000000000002</v>
          </cell>
          <cell r="C801">
            <v>0</v>
          </cell>
        </row>
        <row r="802">
          <cell r="A802">
            <v>72916</v>
          </cell>
          <cell r="B802">
            <v>0.85499999999999998</v>
          </cell>
          <cell r="C802">
            <v>0.05</v>
          </cell>
        </row>
        <row r="803">
          <cell r="A803">
            <v>72917</v>
          </cell>
          <cell r="B803">
            <v>0.82499999999999996</v>
          </cell>
          <cell r="C803">
            <v>0.05</v>
          </cell>
        </row>
        <row r="804">
          <cell r="A804">
            <v>72920</v>
          </cell>
          <cell r="B804">
            <v>1</v>
          </cell>
          <cell r="C804">
            <v>0.1</v>
          </cell>
        </row>
        <row r="805">
          <cell r="A805">
            <v>72925</v>
          </cell>
          <cell r="B805">
            <v>0.80499999999999994</v>
          </cell>
          <cell r="C805">
            <v>0.05</v>
          </cell>
        </row>
        <row r="806">
          <cell r="A806">
            <v>72927</v>
          </cell>
          <cell r="B806">
            <v>0.85</v>
          </cell>
          <cell r="C806">
            <v>0.05</v>
          </cell>
        </row>
        <row r="807">
          <cell r="A807">
            <v>72929</v>
          </cell>
          <cell r="B807">
            <v>0.95</v>
          </cell>
          <cell r="C807">
            <v>0.1</v>
          </cell>
        </row>
        <row r="808">
          <cell r="A808">
            <v>72931</v>
          </cell>
          <cell r="B808">
            <v>0.95</v>
          </cell>
          <cell r="C808">
            <v>0.1</v>
          </cell>
        </row>
        <row r="809">
          <cell r="A809">
            <v>72932</v>
          </cell>
          <cell r="B809">
            <v>1</v>
          </cell>
          <cell r="C809">
            <v>0.1</v>
          </cell>
        </row>
        <row r="810">
          <cell r="A810">
            <v>72933</v>
          </cell>
          <cell r="B810">
            <v>0.97499999999999998</v>
          </cell>
          <cell r="C810">
            <v>0.1</v>
          </cell>
        </row>
        <row r="811">
          <cell r="A811">
            <v>72934</v>
          </cell>
          <cell r="B811">
            <v>0.95</v>
          </cell>
          <cell r="C811">
            <v>0.1</v>
          </cell>
        </row>
        <row r="812">
          <cell r="A812">
            <v>72935</v>
          </cell>
          <cell r="B812">
            <v>0.91666666666666663</v>
          </cell>
          <cell r="C812">
            <v>0.1</v>
          </cell>
        </row>
        <row r="813">
          <cell r="A813">
            <v>72936</v>
          </cell>
          <cell r="B813">
            <v>0.93500000000000005</v>
          </cell>
          <cell r="C813">
            <v>0.1</v>
          </cell>
        </row>
        <row r="814">
          <cell r="A814">
            <v>72937</v>
          </cell>
          <cell r="B814">
            <v>0.81666666666666676</v>
          </cell>
          <cell r="C814">
            <v>0.05</v>
          </cell>
        </row>
        <row r="815">
          <cell r="A815">
            <v>72938</v>
          </cell>
          <cell r="B815">
            <v>0.92999999999999994</v>
          </cell>
          <cell r="C815">
            <v>0.1</v>
          </cell>
        </row>
        <row r="816">
          <cell r="A816">
            <v>72940</v>
          </cell>
          <cell r="B816">
            <v>0.88500000000000001</v>
          </cell>
          <cell r="C816">
            <v>0.05</v>
          </cell>
        </row>
        <row r="817">
          <cell r="A817">
            <v>72942</v>
          </cell>
          <cell r="B817">
            <v>0.81</v>
          </cell>
          <cell r="C817">
            <v>0.05</v>
          </cell>
        </row>
        <row r="818">
          <cell r="A818">
            <v>72943</v>
          </cell>
          <cell r="B818">
            <v>0.96</v>
          </cell>
          <cell r="C818">
            <v>0.1</v>
          </cell>
        </row>
        <row r="819">
          <cell r="A819">
            <v>72944</v>
          </cell>
          <cell r="B819">
            <v>0.8</v>
          </cell>
          <cell r="C819">
            <v>0.05</v>
          </cell>
        </row>
        <row r="820">
          <cell r="A820">
            <v>72946</v>
          </cell>
          <cell r="B820">
            <v>1</v>
          </cell>
          <cell r="C820">
            <v>0.1</v>
          </cell>
        </row>
        <row r="821">
          <cell r="A821">
            <v>72947</v>
          </cell>
          <cell r="B821">
            <v>0.89999999999999991</v>
          </cell>
          <cell r="C821">
            <v>0.1</v>
          </cell>
        </row>
        <row r="822">
          <cell r="A822">
            <v>72948</v>
          </cell>
          <cell r="B822">
            <v>0.93333333333333324</v>
          </cell>
          <cell r="C822">
            <v>0.1</v>
          </cell>
        </row>
        <row r="823">
          <cell r="A823">
            <v>72950</v>
          </cell>
          <cell r="B823">
            <v>0.92999999999999994</v>
          </cell>
          <cell r="C823">
            <v>0.1</v>
          </cell>
        </row>
        <row r="824">
          <cell r="A824">
            <v>72951</v>
          </cell>
          <cell r="B824">
            <v>0.78666666666666663</v>
          </cell>
          <cell r="C824">
            <v>0</v>
          </cell>
        </row>
        <row r="825">
          <cell r="A825">
            <v>72952</v>
          </cell>
          <cell r="B825">
            <v>0.89</v>
          </cell>
          <cell r="C825">
            <v>0.05</v>
          </cell>
        </row>
        <row r="826">
          <cell r="A826">
            <v>72953</v>
          </cell>
          <cell r="B826">
            <v>0.97499999999999998</v>
          </cell>
          <cell r="C826">
            <v>0.1</v>
          </cell>
        </row>
        <row r="827">
          <cell r="A827">
            <v>72955</v>
          </cell>
          <cell r="B827">
            <v>0.81</v>
          </cell>
          <cell r="C827">
            <v>0.05</v>
          </cell>
        </row>
        <row r="828">
          <cell r="A828">
            <v>72957</v>
          </cell>
          <cell r="B828">
            <v>0.89999999999999991</v>
          </cell>
          <cell r="C828">
            <v>0.1</v>
          </cell>
        </row>
        <row r="829">
          <cell r="A829">
            <v>72958</v>
          </cell>
          <cell r="B829">
            <v>0.9</v>
          </cell>
          <cell r="C829">
            <v>0.1</v>
          </cell>
        </row>
        <row r="830">
          <cell r="A830">
            <v>72959</v>
          </cell>
          <cell r="B830">
            <v>0.89999999999999991</v>
          </cell>
          <cell r="C830">
            <v>0.1</v>
          </cell>
        </row>
        <row r="831">
          <cell r="A831">
            <v>72960</v>
          </cell>
          <cell r="B831">
            <v>0.79499999999999993</v>
          </cell>
          <cell r="C831">
            <v>0</v>
          </cell>
        </row>
        <row r="832">
          <cell r="A832">
            <v>72961</v>
          </cell>
          <cell r="B832">
            <v>1</v>
          </cell>
          <cell r="C832">
            <v>0.1</v>
          </cell>
        </row>
        <row r="833">
          <cell r="A833">
            <v>72962</v>
          </cell>
          <cell r="B833">
            <v>1</v>
          </cell>
          <cell r="C833">
            <v>0.1</v>
          </cell>
        </row>
        <row r="834">
          <cell r="A834">
            <v>72963</v>
          </cell>
          <cell r="B834">
            <v>0.89999999999999991</v>
          </cell>
          <cell r="C834">
            <v>0.1</v>
          </cell>
        </row>
        <row r="835">
          <cell r="A835">
            <v>72964</v>
          </cell>
          <cell r="B835">
            <v>0.48499999999999999</v>
          </cell>
          <cell r="C835">
            <v>0</v>
          </cell>
        </row>
        <row r="836">
          <cell r="A836">
            <v>72965</v>
          </cell>
          <cell r="B836">
            <v>0.89999999999999991</v>
          </cell>
          <cell r="C836">
            <v>0.1</v>
          </cell>
        </row>
        <row r="837">
          <cell r="A837">
            <v>72966</v>
          </cell>
          <cell r="B837">
            <v>1</v>
          </cell>
          <cell r="C837">
            <v>0.1</v>
          </cell>
        </row>
        <row r="838">
          <cell r="A838">
            <v>72968</v>
          </cell>
          <cell r="B838">
            <v>0.90500000000000003</v>
          </cell>
          <cell r="C838">
            <v>0.1</v>
          </cell>
        </row>
        <row r="839">
          <cell r="A839">
            <v>72969</v>
          </cell>
          <cell r="B839">
            <v>0.9</v>
          </cell>
          <cell r="C839">
            <v>0.1</v>
          </cell>
        </row>
        <row r="840">
          <cell r="A840">
            <v>72971</v>
          </cell>
          <cell r="B840">
            <v>0.9</v>
          </cell>
          <cell r="C840">
            <v>0.1</v>
          </cell>
        </row>
        <row r="841">
          <cell r="A841">
            <v>72972</v>
          </cell>
          <cell r="B841">
            <v>0.85</v>
          </cell>
          <cell r="C841">
            <v>0.05</v>
          </cell>
        </row>
        <row r="842">
          <cell r="A842">
            <v>72973</v>
          </cell>
          <cell r="B842">
            <v>0.875</v>
          </cell>
          <cell r="C842">
            <v>0.05</v>
          </cell>
        </row>
        <row r="843">
          <cell r="A843">
            <v>72975</v>
          </cell>
          <cell r="B843">
            <v>0.85</v>
          </cell>
          <cell r="C843">
            <v>0.05</v>
          </cell>
        </row>
        <row r="844">
          <cell r="A844">
            <v>72976</v>
          </cell>
          <cell r="B844">
            <v>0.66666666666666663</v>
          </cell>
          <cell r="C844">
            <v>0</v>
          </cell>
        </row>
        <row r="845">
          <cell r="A845">
            <v>72977</v>
          </cell>
          <cell r="B845">
            <v>0.85</v>
          </cell>
          <cell r="C845">
            <v>0.05</v>
          </cell>
        </row>
        <row r="846">
          <cell r="A846">
            <v>72979</v>
          </cell>
          <cell r="B846">
            <v>0.82499999999999996</v>
          </cell>
          <cell r="C846">
            <v>0.05</v>
          </cell>
        </row>
        <row r="847">
          <cell r="A847">
            <v>72980</v>
          </cell>
          <cell r="B847">
            <v>0.85499999999999998</v>
          </cell>
          <cell r="C847">
            <v>0.05</v>
          </cell>
        </row>
        <row r="848">
          <cell r="A848">
            <v>72982</v>
          </cell>
          <cell r="B848">
            <v>0.65</v>
          </cell>
          <cell r="C848">
            <v>0</v>
          </cell>
        </row>
        <row r="849">
          <cell r="A849">
            <v>72983</v>
          </cell>
          <cell r="B849">
            <v>0.8666666666666667</v>
          </cell>
          <cell r="C849">
            <v>0.05</v>
          </cell>
        </row>
        <row r="850">
          <cell r="A850">
            <v>72984</v>
          </cell>
          <cell r="B850">
            <v>0.9</v>
          </cell>
          <cell r="C850">
            <v>0.1</v>
          </cell>
        </row>
        <row r="851">
          <cell r="A851">
            <v>72989</v>
          </cell>
          <cell r="B851">
            <v>0.85499999999999998</v>
          </cell>
          <cell r="C851">
            <v>0.05</v>
          </cell>
        </row>
        <row r="852">
          <cell r="A852">
            <v>72990</v>
          </cell>
          <cell r="B852">
            <v>1</v>
          </cell>
          <cell r="C852">
            <v>0.1</v>
          </cell>
        </row>
        <row r="853">
          <cell r="A853">
            <v>72992</v>
          </cell>
          <cell r="B853">
            <v>0.875</v>
          </cell>
          <cell r="C853">
            <v>0.05</v>
          </cell>
        </row>
        <row r="854">
          <cell r="A854">
            <v>72994</v>
          </cell>
          <cell r="B854">
            <v>0.89999999999999991</v>
          </cell>
          <cell r="C854">
            <v>0.1</v>
          </cell>
        </row>
        <row r="855">
          <cell r="A855">
            <v>72995</v>
          </cell>
          <cell r="B855">
            <v>0.86499999999999999</v>
          </cell>
          <cell r="C855">
            <v>0.05</v>
          </cell>
        </row>
        <row r="856">
          <cell r="A856">
            <v>72996</v>
          </cell>
          <cell r="B856">
            <v>0.75</v>
          </cell>
          <cell r="C856">
            <v>0</v>
          </cell>
        </row>
        <row r="857">
          <cell r="A857">
            <v>72998</v>
          </cell>
          <cell r="B857">
            <v>1</v>
          </cell>
          <cell r="C857">
            <v>0.1</v>
          </cell>
        </row>
        <row r="858">
          <cell r="A858">
            <v>72999</v>
          </cell>
          <cell r="B858">
            <v>0.9</v>
          </cell>
          <cell r="C858">
            <v>0.1</v>
          </cell>
        </row>
        <row r="859">
          <cell r="A859">
            <v>73004</v>
          </cell>
          <cell r="B859">
            <v>0.96</v>
          </cell>
          <cell r="C859">
            <v>0.1</v>
          </cell>
        </row>
        <row r="860">
          <cell r="A860">
            <v>73007</v>
          </cell>
          <cell r="B860">
            <v>0.98</v>
          </cell>
          <cell r="C860">
            <v>0.1</v>
          </cell>
        </row>
        <row r="861">
          <cell r="A861">
            <v>73008</v>
          </cell>
          <cell r="B861">
            <v>1</v>
          </cell>
          <cell r="C861">
            <v>0.1</v>
          </cell>
        </row>
        <row r="862">
          <cell r="A862">
            <v>73010</v>
          </cell>
          <cell r="B862">
            <v>0.93500000000000005</v>
          </cell>
          <cell r="C862">
            <v>0.1</v>
          </cell>
        </row>
        <row r="863">
          <cell r="A863">
            <v>73011</v>
          </cell>
          <cell r="B863">
            <v>0.95</v>
          </cell>
          <cell r="C863">
            <v>0.1</v>
          </cell>
        </row>
        <row r="864">
          <cell r="A864">
            <v>73015</v>
          </cell>
          <cell r="B864">
            <v>0.97499999999999998</v>
          </cell>
          <cell r="C864">
            <v>0.1</v>
          </cell>
        </row>
        <row r="865">
          <cell r="A865">
            <v>73016</v>
          </cell>
          <cell r="B865">
            <v>0.85</v>
          </cell>
          <cell r="C865">
            <v>0.05</v>
          </cell>
        </row>
        <row r="866">
          <cell r="A866">
            <v>73019</v>
          </cell>
          <cell r="B866">
            <v>1</v>
          </cell>
          <cell r="C866">
            <v>0.1</v>
          </cell>
        </row>
        <row r="867">
          <cell r="A867">
            <v>73020</v>
          </cell>
          <cell r="B867">
            <v>1</v>
          </cell>
          <cell r="C867">
            <v>0.1</v>
          </cell>
        </row>
        <row r="868">
          <cell r="A868">
            <v>73021</v>
          </cell>
          <cell r="B868">
            <v>0.8666666666666667</v>
          </cell>
          <cell r="C868">
            <v>0.05</v>
          </cell>
        </row>
        <row r="869">
          <cell r="A869">
            <v>73023</v>
          </cell>
          <cell r="B869">
            <v>0.875</v>
          </cell>
          <cell r="C869">
            <v>0.05</v>
          </cell>
        </row>
        <row r="870">
          <cell r="A870">
            <v>73024</v>
          </cell>
          <cell r="B870">
            <v>0.95</v>
          </cell>
          <cell r="C870">
            <v>0.1</v>
          </cell>
        </row>
        <row r="871">
          <cell r="A871">
            <v>73025</v>
          </cell>
          <cell r="B871">
            <v>0.89</v>
          </cell>
          <cell r="C871">
            <v>0.05</v>
          </cell>
        </row>
        <row r="872">
          <cell r="A872">
            <v>73026</v>
          </cell>
          <cell r="B872">
            <v>0.83000000000000007</v>
          </cell>
          <cell r="C872">
            <v>0.05</v>
          </cell>
        </row>
        <row r="873">
          <cell r="A873">
            <v>73030</v>
          </cell>
          <cell r="B873">
            <v>0.91666666666666663</v>
          </cell>
          <cell r="C873">
            <v>0.1</v>
          </cell>
        </row>
        <row r="874">
          <cell r="A874">
            <v>73031</v>
          </cell>
          <cell r="B874">
            <v>0.92500000000000004</v>
          </cell>
          <cell r="C874">
            <v>0.1</v>
          </cell>
        </row>
        <row r="875">
          <cell r="A875">
            <v>73034</v>
          </cell>
          <cell r="B875">
            <v>0.92500000000000004</v>
          </cell>
          <cell r="C875">
            <v>0.1</v>
          </cell>
        </row>
        <row r="876">
          <cell r="A876">
            <v>73036</v>
          </cell>
          <cell r="B876">
            <v>0.87666666666666659</v>
          </cell>
          <cell r="C876">
            <v>0.05</v>
          </cell>
        </row>
        <row r="877">
          <cell r="A877">
            <v>73040</v>
          </cell>
          <cell r="B877">
            <v>0.84</v>
          </cell>
          <cell r="C877">
            <v>0.05</v>
          </cell>
        </row>
        <row r="878">
          <cell r="A878">
            <v>73041</v>
          </cell>
          <cell r="B878">
            <v>0.97333333333333327</v>
          </cell>
          <cell r="C878">
            <v>0.1</v>
          </cell>
        </row>
        <row r="879">
          <cell r="A879">
            <v>73042</v>
          </cell>
          <cell r="B879">
            <v>0.98499999999999999</v>
          </cell>
          <cell r="C879">
            <v>0.1</v>
          </cell>
        </row>
        <row r="880">
          <cell r="A880">
            <v>73043</v>
          </cell>
          <cell r="B880">
            <v>0.4</v>
          </cell>
          <cell r="C880">
            <v>0</v>
          </cell>
        </row>
        <row r="881">
          <cell r="A881">
            <v>73045</v>
          </cell>
          <cell r="B881">
            <v>0.97499999999999998</v>
          </cell>
          <cell r="C881">
            <v>0.1</v>
          </cell>
        </row>
        <row r="882">
          <cell r="A882">
            <v>73047</v>
          </cell>
          <cell r="B882">
            <v>0.82499999999999996</v>
          </cell>
          <cell r="C882">
            <v>0.05</v>
          </cell>
        </row>
        <row r="883">
          <cell r="A883">
            <v>73050</v>
          </cell>
          <cell r="B883">
            <v>0.83333333333333337</v>
          </cell>
          <cell r="C883">
            <v>0.05</v>
          </cell>
        </row>
        <row r="884">
          <cell r="A884">
            <v>73054</v>
          </cell>
          <cell r="B884">
            <v>0.9</v>
          </cell>
          <cell r="C884">
            <v>0.1</v>
          </cell>
        </row>
        <row r="885">
          <cell r="A885">
            <v>73056</v>
          </cell>
          <cell r="B885">
            <v>0.36499999999999999</v>
          </cell>
          <cell r="C885">
            <v>0</v>
          </cell>
        </row>
        <row r="886">
          <cell r="A886">
            <v>73059</v>
          </cell>
          <cell r="B886">
            <v>0.89999999999999991</v>
          </cell>
          <cell r="C886">
            <v>0.1</v>
          </cell>
        </row>
        <row r="887">
          <cell r="A887">
            <v>73066</v>
          </cell>
          <cell r="B887">
            <v>0.89999999999999991</v>
          </cell>
          <cell r="C887">
            <v>0.1</v>
          </cell>
        </row>
        <row r="888">
          <cell r="A888">
            <v>73067</v>
          </cell>
          <cell r="B888">
            <v>0.9</v>
          </cell>
          <cell r="C888">
            <v>0.1</v>
          </cell>
        </row>
        <row r="889">
          <cell r="A889">
            <v>73068</v>
          </cell>
          <cell r="B889">
            <v>1</v>
          </cell>
          <cell r="C889">
            <v>0.1</v>
          </cell>
        </row>
        <row r="890">
          <cell r="A890">
            <v>73069</v>
          </cell>
          <cell r="B890">
            <v>0.92500000000000004</v>
          </cell>
          <cell r="C890">
            <v>0.1</v>
          </cell>
        </row>
        <row r="891">
          <cell r="A891">
            <v>73070</v>
          </cell>
          <cell r="B891">
            <v>0.79499999999999993</v>
          </cell>
          <cell r="C891">
            <v>0</v>
          </cell>
        </row>
        <row r="892">
          <cell r="A892">
            <v>73071</v>
          </cell>
          <cell r="B892">
            <v>1</v>
          </cell>
          <cell r="C892">
            <v>0.1</v>
          </cell>
        </row>
        <row r="893">
          <cell r="A893">
            <v>73073</v>
          </cell>
          <cell r="B893">
            <v>1</v>
          </cell>
          <cell r="C893">
            <v>0.1</v>
          </cell>
        </row>
        <row r="894">
          <cell r="A894">
            <v>73074</v>
          </cell>
          <cell r="B894">
            <v>0.85</v>
          </cell>
          <cell r="C894">
            <v>0.05</v>
          </cell>
        </row>
        <row r="895">
          <cell r="A895">
            <v>73076</v>
          </cell>
          <cell r="B895">
            <v>0.8</v>
          </cell>
          <cell r="C895">
            <v>0.05</v>
          </cell>
        </row>
        <row r="896">
          <cell r="A896">
            <v>73077</v>
          </cell>
          <cell r="B896">
            <v>0.98333333333333339</v>
          </cell>
          <cell r="C896">
            <v>0.1</v>
          </cell>
        </row>
        <row r="897">
          <cell r="A897">
            <v>73078</v>
          </cell>
          <cell r="B897">
            <v>0.9</v>
          </cell>
          <cell r="C897">
            <v>0.1</v>
          </cell>
        </row>
        <row r="898">
          <cell r="A898">
            <v>73080</v>
          </cell>
          <cell r="B898">
            <v>0.94</v>
          </cell>
          <cell r="C898">
            <v>0.1</v>
          </cell>
        </row>
        <row r="899">
          <cell r="A899">
            <v>73081</v>
          </cell>
          <cell r="B899">
            <v>0.97499999999999998</v>
          </cell>
          <cell r="C899">
            <v>0.1</v>
          </cell>
        </row>
        <row r="900">
          <cell r="A900">
            <v>73083</v>
          </cell>
          <cell r="B900">
            <v>0.98</v>
          </cell>
          <cell r="C900">
            <v>0.1</v>
          </cell>
        </row>
        <row r="901">
          <cell r="A901">
            <v>73084</v>
          </cell>
          <cell r="B901">
            <v>0.38</v>
          </cell>
          <cell r="C901">
            <v>0</v>
          </cell>
        </row>
        <row r="902">
          <cell r="A902">
            <v>73085</v>
          </cell>
          <cell r="B902">
            <v>0.98499999999999999</v>
          </cell>
          <cell r="C902">
            <v>0.1</v>
          </cell>
        </row>
        <row r="903">
          <cell r="A903">
            <v>73087</v>
          </cell>
          <cell r="B903">
            <v>0.95</v>
          </cell>
          <cell r="C903">
            <v>0.1</v>
          </cell>
        </row>
        <row r="904">
          <cell r="A904">
            <v>73088</v>
          </cell>
          <cell r="B904">
            <v>0.89333333333333342</v>
          </cell>
          <cell r="C904">
            <v>0.05</v>
          </cell>
        </row>
        <row r="905">
          <cell r="A905">
            <v>73089</v>
          </cell>
          <cell r="B905">
            <v>0.97666666666666668</v>
          </cell>
          <cell r="C905">
            <v>0.1</v>
          </cell>
        </row>
        <row r="906">
          <cell r="A906">
            <v>73091</v>
          </cell>
          <cell r="B906">
            <v>1</v>
          </cell>
          <cell r="C906">
            <v>0.1</v>
          </cell>
        </row>
        <row r="907">
          <cell r="A907">
            <v>73093</v>
          </cell>
          <cell r="B907">
            <v>0.97499999999999998</v>
          </cell>
          <cell r="C907">
            <v>0.1</v>
          </cell>
        </row>
        <row r="908">
          <cell r="A908">
            <v>73097</v>
          </cell>
          <cell r="B908">
            <v>0.83000000000000007</v>
          </cell>
          <cell r="C908">
            <v>0.05</v>
          </cell>
        </row>
        <row r="909">
          <cell r="A909">
            <v>73098</v>
          </cell>
          <cell r="B909">
            <v>0.98333333333333339</v>
          </cell>
          <cell r="C909">
            <v>0.1</v>
          </cell>
        </row>
        <row r="910">
          <cell r="A910">
            <v>73099</v>
          </cell>
          <cell r="B910">
            <v>0.9</v>
          </cell>
          <cell r="C910">
            <v>0.1</v>
          </cell>
        </row>
        <row r="911">
          <cell r="A911">
            <v>73100</v>
          </cell>
          <cell r="B911">
            <v>1</v>
          </cell>
          <cell r="C911">
            <v>0.1</v>
          </cell>
        </row>
        <row r="912">
          <cell r="A912">
            <v>73101</v>
          </cell>
          <cell r="B912">
            <v>1</v>
          </cell>
          <cell r="C912">
            <v>0.1</v>
          </cell>
        </row>
        <row r="913">
          <cell r="A913">
            <v>73104</v>
          </cell>
          <cell r="B913">
            <v>0.47499999999999998</v>
          </cell>
          <cell r="C913">
            <v>0</v>
          </cell>
        </row>
        <row r="914">
          <cell r="A914">
            <v>73107</v>
          </cell>
          <cell r="B914">
            <v>1</v>
          </cell>
          <cell r="C914">
            <v>0.1</v>
          </cell>
        </row>
        <row r="915">
          <cell r="A915">
            <v>73110</v>
          </cell>
          <cell r="B915">
            <v>1</v>
          </cell>
          <cell r="C915">
            <v>0.1</v>
          </cell>
        </row>
        <row r="916">
          <cell r="A916">
            <v>73111</v>
          </cell>
          <cell r="B916">
            <v>0.9</v>
          </cell>
          <cell r="C916">
            <v>0.1</v>
          </cell>
        </row>
        <row r="917">
          <cell r="A917">
            <v>73112</v>
          </cell>
          <cell r="B917">
            <v>0.66666666666666663</v>
          </cell>
          <cell r="C917">
            <v>0</v>
          </cell>
        </row>
        <row r="918">
          <cell r="A918">
            <v>73114</v>
          </cell>
          <cell r="B918">
            <v>0.78499999999999992</v>
          </cell>
          <cell r="C918">
            <v>0</v>
          </cell>
        </row>
        <row r="919">
          <cell r="A919">
            <v>73115</v>
          </cell>
          <cell r="B919">
            <v>0.48499999999999999</v>
          </cell>
          <cell r="C919">
            <v>0</v>
          </cell>
        </row>
        <row r="920">
          <cell r="A920">
            <v>73116</v>
          </cell>
          <cell r="B920">
            <v>0.83666666666666656</v>
          </cell>
          <cell r="C920">
            <v>0.05</v>
          </cell>
        </row>
        <row r="921">
          <cell r="A921">
            <v>73118</v>
          </cell>
          <cell r="B921">
            <v>0.375</v>
          </cell>
          <cell r="C921">
            <v>0</v>
          </cell>
        </row>
        <row r="922">
          <cell r="A922">
            <v>73122</v>
          </cell>
          <cell r="B922">
            <v>1</v>
          </cell>
          <cell r="C922">
            <v>0.1</v>
          </cell>
        </row>
        <row r="923">
          <cell r="A923">
            <v>73123</v>
          </cell>
          <cell r="B923">
            <v>0.4</v>
          </cell>
          <cell r="C923">
            <v>0</v>
          </cell>
        </row>
        <row r="924">
          <cell r="A924">
            <v>73134</v>
          </cell>
          <cell r="B924">
            <v>1</v>
          </cell>
          <cell r="C924">
            <v>0.1</v>
          </cell>
        </row>
        <row r="925">
          <cell r="A925">
            <v>73136</v>
          </cell>
          <cell r="B925">
            <v>0.78333333333333333</v>
          </cell>
          <cell r="C925">
            <v>0</v>
          </cell>
        </row>
        <row r="926">
          <cell r="A926">
            <v>73137</v>
          </cell>
          <cell r="B926">
            <v>0.9</v>
          </cell>
          <cell r="C926">
            <v>0.1</v>
          </cell>
        </row>
        <row r="927">
          <cell r="A927">
            <v>73138</v>
          </cell>
          <cell r="B927">
            <v>1</v>
          </cell>
          <cell r="C927">
            <v>0.1</v>
          </cell>
        </row>
        <row r="928">
          <cell r="A928">
            <v>73139</v>
          </cell>
          <cell r="B928">
            <v>0.4</v>
          </cell>
          <cell r="C928">
            <v>0</v>
          </cell>
        </row>
        <row r="929">
          <cell r="A929">
            <v>73140</v>
          </cell>
          <cell r="B929">
            <v>0.88500000000000001</v>
          </cell>
          <cell r="C929">
            <v>0.05</v>
          </cell>
        </row>
        <row r="930">
          <cell r="A930">
            <v>73141</v>
          </cell>
          <cell r="B930">
            <v>0.92500000000000004</v>
          </cell>
          <cell r="C930">
            <v>0.1</v>
          </cell>
        </row>
        <row r="931">
          <cell r="A931">
            <v>73145</v>
          </cell>
          <cell r="B931">
            <v>0.97499999999999998</v>
          </cell>
          <cell r="C931">
            <v>0.1</v>
          </cell>
        </row>
        <row r="932">
          <cell r="A932">
            <v>73147</v>
          </cell>
          <cell r="B932">
            <v>0.78</v>
          </cell>
          <cell r="C932">
            <v>0</v>
          </cell>
        </row>
        <row r="933">
          <cell r="A933">
            <v>73148</v>
          </cell>
          <cell r="B933">
            <v>1</v>
          </cell>
          <cell r="C933">
            <v>0.1</v>
          </cell>
        </row>
        <row r="934">
          <cell r="A934">
            <v>73151</v>
          </cell>
          <cell r="B934">
            <v>0.4</v>
          </cell>
          <cell r="C934">
            <v>0</v>
          </cell>
        </row>
        <row r="935">
          <cell r="A935">
            <v>73152</v>
          </cell>
          <cell r="B935">
            <v>0.875</v>
          </cell>
          <cell r="C935">
            <v>0.05</v>
          </cell>
        </row>
        <row r="936">
          <cell r="A936">
            <v>73157</v>
          </cell>
          <cell r="B936">
            <v>0.9</v>
          </cell>
          <cell r="C936">
            <v>0.1</v>
          </cell>
        </row>
        <row r="937">
          <cell r="A937">
            <v>73158</v>
          </cell>
          <cell r="B937">
            <v>0.99333333333333329</v>
          </cell>
          <cell r="C937">
            <v>0.1</v>
          </cell>
        </row>
        <row r="938">
          <cell r="A938">
            <v>73160</v>
          </cell>
          <cell r="B938">
            <v>0.875</v>
          </cell>
          <cell r="C938">
            <v>0.05</v>
          </cell>
        </row>
        <row r="939">
          <cell r="A939">
            <v>73161</v>
          </cell>
          <cell r="B939">
            <v>0.95</v>
          </cell>
          <cell r="C939">
            <v>0.1</v>
          </cell>
        </row>
        <row r="940">
          <cell r="A940">
            <v>73162</v>
          </cell>
          <cell r="B940">
            <v>1</v>
          </cell>
          <cell r="C940">
            <v>0.1</v>
          </cell>
        </row>
        <row r="941">
          <cell r="A941">
            <v>73163</v>
          </cell>
          <cell r="B941">
            <v>1</v>
          </cell>
          <cell r="C941">
            <v>0.1</v>
          </cell>
        </row>
        <row r="942">
          <cell r="A942">
            <v>73165</v>
          </cell>
          <cell r="B942">
            <v>0.89500000000000002</v>
          </cell>
          <cell r="C942">
            <v>0.05</v>
          </cell>
        </row>
        <row r="943">
          <cell r="A943">
            <v>73166</v>
          </cell>
          <cell r="B943">
            <v>0.90500000000000003</v>
          </cell>
          <cell r="C943">
            <v>0.1</v>
          </cell>
        </row>
        <row r="944">
          <cell r="A944">
            <v>73168</v>
          </cell>
          <cell r="B944">
            <v>0.89999999999999991</v>
          </cell>
          <cell r="C944">
            <v>0.1</v>
          </cell>
        </row>
        <row r="945">
          <cell r="A945">
            <v>73169</v>
          </cell>
          <cell r="B945">
            <v>0.46500000000000002</v>
          </cell>
          <cell r="C945">
            <v>0</v>
          </cell>
        </row>
        <row r="946">
          <cell r="A946">
            <v>73170</v>
          </cell>
          <cell r="B946">
            <v>0.745</v>
          </cell>
          <cell r="C946">
            <v>0</v>
          </cell>
        </row>
        <row r="947">
          <cell r="A947">
            <v>73173</v>
          </cell>
          <cell r="B947">
            <v>1</v>
          </cell>
          <cell r="C947">
            <v>0.1</v>
          </cell>
        </row>
        <row r="948">
          <cell r="A948">
            <v>73175</v>
          </cell>
          <cell r="B948">
            <v>0.91</v>
          </cell>
          <cell r="C948">
            <v>0.1</v>
          </cell>
        </row>
        <row r="949">
          <cell r="A949">
            <v>73176</v>
          </cell>
          <cell r="B949">
            <v>0.8</v>
          </cell>
          <cell r="C949">
            <v>0.05</v>
          </cell>
        </row>
        <row r="950">
          <cell r="A950">
            <v>73178</v>
          </cell>
          <cell r="B950">
            <v>0.97499999999999998</v>
          </cell>
          <cell r="C950">
            <v>0.1</v>
          </cell>
        </row>
        <row r="951">
          <cell r="A951">
            <v>73182</v>
          </cell>
          <cell r="B951">
            <v>0.89999999999999991</v>
          </cell>
          <cell r="C951">
            <v>0.1</v>
          </cell>
        </row>
        <row r="952">
          <cell r="A952">
            <v>73183</v>
          </cell>
          <cell r="B952">
            <v>1</v>
          </cell>
          <cell r="C952">
            <v>0.1</v>
          </cell>
        </row>
        <row r="953">
          <cell r="A953">
            <v>73184</v>
          </cell>
          <cell r="B953">
            <v>0.91666666666666663</v>
          </cell>
          <cell r="C953">
            <v>0.1</v>
          </cell>
        </row>
        <row r="954">
          <cell r="A954">
            <v>73186</v>
          </cell>
          <cell r="B954">
            <v>0.77500000000000002</v>
          </cell>
          <cell r="C954">
            <v>0</v>
          </cell>
        </row>
        <row r="955">
          <cell r="A955">
            <v>73187</v>
          </cell>
          <cell r="B955">
            <v>0.91666666666666663</v>
          </cell>
          <cell r="C955">
            <v>0.1</v>
          </cell>
        </row>
        <row r="956">
          <cell r="A956">
            <v>73191</v>
          </cell>
          <cell r="B956">
            <v>0.82499999999999996</v>
          </cell>
          <cell r="C956">
            <v>0.05</v>
          </cell>
        </row>
        <row r="957">
          <cell r="A957">
            <v>73194</v>
          </cell>
          <cell r="B957">
            <v>0.8</v>
          </cell>
          <cell r="C957">
            <v>0.05</v>
          </cell>
        </row>
        <row r="958">
          <cell r="A958">
            <v>73195</v>
          </cell>
          <cell r="B958">
            <v>0.95</v>
          </cell>
          <cell r="C958">
            <v>0.1</v>
          </cell>
        </row>
        <row r="959">
          <cell r="A959">
            <v>73196</v>
          </cell>
          <cell r="B959">
            <v>1</v>
          </cell>
          <cell r="C959">
            <v>0.1</v>
          </cell>
        </row>
        <row r="960">
          <cell r="A960">
            <v>73198</v>
          </cell>
          <cell r="B960">
            <v>1</v>
          </cell>
          <cell r="C960">
            <v>0.1</v>
          </cell>
        </row>
        <row r="961">
          <cell r="A961">
            <v>73200</v>
          </cell>
          <cell r="B961">
            <v>0.92500000000000004</v>
          </cell>
          <cell r="C961">
            <v>0.1</v>
          </cell>
        </row>
        <row r="962">
          <cell r="A962">
            <v>73202</v>
          </cell>
          <cell r="B962">
            <v>0.92500000000000004</v>
          </cell>
          <cell r="C962">
            <v>0.1</v>
          </cell>
        </row>
        <row r="963">
          <cell r="A963">
            <v>73203</v>
          </cell>
          <cell r="B963">
            <v>0.96</v>
          </cell>
          <cell r="C963">
            <v>0.1</v>
          </cell>
        </row>
        <row r="964">
          <cell r="A964">
            <v>73206</v>
          </cell>
          <cell r="B964">
            <v>0.9</v>
          </cell>
          <cell r="C964">
            <v>0.1</v>
          </cell>
        </row>
        <row r="965">
          <cell r="A965">
            <v>73207</v>
          </cell>
          <cell r="B965">
            <v>0.92500000000000004</v>
          </cell>
          <cell r="C965">
            <v>0.1</v>
          </cell>
        </row>
        <row r="966">
          <cell r="A966">
            <v>73208</v>
          </cell>
          <cell r="B966">
            <v>0.92500000000000004</v>
          </cell>
          <cell r="C966">
            <v>0.1</v>
          </cell>
        </row>
        <row r="967">
          <cell r="A967">
            <v>73210</v>
          </cell>
          <cell r="B967">
            <v>1</v>
          </cell>
          <cell r="C967">
            <v>0.1</v>
          </cell>
        </row>
        <row r="968">
          <cell r="A968">
            <v>73211</v>
          </cell>
          <cell r="B968">
            <v>0.92500000000000004</v>
          </cell>
          <cell r="C968">
            <v>0.1</v>
          </cell>
        </row>
        <row r="969">
          <cell r="A969">
            <v>73212</v>
          </cell>
          <cell r="B969">
            <v>1</v>
          </cell>
          <cell r="C969">
            <v>0.1</v>
          </cell>
        </row>
        <row r="970">
          <cell r="A970">
            <v>73213</v>
          </cell>
          <cell r="B970">
            <v>0.76500000000000001</v>
          </cell>
          <cell r="C970">
            <v>0</v>
          </cell>
        </row>
        <row r="971">
          <cell r="A971">
            <v>73215</v>
          </cell>
          <cell r="B971">
            <v>0.96</v>
          </cell>
          <cell r="C971">
            <v>0.1</v>
          </cell>
        </row>
        <row r="972">
          <cell r="A972">
            <v>73216</v>
          </cell>
          <cell r="B972">
            <v>0.89999999999999991</v>
          </cell>
          <cell r="C972">
            <v>0.1</v>
          </cell>
        </row>
        <row r="973">
          <cell r="A973">
            <v>73219</v>
          </cell>
          <cell r="B973">
            <v>0.97499999999999998</v>
          </cell>
          <cell r="C973">
            <v>0.1</v>
          </cell>
        </row>
        <row r="974">
          <cell r="A974">
            <v>73220</v>
          </cell>
          <cell r="B974">
            <v>0.375</v>
          </cell>
          <cell r="C974">
            <v>0</v>
          </cell>
        </row>
        <row r="975">
          <cell r="A975">
            <v>73221</v>
          </cell>
          <cell r="B975">
            <v>0.755</v>
          </cell>
          <cell r="C975">
            <v>0</v>
          </cell>
        </row>
        <row r="976">
          <cell r="A976">
            <v>73223</v>
          </cell>
          <cell r="B976">
            <v>0.9</v>
          </cell>
          <cell r="C976">
            <v>0.1</v>
          </cell>
        </row>
        <row r="977">
          <cell r="A977">
            <v>73225</v>
          </cell>
          <cell r="B977">
            <v>1</v>
          </cell>
          <cell r="C977">
            <v>0.1</v>
          </cell>
        </row>
        <row r="978">
          <cell r="A978">
            <v>73226</v>
          </cell>
          <cell r="B978">
            <v>0.875</v>
          </cell>
          <cell r="C978">
            <v>0.05</v>
          </cell>
        </row>
        <row r="979">
          <cell r="A979">
            <v>73227</v>
          </cell>
          <cell r="B979">
            <v>1</v>
          </cell>
          <cell r="C979">
            <v>0.1</v>
          </cell>
        </row>
        <row r="980">
          <cell r="A980">
            <v>73228</v>
          </cell>
          <cell r="B980">
            <v>0.72500000000000009</v>
          </cell>
          <cell r="C980">
            <v>0</v>
          </cell>
        </row>
        <row r="981">
          <cell r="A981">
            <v>73229</v>
          </cell>
          <cell r="B981">
            <v>0.89999999999999991</v>
          </cell>
          <cell r="C981">
            <v>0.1</v>
          </cell>
        </row>
        <row r="982">
          <cell r="A982">
            <v>73230</v>
          </cell>
          <cell r="B982">
            <v>1</v>
          </cell>
          <cell r="C982">
            <v>0.1</v>
          </cell>
        </row>
        <row r="983">
          <cell r="A983">
            <v>73231</v>
          </cell>
          <cell r="B983">
            <v>0.63</v>
          </cell>
          <cell r="C983">
            <v>0</v>
          </cell>
        </row>
        <row r="984">
          <cell r="A984">
            <v>73234</v>
          </cell>
          <cell r="B984">
            <v>0.97</v>
          </cell>
          <cell r="C984">
            <v>0.1</v>
          </cell>
        </row>
        <row r="985">
          <cell r="A985">
            <v>73236</v>
          </cell>
          <cell r="B985">
            <v>0.9</v>
          </cell>
          <cell r="C985">
            <v>0.1</v>
          </cell>
        </row>
        <row r="986">
          <cell r="A986">
            <v>73238</v>
          </cell>
          <cell r="B986">
            <v>0.82499999999999996</v>
          </cell>
          <cell r="C986">
            <v>0.05</v>
          </cell>
        </row>
        <row r="987">
          <cell r="A987">
            <v>73239</v>
          </cell>
          <cell r="B987">
            <v>0.95</v>
          </cell>
          <cell r="C987">
            <v>0.1</v>
          </cell>
        </row>
        <row r="988">
          <cell r="A988">
            <v>73241</v>
          </cell>
          <cell r="B988">
            <v>0.97499999999999998</v>
          </cell>
          <cell r="C988">
            <v>0.1</v>
          </cell>
        </row>
        <row r="989">
          <cell r="A989">
            <v>73243</v>
          </cell>
          <cell r="B989">
            <v>0.89999999999999991</v>
          </cell>
          <cell r="C989">
            <v>0.1</v>
          </cell>
        </row>
        <row r="990">
          <cell r="A990">
            <v>73245</v>
          </cell>
          <cell r="B990">
            <v>0.85</v>
          </cell>
          <cell r="C990">
            <v>0.05</v>
          </cell>
        </row>
        <row r="991">
          <cell r="A991">
            <v>73246</v>
          </cell>
          <cell r="B991">
            <v>0.9</v>
          </cell>
          <cell r="C991">
            <v>0.1</v>
          </cell>
        </row>
        <row r="992">
          <cell r="A992">
            <v>73251</v>
          </cell>
          <cell r="B992">
            <v>0.85</v>
          </cell>
          <cell r="C992">
            <v>0.05</v>
          </cell>
        </row>
        <row r="993">
          <cell r="A993">
            <v>73252</v>
          </cell>
          <cell r="B993">
            <v>0.9</v>
          </cell>
          <cell r="C993">
            <v>0.1</v>
          </cell>
        </row>
        <row r="994">
          <cell r="A994">
            <v>73260</v>
          </cell>
          <cell r="B994">
            <v>0.91500000000000004</v>
          </cell>
          <cell r="C994">
            <v>0.1</v>
          </cell>
        </row>
        <row r="995">
          <cell r="A995">
            <v>73263</v>
          </cell>
          <cell r="B995">
            <v>1</v>
          </cell>
          <cell r="C995">
            <v>0.1</v>
          </cell>
        </row>
        <row r="996">
          <cell r="A996">
            <v>73265</v>
          </cell>
          <cell r="B996">
            <v>0.5</v>
          </cell>
          <cell r="C996">
            <v>0</v>
          </cell>
        </row>
        <row r="997">
          <cell r="A997">
            <v>73266</v>
          </cell>
          <cell r="B997">
            <v>0.92500000000000004</v>
          </cell>
          <cell r="C997">
            <v>0.1</v>
          </cell>
        </row>
        <row r="998">
          <cell r="A998">
            <v>73270</v>
          </cell>
          <cell r="B998">
            <v>1</v>
          </cell>
          <cell r="C998">
            <v>0.1</v>
          </cell>
        </row>
        <row r="999">
          <cell r="A999">
            <v>73271</v>
          </cell>
          <cell r="B999">
            <v>0.95</v>
          </cell>
          <cell r="C999">
            <v>0.1</v>
          </cell>
        </row>
        <row r="1000">
          <cell r="A1000">
            <v>73273</v>
          </cell>
          <cell r="B1000">
            <v>0.91999999999999993</v>
          </cell>
          <cell r="C1000">
            <v>0.1</v>
          </cell>
        </row>
        <row r="1001">
          <cell r="A1001">
            <v>73274</v>
          </cell>
          <cell r="B1001">
            <v>0.77</v>
          </cell>
          <cell r="C1001">
            <v>0</v>
          </cell>
        </row>
        <row r="1002">
          <cell r="A1002">
            <v>73275</v>
          </cell>
          <cell r="B1002">
            <v>0.9</v>
          </cell>
          <cell r="C1002">
            <v>0.1</v>
          </cell>
        </row>
        <row r="1003">
          <cell r="A1003">
            <v>73278</v>
          </cell>
          <cell r="B1003">
            <v>0.98</v>
          </cell>
          <cell r="C1003">
            <v>0.1</v>
          </cell>
        </row>
        <row r="1004">
          <cell r="A1004">
            <v>73279</v>
          </cell>
          <cell r="B1004">
            <v>0.97499999999999998</v>
          </cell>
          <cell r="C1004">
            <v>0.1</v>
          </cell>
        </row>
        <row r="1005">
          <cell r="A1005">
            <v>73280</v>
          </cell>
          <cell r="B1005">
            <v>0.83499999999999996</v>
          </cell>
          <cell r="C1005">
            <v>0.05</v>
          </cell>
        </row>
        <row r="1006">
          <cell r="A1006">
            <v>73283</v>
          </cell>
          <cell r="B1006">
            <v>0.72499999999999998</v>
          </cell>
          <cell r="C1006">
            <v>0</v>
          </cell>
        </row>
        <row r="1007">
          <cell r="A1007">
            <v>73285</v>
          </cell>
          <cell r="B1007">
            <v>0.875</v>
          </cell>
          <cell r="C1007">
            <v>0.05</v>
          </cell>
        </row>
        <row r="1008">
          <cell r="A1008">
            <v>73286</v>
          </cell>
          <cell r="B1008">
            <v>0.92500000000000004</v>
          </cell>
          <cell r="C1008">
            <v>0.1</v>
          </cell>
        </row>
        <row r="1009">
          <cell r="A1009">
            <v>73287</v>
          </cell>
          <cell r="B1009">
            <v>0.875</v>
          </cell>
          <cell r="C1009">
            <v>0.05</v>
          </cell>
        </row>
        <row r="1010">
          <cell r="A1010">
            <v>73288</v>
          </cell>
          <cell r="B1010">
            <v>0.5</v>
          </cell>
          <cell r="C1010">
            <v>0</v>
          </cell>
        </row>
        <row r="1011">
          <cell r="A1011">
            <v>73289</v>
          </cell>
          <cell r="B1011">
            <v>0.95</v>
          </cell>
          <cell r="C1011">
            <v>0.1</v>
          </cell>
        </row>
        <row r="1012">
          <cell r="A1012">
            <v>73290</v>
          </cell>
          <cell r="B1012">
            <v>0.96666666666666667</v>
          </cell>
          <cell r="C1012">
            <v>0.1</v>
          </cell>
        </row>
        <row r="1013">
          <cell r="A1013">
            <v>73296</v>
          </cell>
          <cell r="B1013">
            <v>0.99</v>
          </cell>
          <cell r="C1013">
            <v>0.1</v>
          </cell>
        </row>
        <row r="1014">
          <cell r="A1014">
            <v>73297</v>
          </cell>
          <cell r="B1014">
            <v>1</v>
          </cell>
          <cell r="C1014">
            <v>0.1</v>
          </cell>
        </row>
        <row r="1015">
          <cell r="A1015">
            <v>73298</v>
          </cell>
          <cell r="B1015">
            <v>0</v>
          </cell>
          <cell r="C1015">
            <v>0</v>
          </cell>
        </row>
        <row r="1016">
          <cell r="A1016">
            <v>73300</v>
          </cell>
          <cell r="B1016">
            <v>0.90999999999999992</v>
          </cell>
          <cell r="C1016">
            <v>0.1</v>
          </cell>
        </row>
        <row r="1017">
          <cell r="A1017">
            <v>73303</v>
          </cell>
          <cell r="B1017">
            <v>0.92500000000000004</v>
          </cell>
          <cell r="C1017">
            <v>0.1</v>
          </cell>
        </row>
        <row r="1018">
          <cell r="A1018">
            <v>73305</v>
          </cell>
          <cell r="B1018">
            <v>0.92999999999999994</v>
          </cell>
          <cell r="C1018">
            <v>0.1</v>
          </cell>
        </row>
        <row r="1019">
          <cell r="A1019">
            <v>73306</v>
          </cell>
          <cell r="B1019">
            <v>0.98499999999999999</v>
          </cell>
          <cell r="C1019">
            <v>0.1</v>
          </cell>
        </row>
        <row r="1020">
          <cell r="A1020">
            <v>73309</v>
          </cell>
          <cell r="B1020">
            <v>0.97499999999999998</v>
          </cell>
          <cell r="C1020">
            <v>0.1</v>
          </cell>
        </row>
        <row r="1021">
          <cell r="A1021">
            <v>73311</v>
          </cell>
          <cell r="B1021">
            <v>0.97499999999999998</v>
          </cell>
          <cell r="C1021">
            <v>0.1</v>
          </cell>
        </row>
        <row r="1022">
          <cell r="A1022">
            <v>73312</v>
          </cell>
          <cell r="B1022">
            <v>0.89999999999999991</v>
          </cell>
          <cell r="C1022">
            <v>0.1</v>
          </cell>
        </row>
        <row r="1023">
          <cell r="A1023">
            <v>73314</v>
          </cell>
          <cell r="B1023">
            <v>0.96</v>
          </cell>
          <cell r="C1023">
            <v>0.1</v>
          </cell>
        </row>
        <row r="1024">
          <cell r="A1024">
            <v>73315</v>
          </cell>
          <cell r="B1024">
            <v>0.79</v>
          </cell>
          <cell r="C1024">
            <v>0</v>
          </cell>
        </row>
        <row r="1025">
          <cell r="A1025">
            <v>73316</v>
          </cell>
          <cell r="B1025">
            <v>0.82499999999999996</v>
          </cell>
          <cell r="C1025">
            <v>0.05</v>
          </cell>
        </row>
        <row r="1026">
          <cell r="A1026">
            <v>73317</v>
          </cell>
          <cell r="B1026">
            <v>0.92500000000000004</v>
          </cell>
          <cell r="C1026">
            <v>0.1</v>
          </cell>
        </row>
        <row r="1027">
          <cell r="A1027">
            <v>73321</v>
          </cell>
          <cell r="B1027">
            <v>1</v>
          </cell>
          <cell r="C1027">
            <v>0.1</v>
          </cell>
        </row>
        <row r="1028">
          <cell r="A1028">
            <v>73324</v>
          </cell>
          <cell r="B1028">
            <v>0.89999999999999991</v>
          </cell>
          <cell r="C1028">
            <v>0.1</v>
          </cell>
        </row>
        <row r="1029">
          <cell r="A1029">
            <v>73326</v>
          </cell>
          <cell r="B1029">
            <v>0.87</v>
          </cell>
          <cell r="C1029">
            <v>0.05</v>
          </cell>
        </row>
        <row r="1030">
          <cell r="A1030">
            <v>73327</v>
          </cell>
          <cell r="B1030">
            <v>0.82499999999999996</v>
          </cell>
          <cell r="C1030">
            <v>0.05</v>
          </cell>
        </row>
        <row r="1031">
          <cell r="A1031">
            <v>73329</v>
          </cell>
          <cell r="B1031">
            <v>1</v>
          </cell>
          <cell r="C1031">
            <v>0.1</v>
          </cell>
        </row>
        <row r="1032">
          <cell r="A1032">
            <v>73331</v>
          </cell>
          <cell r="B1032">
            <v>0.98</v>
          </cell>
          <cell r="C1032">
            <v>0.1</v>
          </cell>
        </row>
        <row r="1033">
          <cell r="A1033">
            <v>73332</v>
          </cell>
          <cell r="B1033">
            <v>0.91999999999999993</v>
          </cell>
          <cell r="C1033">
            <v>0.1</v>
          </cell>
        </row>
        <row r="1034">
          <cell r="A1034">
            <v>73336</v>
          </cell>
          <cell r="B1034">
            <v>0.91</v>
          </cell>
          <cell r="C1034">
            <v>0.1</v>
          </cell>
        </row>
        <row r="1035">
          <cell r="A1035">
            <v>73338</v>
          </cell>
          <cell r="B1035">
            <v>0.875</v>
          </cell>
          <cell r="C1035">
            <v>0.05</v>
          </cell>
        </row>
        <row r="1036">
          <cell r="A1036">
            <v>73339</v>
          </cell>
          <cell r="B1036">
            <v>0.95</v>
          </cell>
          <cell r="C1036">
            <v>0.1</v>
          </cell>
        </row>
        <row r="1037">
          <cell r="A1037">
            <v>73341</v>
          </cell>
          <cell r="B1037">
            <v>1</v>
          </cell>
          <cell r="C1037">
            <v>0.1</v>
          </cell>
        </row>
        <row r="1038">
          <cell r="A1038">
            <v>73342</v>
          </cell>
          <cell r="B1038">
            <v>1</v>
          </cell>
          <cell r="C1038">
            <v>0.1</v>
          </cell>
        </row>
        <row r="1039">
          <cell r="A1039">
            <v>73343</v>
          </cell>
          <cell r="B1039">
            <v>0.91666666666666663</v>
          </cell>
          <cell r="C1039">
            <v>0.1</v>
          </cell>
        </row>
        <row r="1040">
          <cell r="A1040">
            <v>73344</v>
          </cell>
          <cell r="B1040">
            <v>1</v>
          </cell>
          <cell r="C1040">
            <v>0.1</v>
          </cell>
        </row>
        <row r="1041">
          <cell r="A1041">
            <v>73345</v>
          </cell>
          <cell r="B1041">
            <v>0.875</v>
          </cell>
          <cell r="C1041">
            <v>0.05</v>
          </cell>
        </row>
        <row r="1042">
          <cell r="A1042">
            <v>73346</v>
          </cell>
          <cell r="B1042">
            <v>0.33333333333333331</v>
          </cell>
          <cell r="C1042">
            <v>0</v>
          </cell>
        </row>
        <row r="1043">
          <cell r="A1043">
            <v>73347</v>
          </cell>
          <cell r="B1043">
            <v>1</v>
          </cell>
          <cell r="C1043">
            <v>0.1</v>
          </cell>
        </row>
        <row r="1044">
          <cell r="A1044">
            <v>73348</v>
          </cell>
          <cell r="B1044">
            <v>0.92500000000000004</v>
          </cell>
          <cell r="C1044">
            <v>0.1</v>
          </cell>
        </row>
        <row r="1045">
          <cell r="A1045">
            <v>73351</v>
          </cell>
          <cell r="B1045">
            <v>0.8</v>
          </cell>
          <cell r="C1045">
            <v>0.05</v>
          </cell>
        </row>
        <row r="1046">
          <cell r="A1046">
            <v>73352</v>
          </cell>
          <cell r="B1046">
            <v>0.38500000000000001</v>
          </cell>
          <cell r="C1046">
            <v>0</v>
          </cell>
        </row>
        <row r="1047">
          <cell r="A1047">
            <v>73353</v>
          </cell>
          <cell r="B1047">
            <v>0.86499999999999999</v>
          </cell>
          <cell r="C1047">
            <v>0.05</v>
          </cell>
        </row>
        <row r="1048">
          <cell r="A1048">
            <v>73357</v>
          </cell>
          <cell r="B1048">
            <v>0.875</v>
          </cell>
          <cell r="C1048">
            <v>0.05</v>
          </cell>
        </row>
        <row r="1049">
          <cell r="A1049">
            <v>73358</v>
          </cell>
          <cell r="B1049">
            <v>0.8</v>
          </cell>
          <cell r="C1049">
            <v>0.05</v>
          </cell>
        </row>
        <row r="1050">
          <cell r="A1050">
            <v>73363</v>
          </cell>
          <cell r="B1050">
            <v>0.92500000000000004</v>
          </cell>
          <cell r="C1050">
            <v>0.1</v>
          </cell>
        </row>
        <row r="1051">
          <cell r="A1051">
            <v>73365</v>
          </cell>
          <cell r="B1051">
            <v>0.5</v>
          </cell>
          <cell r="C1051">
            <v>0</v>
          </cell>
        </row>
        <row r="1052">
          <cell r="A1052">
            <v>73366</v>
          </cell>
          <cell r="B1052">
            <v>0.5</v>
          </cell>
          <cell r="C1052">
            <v>0</v>
          </cell>
        </row>
        <row r="1053">
          <cell r="A1053">
            <v>73369</v>
          </cell>
          <cell r="B1053">
            <v>0.875</v>
          </cell>
          <cell r="C1053">
            <v>0.05</v>
          </cell>
        </row>
        <row r="1054">
          <cell r="A1054">
            <v>73370</v>
          </cell>
          <cell r="B1054">
            <v>1</v>
          </cell>
          <cell r="C1054">
            <v>0.1</v>
          </cell>
        </row>
        <row r="1055">
          <cell r="A1055">
            <v>73371</v>
          </cell>
          <cell r="B1055">
            <v>0.95</v>
          </cell>
          <cell r="C1055">
            <v>0.1</v>
          </cell>
        </row>
        <row r="1056">
          <cell r="A1056">
            <v>73373</v>
          </cell>
          <cell r="B1056">
            <v>0.88</v>
          </cell>
          <cell r="C1056">
            <v>0.05</v>
          </cell>
        </row>
        <row r="1057">
          <cell r="A1057">
            <v>73374</v>
          </cell>
          <cell r="B1057">
            <v>0.66666666666666663</v>
          </cell>
          <cell r="C1057">
            <v>0</v>
          </cell>
        </row>
        <row r="1058">
          <cell r="A1058">
            <v>73379</v>
          </cell>
          <cell r="B1058">
            <v>0.9</v>
          </cell>
          <cell r="C1058">
            <v>0.1</v>
          </cell>
        </row>
        <row r="1059">
          <cell r="A1059">
            <v>73383</v>
          </cell>
          <cell r="B1059">
            <v>0.42499999999999999</v>
          </cell>
          <cell r="C1059">
            <v>0</v>
          </cell>
        </row>
        <row r="1060">
          <cell r="A1060">
            <v>73386</v>
          </cell>
          <cell r="B1060">
            <v>1</v>
          </cell>
          <cell r="C1060">
            <v>0.1</v>
          </cell>
        </row>
        <row r="1061">
          <cell r="A1061">
            <v>73387</v>
          </cell>
          <cell r="B1061">
            <v>0.875</v>
          </cell>
          <cell r="C1061">
            <v>0.05</v>
          </cell>
        </row>
        <row r="1062">
          <cell r="A1062">
            <v>73388</v>
          </cell>
          <cell r="B1062">
            <v>0.88333333333333341</v>
          </cell>
          <cell r="C1062">
            <v>0.05</v>
          </cell>
        </row>
        <row r="1063">
          <cell r="A1063">
            <v>73389</v>
          </cell>
          <cell r="B1063">
            <v>1</v>
          </cell>
          <cell r="C1063">
            <v>0.1</v>
          </cell>
        </row>
        <row r="1064">
          <cell r="A1064">
            <v>73390</v>
          </cell>
          <cell r="B1064">
            <v>1</v>
          </cell>
          <cell r="C1064">
            <v>0.1</v>
          </cell>
        </row>
        <row r="1065">
          <cell r="A1065">
            <v>73393</v>
          </cell>
          <cell r="B1065">
            <v>0.9</v>
          </cell>
          <cell r="C1065">
            <v>0.1</v>
          </cell>
        </row>
        <row r="1066">
          <cell r="A1066">
            <v>73396</v>
          </cell>
          <cell r="B1066">
            <v>0.97499999999999998</v>
          </cell>
          <cell r="C1066">
            <v>0.1</v>
          </cell>
        </row>
        <row r="1067">
          <cell r="A1067">
            <v>73398</v>
          </cell>
          <cell r="B1067">
            <v>0.92500000000000004</v>
          </cell>
          <cell r="C1067">
            <v>0.1</v>
          </cell>
        </row>
        <row r="1068">
          <cell r="A1068">
            <v>73399</v>
          </cell>
          <cell r="B1068">
            <v>1</v>
          </cell>
          <cell r="C1068">
            <v>0.1</v>
          </cell>
        </row>
        <row r="1069">
          <cell r="A1069">
            <v>73400</v>
          </cell>
          <cell r="B1069">
            <v>0.9</v>
          </cell>
          <cell r="C1069">
            <v>0.1</v>
          </cell>
        </row>
        <row r="1070">
          <cell r="A1070">
            <v>73403</v>
          </cell>
          <cell r="B1070">
            <v>0.9</v>
          </cell>
          <cell r="C1070">
            <v>0.1</v>
          </cell>
        </row>
        <row r="1071">
          <cell r="A1071">
            <v>73404</v>
          </cell>
          <cell r="B1071">
            <v>1</v>
          </cell>
          <cell r="C1071">
            <v>0.1</v>
          </cell>
        </row>
        <row r="1072">
          <cell r="A1072">
            <v>73406</v>
          </cell>
          <cell r="B1072">
            <v>0.3</v>
          </cell>
          <cell r="C1072">
            <v>0</v>
          </cell>
        </row>
        <row r="1073">
          <cell r="A1073">
            <v>73407</v>
          </cell>
          <cell r="B1073">
            <v>0.40500000000000003</v>
          </cell>
          <cell r="C1073">
            <v>0</v>
          </cell>
        </row>
        <row r="1074">
          <cell r="A1074">
            <v>73409</v>
          </cell>
          <cell r="B1074">
            <v>0.45</v>
          </cell>
          <cell r="C1074">
            <v>0</v>
          </cell>
        </row>
        <row r="1075">
          <cell r="A1075">
            <v>73411</v>
          </cell>
          <cell r="B1075">
            <v>0.95</v>
          </cell>
          <cell r="C1075">
            <v>0.1</v>
          </cell>
        </row>
        <row r="1076">
          <cell r="A1076">
            <v>73412</v>
          </cell>
          <cell r="B1076">
            <v>0.9</v>
          </cell>
          <cell r="C1076">
            <v>0.1</v>
          </cell>
        </row>
        <row r="1077">
          <cell r="A1077">
            <v>73414</v>
          </cell>
          <cell r="B1077">
            <v>0.78</v>
          </cell>
          <cell r="C1077">
            <v>0</v>
          </cell>
        </row>
        <row r="1078">
          <cell r="A1078">
            <v>73415</v>
          </cell>
          <cell r="B1078">
            <v>0.95</v>
          </cell>
          <cell r="C1078">
            <v>0.1</v>
          </cell>
        </row>
        <row r="1079">
          <cell r="A1079">
            <v>73417</v>
          </cell>
          <cell r="B1079">
            <v>1</v>
          </cell>
          <cell r="C1079">
            <v>0.1</v>
          </cell>
        </row>
        <row r="1080">
          <cell r="A1080">
            <v>73418</v>
          </cell>
          <cell r="B1080">
            <v>0.85</v>
          </cell>
          <cell r="C1080">
            <v>0.05</v>
          </cell>
        </row>
        <row r="1081">
          <cell r="A1081">
            <v>73420</v>
          </cell>
          <cell r="B1081">
            <v>0</v>
          </cell>
          <cell r="C1081">
            <v>0</v>
          </cell>
        </row>
        <row r="1082">
          <cell r="A1082">
            <v>73421</v>
          </cell>
          <cell r="B1082">
            <v>0.9</v>
          </cell>
          <cell r="C1082">
            <v>0.1</v>
          </cell>
        </row>
        <row r="1083">
          <cell r="A1083">
            <v>73422</v>
          </cell>
          <cell r="B1083">
            <v>0.99</v>
          </cell>
          <cell r="C1083">
            <v>0.1</v>
          </cell>
        </row>
        <row r="1084">
          <cell r="A1084">
            <v>73423</v>
          </cell>
          <cell r="B1084">
            <v>0.85</v>
          </cell>
          <cell r="C1084">
            <v>0.05</v>
          </cell>
        </row>
        <row r="1085">
          <cell r="A1085">
            <v>73425</v>
          </cell>
          <cell r="B1085">
            <v>0.82499999999999996</v>
          </cell>
          <cell r="C1085">
            <v>0.05</v>
          </cell>
        </row>
        <row r="1086">
          <cell r="A1086">
            <v>73427</v>
          </cell>
          <cell r="B1086">
            <v>0.93333333333333324</v>
          </cell>
          <cell r="C1086">
            <v>0.1</v>
          </cell>
        </row>
        <row r="1087">
          <cell r="A1087">
            <v>73429</v>
          </cell>
          <cell r="B1087">
            <v>0.98</v>
          </cell>
          <cell r="C1087">
            <v>0.1</v>
          </cell>
        </row>
        <row r="1088">
          <cell r="A1088">
            <v>73430</v>
          </cell>
          <cell r="B1088">
            <v>0.91500000000000004</v>
          </cell>
          <cell r="C1088">
            <v>0.1</v>
          </cell>
        </row>
        <row r="1089">
          <cell r="A1089">
            <v>73431</v>
          </cell>
          <cell r="B1089">
            <v>0.9</v>
          </cell>
          <cell r="C1089">
            <v>0.1</v>
          </cell>
        </row>
        <row r="1090">
          <cell r="A1090">
            <v>73436</v>
          </cell>
          <cell r="B1090">
            <v>0.8</v>
          </cell>
          <cell r="C1090">
            <v>0.05</v>
          </cell>
        </row>
        <row r="1091">
          <cell r="A1091">
            <v>73439</v>
          </cell>
          <cell r="B1091">
            <v>0.92500000000000004</v>
          </cell>
          <cell r="C1091">
            <v>0.1</v>
          </cell>
        </row>
        <row r="1092">
          <cell r="A1092">
            <v>73447</v>
          </cell>
          <cell r="B1092">
            <v>0.93333333333333324</v>
          </cell>
          <cell r="C1092">
            <v>0.1</v>
          </cell>
        </row>
        <row r="1093">
          <cell r="A1093">
            <v>73448</v>
          </cell>
          <cell r="B1093">
            <v>0.85</v>
          </cell>
          <cell r="C1093">
            <v>0.05</v>
          </cell>
        </row>
        <row r="1094">
          <cell r="A1094">
            <v>73452</v>
          </cell>
          <cell r="B1094">
            <v>0.92500000000000004</v>
          </cell>
          <cell r="C1094">
            <v>0.1</v>
          </cell>
        </row>
        <row r="1095">
          <cell r="A1095">
            <v>73453</v>
          </cell>
          <cell r="B1095">
            <v>1</v>
          </cell>
          <cell r="C1095">
            <v>0.1</v>
          </cell>
        </row>
        <row r="1096">
          <cell r="A1096">
            <v>73454</v>
          </cell>
          <cell r="B1096">
            <v>1</v>
          </cell>
          <cell r="C1096">
            <v>0.1</v>
          </cell>
        </row>
        <row r="1097">
          <cell r="A1097">
            <v>73457</v>
          </cell>
          <cell r="B1097">
            <v>0.45</v>
          </cell>
          <cell r="C1097">
            <v>0</v>
          </cell>
        </row>
        <row r="1098">
          <cell r="A1098">
            <v>73458</v>
          </cell>
          <cell r="B1098">
            <v>1</v>
          </cell>
          <cell r="C1098">
            <v>0.1</v>
          </cell>
        </row>
        <row r="1099">
          <cell r="A1099">
            <v>73459</v>
          </cell>
          <cell r="B1099">
            <v>0.875</v>
          </cell>
          <cell r="C1099">
            <v>0.05</v>
          </cell>
        </row>
        <row r="1100">
          <cell r="A1100">
            <v>73462</v>
          </cell>
          <cell r="B1100">
            <v>0.875</v>
          </cell>
          <cell r="C1100">
            <v>0.05</v>
          </cell>
        </row>
        <row r="1101">
          <cell r="A1101">
            <v>73466</v>
          </cell>
          <cell r="B1101">
            <v>0.97499999999999998</v>
          </cell>
          <cell r="C1101">
            <v>0.1</v>
          </cell>
        </row>
        <row r="1102">
          <cell r="A1102">
            <v>73467</v>
          </cell>
          <cell r="B1102">
            <v>1</v>
          </cell>
          <cell r="C1102">
            <v>0.1</v>
          </cell>
        </row>
        <row r="1103">
          <cell r="A1103">
            <v>73470</v>
          </cell>
          <cell r="B1103">
            <v>0.47499999999999998</v>
          </cell>
          <cell r="C1103">
            <v>0</v>
          </cell>
        </row>
        <row r="1104">
          <cell r="A1104">
            <v>73471</v>
          </cell>
          <cell r="B1104">
            <v>0.83499999999999996</v>
          </cell>
          <cell r="C1104">
            <v>0.05</v>
          </cell>
        </row>
        <row r="1105">
          <cell r="A1105">
            <v>73472</v>
          </cell>
          <cell r="B1105">
            <v>0.99</v>
          </cell>
          <cell r="C1105">
            <v>0.1</v>
          </cell>
        </row>
        <row r="1106">
          <cell r="A1106">
            <v>73473</v>
          </cell>
          <cell r="B1106">
            <v>1</v>
          </cell>
          <cell r="C1106">
            <v>0.1</v>
          </cell>
        </row>
        <row r="1107">
          <cell r="A1107">
            <v>73475</v>
          </cell>
          <cell r="B1107">
            <v>0.875</v>
          </cell>
          <cell r="C1107">
            <v>0.05</v>
          </cell>
        </row>
        <row r="1108">
          <cell r="A1108">
            <v>73476</v>
          </cell>
          <cell r="B1108">
            <v>1</v>
          </cell>
          <cell r="C1108">
            <v>0.1</v>
          </cell>
        </row>
        <row r="1109">
          <cell r="A1109">
            <v>73477</v>
          </cell>
          <cell r="B1109">
            <v>0.97499999999999998</v>
          </cell>
          <cell r="C1109">
            <v>0.1</v>
          </cell>
        </row>
        <row r="1110">
          <cell r="A1110">
            <v>73478</v>
          </cell>
          <cell r="B1110">
            <v>1</v>
          </cell>
          <cell r="C1110">
            <v>0.1</v>
          </cell>
        </row>
        <row r="1111">
          <cell r="A1111">
            <v>73480</v>
          </cell>
          <cell r="B1111">
            <v>1</v>
          </cell>
          <cell r="C1111">
            <v>0.1</v>
          </cell>
        </row>
        <row r="1112">
          <cell r="A1112">
            <v>73481</v>
          </cell>
          <cell r="B1112">
            <v>0</v>
          </cell>
          <cell r="C1112">
            <v>0</v>
          </cell>
        </row>
        <row r="1113">
          <cell r="A1113">
            <v>73484</v>
          </cell>
          <cell r="B1113">
            <v>0.77500000000000002</v>
          </cell>
          <cell r="C1113">
            <v>0</v>
          </cell>
        </row>
        <row r="1114">
          <cell r="A1114">
            <v>73488</v>
          </cell>
          <cell r="B1114">
            <v>0.92500000000000004</v>
          </cell>
          <cell r="C1114">
            <v>0.1</v>
          </cell>
        </row>
        <row r="1115">
          <cell r="A1115">
            <v>73489</v>
          </cell>
          <cell r="B1115">
            <v>0.5</v>
          </cell>
          <cell r="C1115">
            <v>0</v>
          </cell>
        </row>
        <row r="1116">
          <cell r="A1116">
            <v>73490</v>
          </cell>
          <cell r="B1116">
            <v>0.92666666666666675</v>
          </cell>
          <cell r="C1116">
            <v>0.1</v>
          </cell>
        </row>
        <row r="1117">
          <cell r="A1117">
            <v>73491</v>
          </cell>
          <cell r="B1117">
            <v>0.95500000000000007</v>
          </cell>
          <cell r="C1117">
            <v>0.1</v>
          </cell>
        </row>
        <row r="1118">
          <cell r="A1118">
            <v>73492</v>
          </cell>
          <cell r="B1118">
            <v>0.8</v>
          </cell>
          <cell r="C1118">
            <v>0.05</v>
          </cell>
        </row>
        <row r="1119">
          <cell r="A1119">
            <v>73493</v>
          </cell>
          <cell r="B1119">
            <v>0.98</v>
          </cell>
          <cell r="C1119">
            <v>0.1</v>
          </cell>
        </row>
        <row r="1120">
          <cell r="A1120">
            <v>73494</v>
          </cell>
          <cell r="B1120">
            <v>0.92500000000000004</v>
          </cell>
          <cell r="C1120">
            <v>0.1</v>
          </cell>
        </row>
        <row r="1121">
          <cell r="A1121">
            <v>73495</v>
          </cell>
          <cell r="B1121">
            <v>0.75</v>
          </cell>
          <cell r="C1121">
            <v>0</v>
          </cell>
        </row>
        <row r="1122">
          <cell r="A1122">
            <v>73498</v>
          </cell>
          <cell r="B1122">
            <v>0.89999999999999991</v>
          </cell>
          <cell r="C1122">
            <v>0.1</v>
          </cell>
        </row>
        <row r="1123">
          <cell r="A1123">
            <v>73500</v>
          </cell>
          <cell r="B1123">
            <v>0.42499999999999999</v>
          </cell>
          <cell r="C1123">
            <v>0</v>
          </cell>
        </row>
        <row r="1124">
          <cell r="A1124">
            <v>73501</v>
          </cell>
          <cell r="B1124">
            <v>1</v>
          </cell>
          <cell r="C1124">
            <v>0.1</v>
          </cell>
        </row>
        <row r="1125">
          <cell r="A1125">
            <v>73503</v>
          </cell>
          <cell r="B1125">
            <v>0.93333333333333324</v>
          </cell>
          <cell r="C1125">
            <v>0.1</v>
          </cell>
        </row>
        <row r="1126">
          <cell r="A1126">
            <v>73505</v>
          </cell>
          <cell r="B1126">
            <v>0.92500000000000004</v>
          </cell>
          <cell r="C1126">
            <v>0.1</v>
          </cell>
        </row>
        <row r="1127">
          <cell r="A1127">
            <v>73507</v>
          </cell>
          <cell r="B1127">
            <v>0.97499999999999998</v>
          </cell>
          <cell r="C1127">
            <v>0.1</v>
          </cell>
        </row>
        <row r="1128">
          <cell r="A1128">
            <v>73508</v>
          </cell>
          <cell r="B1128">
            <v>0.55666666666666664</v>
          </cell>
          <cell r="C1128">
            <v>0</v>
          </cell>
        </row>
        <row r="1129">
          <cell r="A1129">
            <v>73510</v>
          </cell>
          <cell r="B1129">
            <v>0.85</v>
          </cell>
          <cell r="C1129">
            <v>0.05</v>
          </cell>
        </row>
        <row r="1130">
          <cell r="A1130">
            <v>73511</v>
          </cell>
          <cell r="B1130">
            <v>0.98499999999999999</v>
          </cell>
          <cell r="C1130">
            <v>0.1</v>
          </cell>
        </row>
        <row r="1131">
          <cell r="A1131">
            <v>73512</v>
          </cell>
          <cell r="B1131">
            <v>0.75</v>
          </cell>
          <cell r="C1131">
            <v>0</v>
          </cell>
        </row>
        <row r="1132">
          <cell r="A1132">
            <v>73513</v>
          </cell>
          <cell r="B1132">
            <v>0.8</v>
          </cell>
          <cell r="C1132">
            <v>0.05</v>
          </cell>
        </row>
        <row r="1133">
          <cell r="A1133">
            <v>73514</v>
          </cell>
          <cell r="B1133">
            <v>1</v>
          </cell>
          <cell r="C1133">
            <v>0.1</v>
          </cell>
        </row>
        <row r="1134">
          <cell r="A1134">
            <v>73516</v>
          </cell>
          <cell r="B1134">
            <v>1</v>
          </cell>
          <cell r="C1134">
            <v>0.1</v>
          </cell>
        </row>
        <row r="1135">
          <cell r="A1135">
            <v>73517</v>
          </cell>
          <cell r="B1135">
            <v>0.92500000000000004</v>
          </cell>
          <cell r="C1135">
            <v>0.1</v>
          </cell>
        </row>
        <row r="1136">
          <cell r="A1136">
            <v>73520</v>
          </cell>
          <cell r="B1136">
            <v>0.97499999999999998</v>
          </cell>
          <cell r="C1136">
            <v>0.1</v>
          </cell>
        </row>
        <row r="1137">
          <cell r="A1137">
            <v>73521</v>
          </cell>
          <cell r="B1137">
            <v>0.95</v>
          </cell>
          <cell r="C1137">
            <v>0.1</v>
          </cell>
        </row>
        <row r="1138">
          <cell r="A1138">
            <v>73522</v>
          </cell>
          <cell r="B1138">
            <v>0.89</v>
          </cell>
          <cell r="C1138">
            <v>0.05</v>
          </cell>
        </row>
        <row r="1139">
          <cell r="A1139">
            <v>73523</v>
          </cell>
          <cell r="B1139">
            <v>0.89999999999999991</v>
          </cell>
          <cell r="C1139">
            <v>0.1</v>
          </cell>
        </row>
        <row r="1140">
          <cell r="A1140">
            <v>73524</v>
          </cell>
          <cell r="B1140">
            <v>0.83333333333333337</v>
          </cell>
          <cell r="C1140">
            <v>0.05</v>
          </cell>
        </row>
        <row r="1141">
          <cell r="A1141">
            <v>73527</v>
          </cell>
          <cell r="B1141">
            <v>0.97499999999999998</v>
          </cell>
          <cell r="C1141">
            <v>0.1</v>
          </cell>
        </row>
        <row r="1142">
          <cell r="A1142">
            <v>73528</v>
          </cell>
          <cell r="B1142">
            <v>1</v>
          </cell>
          <cell r="C1142">
            <v>0.1</v>
          </cell>
        </row>
        <row r="1143">
          <cell r="A1143">
            <v>73529</v>
          </cell>
          <cell r="B1143">
            <v>0.95</v>
          </cell>
          <cell r="C1143">
            <v>0.1</v>
          </cell>
        </row>
        <row r="1144">
          <cell r="A1144">
            <v>73530</v>
          </cell>
          <cell r="B1144">
            <v>0.92500000000000004</v>
          </cell>
          <cell r="C1144">
            <v>0.1</v>
          </cell>
        </row>
        <row r="1145">
          <cell r="A1145">
            <v>73531</v>
          </cell>
          <cell r="B1145">
            <v>0.97500000000000009</v>
          </cell>
          <cell r="C1145">
            <v>0.1</v>
          </cell>
        </row>
        <row r="1146">
          <cell r="A1146">
            <v>73533</v>
          </cell>
          <cell r="B1146">
            <v>0.97499999999999998</v>
          </cell>
          <cell r="C1146">
            <v>0.1</v>
          </cell>
        </row>
        <row r="1147">
          <cell r="A1147">
            <v>73534</v>
          </cell>
          <cell r="B1147">
            <v>1</v>
          </cell>
          <cell r="C1147">
            <v>0.1</v>
          </cell>
        </row>
        <row r="1148">
          <cell r="A1148">
            <v>73535</v>
          </cell>
          <cell r="B1148">
            <v>0.92500000000000004</v>
          </cell>
          <cell r="C1148">
            <v>0.1</v>
          </cell>
        </row>
        <row r="1149">
          <cell r="A1149">
            <v>73538</v>
          </cell>
          <cell r="B1149">
            <v>1</v>
          </cell>
          <cell r="C1149">
            <v>0.1</v>
          </cell>
        </row>
        <row r="1150">
          <cell r="A1150">
            <v>73542</v>
          </cell>
          <cell r="B1150">
            <v>0.78</v>
          </cell>
          <cell r="C1150">
            <v>0</v>
          </cell>
        </row>
        <row r="1151">
          <cell r="A1151">
            <v>73543</v>
          </cell>
          <cell r="B1151">
            <v>0.86</v>
          </cell>
          <cell r="C1151">
            <v>0.05</v>
          </cell>
        </row>
        <row r="1152">
          <cell r="A1152">
            <v>73546</v>
          </cell>
          <cell r="B1152">
            <v>0.92500000000000004</v>
          </cell>
          <cell r="C1152">
            <v>0.1</v>
          </cell>
        </row>
        <row r="1153">
          <cell r="A1153">
            <v>73547</v>
          </cell>
          <cell r="B1153">
            <v>1</v>
          </cell>
          <cell r="C1153">
            <v>0.1</v>
          </cell>
        </row>
        <row r="1154">
          <cell r="A1154">
            <v>73548</v>
          </cell>
          <cell r="B1154">
            <v>0.71</v>
          </cell>
          <cell r="C1154">
            <v>0</v>
          </cell>
        </row>
        <row r="1155">
          <cell r="A1155">
            <v>73551</v>
          </cell>
          <cell r="B1155">
            <v>0.42499999999999999</v>
          </cell>
          <cell r="C1155">
            <v>0</v>
          </cell>
        </row>
        <row r="1156">
          <cell r="A1156">
            <v>73553</v>
          </cell>
          <cell r="B1156">
            <v>0.91999999999999993</v>
          </cell>
          <cell r="C1156">
            <v>0.1</v>
          </cell>
        </row>
        <row r="1157">
          <cell r="A1157">
            <v>73554</v>
          </cell>
          <cell r="B1157">
            <v>0.375</v>
          </cell>
          <cell r="C1157">
            <v>0</v>
          </cell>
        </row>
        <row r="1158">
          <cell r="A1158">
            <v>73556</v>
          </cell>
          <cell r="B1158">
            <v>0.92500000000000004</v>
          </cell>
          <cell r="C1158">
            <v>0.1</v>
          </cell>
        </row>
        <row r="1159">
          <cell r="A1159">
            <v>73557</v>
          </cell>
          <cell r="B1159">
            <v>0.5</v>
          </cell>
          <cell r="C1159">
            <v>0</v>
          </cell>
        </row>
        <row r="1160">
          <cell r="A1160">
            <v>73558</v>
          </cell>
          <cell r="B1160">
            <v>0.42499999999999999</v>
          </cell>
          <cell r="C1160">
            <v>0</v>
          </cell>
        </row>
        <row r="1161">
          <cell r="A1161">
            <v>73561</v>
          </cell>
          <cell r="B1161">
            <v>0.83499999999999996</v>
          </cell>
          <cell r="C1161">
            <v>0.05</v>
          </cell>
        </row>
        <row r="1162">
          <cell r="A1162">
            <v>73562</v>
          </cell>
          <cell r="B1162">
            <v>0.5</v>
          </cell>
          <cell r="C1162">
            <v>0</v>
          </cell>
        </row>
        <row r="1163">
          <cell r="A1163">
            <v>73565</v>
          </cell>
          <cell r="B1163">
            <v>1</v>
          </cell>
          <cell r="C1163">
            <v>0.1</v>
          </cell>
        </row>
        <row r="1164">
          <cell r="A1164">
            <v>73566</v>
          </cell>
          <cell r="B1164">
            <v>0.92500000000000004</v>
          </cell>
          <cell r="C1164">
            <v>0.1</v>
          </cell>
        </row>
        <row r="1165">
          <cell r="A1165">
            <v>73567</v>
          </cell>
          <cell r="B1165">
            <v>0.88</v>
          </cell>
          <cell r="C1165">
            <v>0.05</v>
          </cell>
        </row>
        <row r="1166">
          <cell r="A1166">
            <v>73569</v>
          </cell>
          <cell r="B1166">
            <v>0.4</v>
          </cell>
          <cell r="C1166">
            <v>0</v>
          </cell>
        </row>
        <row r="1167">
          <cell r="A1167">
            <v>73572</v>
          </cell>
          <cell r="B1167">
            <v>0.97499999999999998</v>
          </cell>
          <cell r="C1167">
            <v>0.1</v>
          </cell>
        </row>
        <row r="1168">
          <cell r="A1168">
            <v>73575</v>
          </cell>
          <cell r="B1168">
            <v>0.35</v>
          </cell>
          <cell r="C1168">
            <v>0</v>
          </cell>
        </row>
        <row r="1169">
          <cell r="A1169">
            <v>73577</v>
          </cell>
          <cell r="B1169">
            <v>1</v>
          </cell>
          <cell r="C1169">
            <v>0.1</v>
          </cell>
        </row>
        <row r="1170">
          <cell r="A1170">
            <v>73578</v>
          </cell>
          <cell r="B1170">
            <v>0.82</v>
          </cell>
          <cell r="C1170">
            <v>0.05</v>
          </cell>
        </row>
        <row r="1171">
          <cell r="A1171">
            <v>73579</v>
          </cell>
          <cell r="B1171">
            <v>0.97499999999999998</v>
          </cell>
          <cell r="C1171">
            <v>0.1</v>
          </cell>
        </row>
        <row r="1172">
          <cell r="A1172">
            <v>73580</v>
          </cell>
          <cell r="B1172">
            <v>0.8833333333333333</v>
          </cell>
          <cell r="C1172">
            <v>0.05</v>
          </cell>
        </row>
        <row r="1173">
          <cell r="A1173">
            <v>73587</v>
          </cell>
          <cell r="B1173">
            <v>0.86499999999999999</v>
          </cell>
          <cell r="C1173">
            <v>0.05</v>
          </cell>
        </row>
        <row r="1174">
          <cell r="A1174">
            <v>73588</v>
          </cell>
          <cell r="B1174">
            <v>0.5</v>
          </cell>
          <cell r="C1174">
            <v>0</v>
          </cell>
        </row>
        <row r="1175">
          <cell r="A1175">
            <v>73594</v>
          </cell>
          <cell r="B1175">
            <v>0</v>
          </cell>
          <cell r="C1175">
            <v>0</v>
          </cell>
        </row>
        <row r="1176">
          <cell r="A1176">
            <v>73595</v>
          </cell>
          <cell r="B1176">
            <v>0.66666666666666663</v>
          </cell>
          <cell r="C1176">
            <v>0</v>
          </cell>
        </row>
        <row r="1177">
          <cell r="A1177">
            <v>73597</v>
          </cell>
          <cell r="B1177">
            <v>1</v>
          </cell>
          <cell r="C1177">
            <v>0.1</v>
          </cell>
        </row>
        <row r="1178">
          <cell r="A1178">
            <v>73599</v>
          </cell>
          <cell r="B1178">
            <v>0.95</v>
          </cell>
          <cell r="C1178">
            <v>0.1</v>
          </cell>
        </row>
        <row r="1179">
          <cell r="A1179">
            <v>73600</v>
          </cell>
          <cell r="B1179">
            <v>0.96</v>
          </cell>
          <cell r="C1179">
            <v>0.1</v>
          </cell>
        </row>
        <row r="1180">
          <cell r="A1180">
            <v>73601</v>
          </cell>
          <cell r="B1180">
            <v>0.96500000000000008</v>
          </cell>
          <cell r="C1180">
            <v>0.1</v>
          </cell>
        </row>
        <row r="1181">
          <cell r="A1181">
            <v>73602</v>
          </cell>
          <cell r="B1181">
            <v>0.92500000000000004</v>
          </cell>
          <cell r="C1181">
            <v>0.1</v>
          </cell>
        </row>
        <row r="1182">
          <cell r="A1182">
            <v>73604</v>
          </cell>
          <cell r="B1182">
            <v>1</v>
          </cell>
          <cell r="C1182">
            <v>0.1</v>
          </cell>
        </row>
        <row r="1183">
          <cell r="A1183">
            <v>73605</v>
          </cell>
          <cell r="B1183">
            <v>0.47499999999999998</v>
          </cell>
          <cell r="C1183">
            <v>0</v>
          </cell>
        </row>
        <row r="1184">
          <cell r="A1184">
            <v>73607</v>
          </cell>
          <cell r="B1184">
            <v>0.97</v>
          </cell>
          <cell r="C1184">
            <v>0.1</v>
          </cell>
        </row>
        <row r="1185">
          <cell r="A1185">
            <v>73609</v>
          </cell>
          <cell r="B1185">
            <v>1</v>
          </cell>
          <cell r="C1185">
            <v>0.1</v>
          </cell>
        </row>
        <row r="1186">
          <cell r="A1186">
            <v>73610</v>
          </cell>
          <cell r="B1186">
            <v>0.5</v>
          </cell>
          <cell r="C1186">
            <v>0</v>
          </cell>
        </row>
        <row r="1187">
          <cell r="A1187">
            <v>73611</v>
          </cell>
          <cell r="B1187">
            <v>1</v>
          </cell>
          <cell r="C1187">
            <v>0.1</v>
          </cell>
        </row>
        <row r="1188">
          <cell r="A1188">
            <v>73612</v>
          </cell>
          <cell r="B1188">
            <v>1</v>
          </cell>
          <cell r="C1188">
            <v>0.1</v>
          </cell>
        </row>
        <row r="1189">
          <cell r="A1189">
            <v>73613</v>
          </cell>
          <cell r="B1189">
            <v>0.89</v>
          </cell>
          <cell r="C1189">
            <v>0.05</v>
          </cell>
        </row>
        <row r="1190">
          <cell r="A1190">
            <v>73614</v>
          </cell>
          <cell r="B1190">
            <v>0.89999999999999991</v>
          </cell>
          <cell r="C1190">
            <v>0.1</v>
          </cell>
        </row>
        <row r="1191">
          <cell r="A1191">
            <v>73615</v>
          </cell>
          <cell r="B1191">
            <v>0.755</v>
          </cell>
          <cell r="C1191">
            <v>0</v>
          </cell>
        </row>
        <row r="1192">
          <cell r="A1192">
            <v>73616</v>
          </cell>
          <cell r="B1192">
            <v>1</v>
          </cell>
          <cell r="C1192">
            <v>0.1</v>
          </cell>
        </row>
        <row r="1193">
          <cell r="A1193">
            <v>73617</v>
          </cell>
          <cell r="B1193">
            <v>1</v>
          </cell>
          <cell r="C1193">
            <v>0.1</v>
          </cell>
        </row>
        <row r="1194">
          <cell r="A1194">
            <v>73620</v>
          </cell>
          <cell r="B1194">
            <v>0.98</v>
          </cell>
          <cell r="C1194">
            <v>0.1</v>
          </cell>
        </row>
        <row r="1195">
          <cell r="A1195">
            <v>73622</v>
          </cell>
          <cell r="B1195">
            <v>0.88</v>
          </cell>
          <cell r="C1195">
            <v>0.05</v>
          </cell>
        </row>
        <row r="1196">
          <cell r="A1196">
            <v>73623</v>
          </cell>
          <cell r="B1196">
            <v>1</v>
          </cell>
          <cell r="C1196">
            <v>0.1</v>
          </cell>
        </row>
        <row r="1197">
          <cell r="A1197">
            <v>73625</v>
          </cell>
          <cell r="B1197">
            <v>0.89500000000000002</v>
          </cell>
          <cell r="C1197">
            <v>0.05</v>
          </cell>
        </row>
        <row r="1198">
          <cell r="A1198">
            <v>73626</v>
          </cell>
          <cell r="B1198">
            <v>1</v>
          </cell>
          <cell r="C1198">
            <v>0.1</v>
          </cell>
        </row>
        <row r="1199">
          <cell r="A1199">
            <v>73627</v>
          </cell>
          <cell r="B1199">
            <v>0.89999999999999991</v>
          </cell>
          <cell r="C1199">
            <v>0.1</v>
          </cell>
        </row>
        <row r="1200">
          <cell r="A1200">
            <v>73628</v>
          </cell>
          <cell r="B1200">
            <v>1</v>
          </cell>
          <cell r="C1200">
            <v>0.1</v>
          </cell>
        </row>
        <row r="1201">
          <cell r="A1201">
            <v>73631</v>
          </cell>
          <cell r="B1201">
            <v>0.80499999999999994</v>
          </cell>
          <cell r="C1201">
            <v>0.05</v>
          </cell>
        </row>
        <row r="1202">
          <cell r="A1202">
            <v>73633</v>
          </cell>
          <cell r="B1202">
            <v>1</v>
          </cell>
          <cell r="C1202">
            <v>0.1</v>
          </cell>
        </row>
        <row r="1203">
          <cell r="A1203">
            <v>73636</v>
          </cell>
          <cell r="B1203">
            <v>0.97499999999999998</v>
          </cell>
          <cell r="C1203">
            <v>0.1</v>
          </cell>
        </row>
        <row r="1204">
          <cell r="A1204">
            <v>73638</v>
          </cell>
          <cell r="B1204">
            <v>0.77</v>
          </cell>
          <cell r="C1204">
            <v>0</v>
          </cell>
        </row>
        <row r="1205">
          <cell r="A1205">
            <v>73640</v>
          </cell>
          <cell r="B1205">
            <v>1</v>
          </cell>
          <cell r="C1205">
            <v>0.1</v>
          </cell>
        </row>
        <row r="1206">
          <cell r="A1206">
            <v>73641</v>
          </cell>
          <cell r="B1206">
            <v>1</v>
          </cell>
          <cell r="C1206">
            <v>0.1</v>
          </cell>
        </row>
        <row r="1207">
          <cell r="A1207">
            <v>73643</v>
          </cell>
          <cell r="B1207">
            <v>0.875</v>
          </cell>
          <cell r="C1207">
            <v>0.05</v>
          </cell>
        </row>
        <row r="1208">
          <cell r="A1208">
            <v>73644</v>
          </cell>
          <cell r="B1208">
            <v>0.8</v>
          </cell>
          <cell r="C1208">
            <v>0.05</v>
          </cell>
        </row>
        <row r="1209">
          <cell r="A1209">
            <v>73645</v>
          </cell>
          <cell r="B1209">
            <v>0.9</v>
          </cell>
          <cell r="C1209">
            <v>0.1</v>
          </cell>
        </row>
        <row r="1210">
          <cell r="A1210">
            <v>73646</v>
          </cell>
          <cell r="B1210">
            <v>0.85</v>
          </cell>
          <cell r="C1210">
            <v>0.05</v>
          </cell>
        </row>
        <row r="1211">
          <cell r="A1211">
            <v>73647</v>
          </cell>
          <cell r="B1211">
            <v>1</v>
          </cell>
          <cell r="C1211">
            <v>0.1</v>
          </cell>
        </row>
        <row r="1212">
          <cell r="A1212">
            <v>73648</v>
          </cell>
          <cell r="B1212">
            <v>0</v>
          </cell>
          <cell r="C1212">
            <v>0</v>
          </cell>
        </row>
        <row r="1213">
          <cell r="A1213">
            <v>73650</v>
          </cell>
          <cell r="B1213">
            <v>1</v>
          </cell>
          <cell r="C1213">
            <v>0.1</v>
          </cell>
        </row>
        <row r="1214">
          <cell r="A1214">
            <v>73651</v>
          </cell>
          <cell r="B1214">
            <v>0.97499999999999998</v>
          </cell>
          <cell r="C1214">
            <v>0.1</v>
          </cell>
        </row>
        <row r="1215">
          <cell r="A1215">
            <v>73652</v>
          </cell>
          <cell r="B1215">
            <v>1</v>
          </cell>
          <cell r="C1215">
            <v>0.1</v>
          </cell>
        </row>
        <row r="1216">
          <cell r="A1216">
            <v>73658</v>
          </cell>
          <cell r="B1216">
            <v>0.97499999999999998</v>
          </cell>
          <cell r="C1216">
            <v>0.1</v>
          </cell>
        </row>
        <row r="1217">
          <cell r="A1217">
            <v>73668</v>
          </cell>
          <cell r="B1217">
            <v>0.82499999999999996</v>
          </cell>
          <cell r="C1217">
            <v>0.05</v>
          </cell>
        </row>
        <row r="1218">
          <cell r="A1218">
            <v>73672</v>
          </cell>
          <cell r="B1218">
            <v>0.92500000000000004</v>
          </cell>
          <cell r="C1218">
            <v>0.1</v>
          </cell>
        </row>
        <row r="1219">
          <cell r="A1219">
            <v>73674</v>
          </cell>
          <cell r="B1219">
            <v>1</v>
          </cell>
          <cell r="C1219">
            <v>0.1</v>
          </cell>
        </row>
        <row r="1220">
          <cell r="A1220">
            <v>73675</v>
          </cell>
          <cell r="B1220">
            <v>0.83499999999999996</v>
          </cell>
          <cell r="C1220">
            <v>0.05</v>
          </cell>
        </row>
        <row r="1221">
          <cell r="A1221">
            <v>73676</v>
          </cell>
          <cell r="B1221">
            <v>0.78</v>
          </cell>
          <cell r="C1221">
            <v>0</v>
          </cell>
        </row>
        <row r="1222">
          <cell r="A1222">
            <v>73680</v>
          </cell>
          <cell r="B1222">
            <v>0.80499999999999994</v>
          </cell>
          <cell r="C1222">
            <v>0.05</v>
          </cell>
        </row>
        <row r="1223">
          <cell r="A1223">
            <v>73681</v>
          </cell>
          <cell r="B1223">
            <v>0.92500000000000004</v>
          </cell>
          <cell r="C1223">
            <v>0.1</v>
          </cell>
        </row>
        <row r="1224">
          <cell r="A1224">
            <v>73682</v>
          </cell>
          <cell r="B1224">
            <v>0.875</v>
          </cell>
          <cell r="C1224">
            <v>0.05</v>
          </cell>
        </row>
        <row r="1225">
          <cell r="A1225">
            <v>73683</v>
          </cell>
          <cell r="B1225">
            <v>0.88666666666666671</v>
          </cell>
          <cell r="C1225">
            <v>0.05</v>
          </cell>
        </row>
        <row r="1226">
          <cell r="A1226">
            <v>73684</v>
          </cell>
          <cell r="B1226">
            <v>0.89</v>
          </cell>
          <cell r="C1226">
            <v>0.05</v>
          </cell>
        </row>
        <row r="1227">
          <cell r="A1227">
            <v>73685</v>
          </cell>
          <cell r="B1227">
            <v>0.79</v>
          </cell>
          <cell r="C1227">
            <v>0</v>
          </cell>
        </row>
        <row r="1228">
          <cell r="A1228">
            <v>73686</v>
          </cell>
          <cell r="B1228">
            <v>0.92500000000000004</v>
          </cell>
          <cell r="C1228">
            <v>0.1</v>
          </cell>
        </row>
        <row r="1229">
          <cell r="A1229">
            <v>73687</v>
          </cell>
          <cell r="B1229">
            <v>1</v>
          </cell>
          <cell r="C1229">
            <v>0.1</v>
          </cell>
        </row>
        <row r="1230">
          <cell r="A1230">
            <v>73690</v>
          </cell>
          <cell r="B1230">
            <v>0.90999999999999992</v>
          </cell>
          <cell r="C1230">
            <v>0.1</v>
          </cell>
        </row>
        <row r="1231">
          <cell r="A1231">
            <v>73694</v>
          </cell>
          <cell r="B1231">
            <v>0.94500000000000006</v>
          </cell>
          <cell r="C1231">
            <v>0.1</v>
          </cell>
        </row>
        <row r="1232">
          <cell r="A1232">
            <v>73695</v>
          </cell>
          <cell r="B1232">
            <v>0.97499999999999998</v>
          </cell>
          <cell r="C1232">
            <v>0.1</v>
          </cell>
        </row>
        <row r="1233">
          <cell r="A1233">
            <v>73696</v>
          </cell>
          <cell r="B1233">
            <v>0.90999999999999992</v>
          </cell>
          <cell r="C1233">
            <v>0.1</v>
          </cell>
        </row>
        <row r="1234">
          <cell r="A1234">
            <v>73697</v>
          </cell>
          <cell r="B1234">
            <v>0.81</v>
          </cell>
          <cell r="C1234">
            <v>0.05</v>
          </cell>
        </row>
        <row r="1235">
          <cell r="A1235">
            <v>73698</v>
          </cell>
          <cell r="B1235">
            <v>0.92500000000000004</v>
          </cell>
          <cell r="C1235">
            <v>0.1</v>
          </cell>
        </row>
        <row r="1236">
          <cell r="A1236">
            <v>73699</v>
          </cell>
          <cell r="B1236">
            <v>0.85</v>
          </cell>
          <cell r="C1236">
            <v>0.05</v>
          </cell>
        </row>
        <row r="1237">
          <cell r="A1237">
            <v>73701</v>
          </cell>
          <cell r="B1237">
            <v>0.9</v>
          </cell>
          <cell r="C1237">
            <v>0.1</v>
          </cell>
        </row>
        <row r="1238">
          <cell r="A1238">
            <v>73703</v>
          </cell>
          <cell r="B1238">
            <v>0.96</v>
          </cell>
          <cell r="C1238">
            <v>0.1</v>
          </cell>
        </row>
        <row r="1239">
          <cell r="A1239">
            <v>73704</v>
          </cell>
          <cell r="B1239">
            <v>0.85</v>
          </cell>
          <cell r="C1239">
            <v>0.05</v>
          </cell>
        </row>
        <row r="1240">
          <cell r="A1240">
            <v>73705</v>
          </cell>
          <cell r="B1240">
            <v>0.94</v>
          </cell>
          <cell r="C1240">
            <v>0.1</v>
          </cell>
        </row>
        <row r="1241">
          <cell r="A1241">
            <v>73707</v>
          </cell>
          <cell r="B1241">
            <v>0.95</v>
          </cell>
          <cell r="C1241">
            <v>0.1</v>
          </cell>
        </row>
        <row r="1242">
          <cell r="A1242">
            <v>73709</v>
          </cell>
          <cell r="B1242">
            <v>0.95</v>
          </cell>
          <cell r="C1242">
            <v>0.1</v>
          </cell>
        </row>
        <row r="1243">
          <cell r="A1243">
            <v>73712</v>
          </cell>
          <cell r="B1243">
            <v>0.82499999999999996</v>
          </cell>
          <cell r="C1243">
            <v>0.05</v>
          </cell>
        </row>
        <row r="1244">
          <cell r="A1244">
            <v>73716</v>
          </cell>
          <cell r="B1244">
            <v>1</v>
          </cell>
          <cell r="C1244">
            <v>0.1</v>
          </cell>
        </row>
        <row r="1245">
          <cell r="A1245">
            <v>73717</v>
          </cell>
          <cell r="B1245">
            <v>0.88500000000000001</v>
          </cell>
          <cell r="C1245">
            <v>0.05</v>
          </cell>
        </row>
        <row r="1246">
          <cell r="A1246">
            <v>73718</v>
          </cell>
          <cell r="B1246">
            <v>0.98333333333333339</v>
          </cell>
          <cell r="C1246">
            <v>0.1</v>
          </cell>
        </row>
        <row r="1247">
          <cell r="A1247">
            <v>73719</v>
          </cell>
          <cell r="B1247">
            <v>0.755</v>
          </cell>
          <cell r="C1247">
            <v>0</v>
          </cell>
        </row>
        <row r="1248">
          <cell r="A1248">
            <v>73722</v>
          </cell>
          <cell r="B1248">
            <v>1</v>
          </cell>
          <cell r="C1248">
            <v>0.1</v>
          </cell>
        </row>
        <row r="1249">
          <cell r="A1249">
            <v>73723</v>
          </cell>
          <cell r="B1249">
            <v>0.92666666666666675</v>
          </cell>
          <cell r="C1249">
            <v>0.1</v>
          </cell>
        </row>
        <row r="1250">
          <cell r="A1250">
            <v>73725</v>
          </cell>
          <cell r="B1250">
            <v>0.82499999999999996</v>
          </cell>
          <cell r="C1250">
            <v>0.05</v>
          </cell>
        </row>
        <row r="1251">
          <cell r="A1251">
            <v>73726</v>
          </cell>
          <cell r="B1251">
            <v>0.89999999999999991</v>
          </cell>
          <cell r="C1251">
            <v>0.1</v>
          </cell>
        </row>
        <row r="1252">
          <cell r="A1252">
            <v>73727</v>
          </cell>
          <cell r="B1252">
            <v>0.375</v>
          </cell>
          <cell r="C1252">
            <v>0</v>
          </cell>
        </row>
        <row r="1253">
          <cell r="A1253">
            <v>73728</v>
          </cell>
          <cell r="B1253">
            <v>0.92500000000000004</v>
          </cell>
          <cell r="C1253">
            <v>0.1</v>
          </cell>
        </row>
        <row r="1254">
          <cell r="A1254">
            <v>73729</v>
          </cell>
          <cell r="B1254">
            <v>0.8</v>
          </cell>
          <cell r="C1254">
            <v>0.05</v>
          </cell>
        </row>
        <row r="1255">
          <cell r="A1255">
            <v>73731</v>
          </cell>
          <cell r="B1255">
            <v>0.89999999999999991</v>
          </cell>
          <cell r="C1255">
            <v>0.1</v>
          </cell>
        </row>
        <row r="1256">
          <cell r="A1256">
            <v>73732</v>
          </cell>
          <cell r="B1256">
            <v>1</v>
          </cell>
          <cell r="C1256">
            <v>0.1</v>
          </cell>
        </row>
        <row r="1257">
          <cell r="A1257">
            <v>73733</v>
          </cell>
          <cell r="B1257">
            <v>0.92500000000000004</v>
          </cell>
          <cell r="C1257">
            <v>0.1</v>
          </cell>
        </row>
        <row r="1258">
          <cell r="A1258">
            <v>73734</v>
          </cell>
          <cell r="B1258">
            <v>1</v>
          </cell>
          <cell r="C1258">
            <v>0.1</v>
          </cell>
        </row>
        <row r="1259">
          <cell r="A1259">
            <v>73735</v>
          </cell>
          <cell r="B1259">
            <v>0.71</v>
          </cell>
          <cell r="C1259">
            <v>0</v>
          </cell>
        </row>
        <row r="1260">
          <cell r="A1260">
            <v>73738</v>
          </cell>
          <cell r="B1260">
            <v>1</v>
          </cell>
          <cell r="C1260">
            <v>0.1</v>
          </cell>
        </row>
        <row r="1261">
          <cell r="A1261">
            <v>73740</v>
          </cell>
          <cell r="B1261">
            <v>0.65</v>
          </cell>
          <cell r="C1261">
            <v>0</v>
          </cell>
        </row>
        <row r="1262">
          <cell r="A1262">
            <v>73741</v>
          </cell>
          <cell r="B1262">
            <v>0.4</v>
          </cell>
          <cell r="C1262">
            <v>0</v>
          </cell>
        </row>
        <row r="1263">
          <cell r="A1263">
            <v>73743</v>
          </cell>
          <cell r="B1263">
            <v>1</v>
          </cell>
          <cell r="C1263">
            <v>0.1</v>
          </cell>
        </row>
        <row r="1264">
          <cell r="A1264">
            <v>73748</v>
          </cell>
          <cell r="B1264">
            <v>0.9</v>
          </cell>
          <cell r="C1264">
            <v>0.1</v>
          </cell>
        </row>
        <row r="1265">
          <cell r="A1265">
            <v>73750</v>
          </cell>
          <cell r="B1265">
            <v>0.92500000000000004</v>
          </cell>
          <cell r="C1265">
            <v>0.1</v>
          </cell>
        </row>
        <row r="1266">
          <cell r="A1266">
            <v>73751</v>
          </cell>
          <cell r="B1266">
            <v>1</v>
          </cell>
          <cell r="C1266">
            <v>0.1</v>
          </cell>
        </row>
        <row r="1267">
          <cell r="A1267">
            <v>73752</v>
          </cell>
          <cell r="B1267">
            <v>1</v>
          </cell>
          <cell r="C1267">
            <v>0.1</v>
          </cell>
        </row>
        <row r="1268">
          <cell r="A1268">
            <v>73753</v>
          </cell>
          <cell r="B1268">
            <v>0.82499999999999996</v>
          </cell>
          <cell r="C1268">
            <v>0.05</v>
          </cell>
        </row>
        <row r="1269">
          <cell r="A1269">
            <v>73754</v>
          </cell>
          <cell r="B1269">
            <v>0.92500000000000004</v>
          </cell>
          <cell r="C1269">
            <v>0.1</v>
          </cell>
        </row>
        <row r="1270">
          <cell r="A1270">
            <v>73755</v>
          </cell>
          <cell r="B1270">
            <v>1</v>
          </cell>
          <cell r="C1270">
            <v>0.1</v>
          </cell>
        </row>
        <row r="1271">
          <cell r="A1271">
            <v>73757</v>
          </cell>
          <cell r="B1271">
            <v>1</v>
          </cell>
          <cell r="C1271">
            <v>0.1</v>
          </cell>
        </row>
        <row r="1272">
          <cell r="A1272">
            <v>73759</v>
          </cell>
          <cell r="B1272">
            <v>0.92500000000000004</v>
          </cell>
          <cell r="C1272">
            <v>0.1</v>
          </cell>
        </row>
        <row r="1273">
          <cell r="A1273">
            <v>73761</v>
          </cell>
          <cell r="B1273">
            <v>0.75</v>
          </cell>
          <cell r="C1273">
            <v>0</v>
          </cell>
        </row>
        <row r="1274">
          <cell r="A1274">
            <v>73762</v>
          </cell>
          <cell r="B1274">
            <v>0.47499999999999998</v>
          </cell>
          <cell r="C1274">
            <v>0</v>
          </cell>
        </row>
        <row r="1275">
          <cell r="A1275">
            <v>73763</v>
          </cell>
          <cell r="B1275">
            <v>0.98333333333333339</v>
          </cell>
          <cell r="C1275">
            <v>0.1</v>
          </cell>
        </row>
        <row r="1276">
          <cell r="A1276">
            <v>73765</v>
          </cell>
          <cell r="B1276">
            <v>0.42499999999999999</v>
          </cell>
          <cell r="C1276">
            <v>0</v>
          </cell>
        </row>
        <row r="1277">
          <cell r="A1277">
            <v>73766</v>
          </cell>
          <cell r="B1277">
            <v>1</v>
          </cell>
          <cell r="C1277">
            <v>0.1</v>
          </cell>
        </row>
        <row r="1278">
          <cell r="A1278">
            <v>73767</v>
          </cell>
          <cell r="B1278">
            <v>0.97499999999999998</v>
          </cell>
          <cell r="C1278">
            <v>0.1</v>
          </cell>
        </row>
        <row r="1279">
          <cell r="A1279">
            <v>73769</v>
          </cell>
          <cell r="B1279">
            <v>0.46750000000000003</v>
          </cell>
          <cell r="C1279">
            <v>0</v>
          </cell>
        </row>
        <row r="1280">
          <cell r="A1280">
            <v>73770</v>
          </cell>
          <cell r="B1280">
            <v>0.8</v>
          </cell>
          <cell r="C1280">
            <v>0.05</v>
          </cell>
        </row>
        <row r="1281">
          <cell r="A1281">
            <v>73771</v>
          </cell>
          <cell r="B1281">
            <v>0.80500000000000005</v>
          </cell>
          <cell r="C1281">
            <v>0.05</v>
          </cell>
        </row>
        <row r="1282">
          <cell r="A1282">
            <v>73773</v>
          </cell>
          <cell r="B1282">
            <v>0.83000000000000007</v>
          </cell>
          <cell r="C1282">
            <v>0.05</v>
          </cell>
        </row>
        <row r="1283">
          <cell r="A1283">
            <v>73774</v>
          </cell>
          <cell r="B1283">
            <v>0.98333333333333339</v>
          </cell>
          <cell r="C1283">
            <v>0.1</v>
          </cell>
        </row>
        <row r="1284">
          <cell r="A1284">
            <v>73775</v>
          </cell>
          <cell r="B1284">
            <v>0.46500000000000002</v>
          </cell>
          <cell r="C1284">
            <v>0</v>
          </cell>
        </row>
        <row r="1285">
          <cell r="A1285">
            <v>73777</v>
          </cell>
          <cell r="B1285">
            <v>1</v>
          </cell>
          <cell r="C1285">
            <v>0.1</v>
          </cell>
        </row>
        <row r="1286">
          <cell r="A1286">
            <v>73780</v>
          </cell>
          <cell r="B1286">
            <v>1</v>
          </cell>
          <cell r="C1286">
            <v>0.1</v>
          </cell>
        </row>
        <row r="1287">
          <cell r="A1287">
            <v>73786</v>
          </cell>
          <cell r="B1287">
            <v>0.95</v>
          </cell>
          <cell r="C1287">
            <v>0.1</v>
          </cell>
        </row>
        <row r="1288">
          <cell r="A1288">
            <v>73800</v>
          </cell>
          <cell r="B1288">
            <v>1</v>
          </cell>
          <cell r="C1288">
            <v>0.1</v>
          </cell>
        </row>
        <row r="1289">
          <cell r="A1289">
            <v>73802</v>
          </cell>
          <cell r="B1289">
            <v>1</v>
          </cell>
          <cell r="C1289">
            <v>0.1</v>
          </cell>
        </row>
        <row r="1290">
          <cell r="A1290">
            <v>73804</v>
          </cell>
          <cell r="B1290">
            <v>0.85000000000000009</v>
          </cell>
          <cell r="C1290">
            <v>0.05</v>
          </cell>
        </row>
        <row r="1291">
          <cell r="A1291">
            <v>73805</v>
          </cell>
          <cell r="B1291">
            <v>0.6166666666666667</v>
          </cell>
          <cell r="C1291">
            <v>0</v>
          </cell>
        </row>
        <row r="1292">
          <cell r="A1292">
            <v>73807</v>
          </cell>
          <cell r="B1292">
            <v>0.375</v>
          </cell>
          <cell r="C1292">
            <v>0</v>
          </cell>
        </row>
        <row r="1293">
          <cell r="A1293">
            <v>73808</v>
          </cell>
          <cell r="B1293">
            <v>1</v>
          </cell>
          <cell r="C1293">
            <v>0.1</v>
          </cell>
        </row>
        <row r="1294">
          <cell r="A1294">
            <v>73809</v>
          </cell>
          <cell r="B1294">
            <v>0.45500000000000002</v>
          </cell>
          <cell r="C1294">
            <v>0</v>
          </cell>
        </row>
        <row r="1295">
          <cell r="A1295">
            <v>73810</v>
          </cell>
          <cell r="B1295">
            <v>1</v>
          </cell>
          <cell r="C1295">
            <v>0.1</v>
          </cell>
        </row>
        <row r="1296">
          <cell r="A1296">
            <v>73812</v>
          </cell>
          <cell r="B1296">
            <v>0.97499999999999998</v>
          </cell>
          <cell r="C1296">
            <v>0.1</v>
          </cell>
        </row>
        <row r="1297">
          <cell r="A1297">
            <v>73814</v>
          </cell>
          <cell r="B1297">
            <v>0.95</v>
          </cell>
          <cell r="C1297">
            <v>0.1</v>
          </cell>
        </row>
        <row r="1298">
          <cell r="A1298">
            <v>73817</v>
          </cell>
          <cell r="B1298">
            <v>0.95000000000000007</v>
          </cell>
          <cell r="C1298">
            <v>0.1</v>
          </cell>
        </row>
        <row r="1299">
          <cell r="A1299">
            <v>73819</v>
          </cell>
          <cell r="B1299">
            <v>0.9</v>
          </cell>
          <cell r="C1299">
            <v>0.1</v>
          </cell>
        </row>
        <row r="1300">
          <cell r="A1300">
            <v>73822</v>
          </cell>
          <cell r="B1300">
            <v>1</v>
          </cell>
          <cell r="C1300">
            <v>0.1</v>
          </cell>
        </row>
        <row r="1301">
          <cell r="A1301">
            <v>73823</v>
          </cell>
          <cell r="B1301">
            <v>0.9</v>
          </cell>
          <cell r="C1301">
            <v>0.1</v>
          </cell>
        </row>
        <row r="1302">
          <cell r="A1302">
            <v>73825</v>
          </cell>
          <cell r="B1302">
            <v>0.85</v>
          </cell>
          <cell r="C1302">
            <v>0.05</v>
          </cell>
        </row>
        <row r="1303">
          <cell r="A1303">
            <v>73827</v>
          </cell>
          <cell r="B1303">
            <v>0.5</v>
          </cell>
          <cell r="C1303">
            <v>0</v>
          </cell>
        </row>
        <row r="1304">
          <cell r="A1304">
            <v>73829</v>
          </cell>
          <cell r="B1304">
            <v>0.875</v>
          </cell>
          <cell r="C1304">
            <v>0.05</v>
          </cell>
        </row>
        <row r="1305">
          <cell r="A1305">
            <v>73831</v>
          </cell>
          <cell r="B1305">
            <v>0.82499999999999996</v>
          </cell>
          <cell r="C1305">
            <v>0.05</v>
          </cell>
        </row>
        <row r="1306">
          <cell r="A1306">
            <v>73833</v>
          </cell>
          <cell r="B1306">
            <v>0.92500000000000004</v>
          </cell>
          <cell r="C1306">
            <v>0.1</v>
          </cell>
        </row>
        <row r="1307">
          <cell r="A1307">
            <v>73835</v>
          </cell>
          <cell r="B1307">
            <v>0.88500000000000001</v>
          </cell>
          <cell r="C1307">
            <v>0.05</v>
          </cell>
        </row>
        <row r="1308">
          <cell r="A1308">
            <v>73836</v>
          </cell>
          <cell r="B1308">
            <v>1</v>
          </cell>
          <cell r="C1308">
            <v>0.1</v>
          </cell>
        </row>
        <row r="1309">
          <cell r="A1309">
            <v>73837</v>
          </cell>
          <cell r="B1309">
            <v>0.8</v>
          </cell>
          <cell r="C1309">
            <v>0.05</v>
          </cell>
        </row>
        <row r="1310">
          <cell r="A1310">
            <v>73838</v>
          </cell>
          <cell r="B1310">
            <v>0.375</v>
          </cell>
          <cell r="C1310">
            <v>0</v>
          </cell>
        </row>
        <row r="1311">
          <cell r="A1311">
            <v>73839</v>
          </cell>
          <cell r="B1311">
            <v>0.42499999999999999</v>
          </cell>
          <cell r="C1311">
            <v>0</v>
          </cell>
        </row>
        <row r="1312">
          <cell r="A1312">
            <v>73840</v>
          </cell>
          <cell r="B1312">
            <v>0.82499999999999996</v>
          </cell>
          <cell r="C1312">
            <v>0.05</v>
          </cell>
        </row>
        <row r="1313">
          <cell r="A1313">
            <v>73841</v>
          </cell>
          <cell r="B1313">
            <v>0.98</v>
          </cell>
          <cell r="C1313">
            <v>0.1</v>
          </cell>
        </row>
        <row r="1314">
          <cell r="A1314">
            <v>73845</v>
          </cell>
          <cell r="B1314">
            <v>0.82000000000000006</v>
          </cell>
          <cell r="C1314">
            <v>0.05</v>
          </cell>
        </row>
        <row r="1315">
          <cell r="A1315">
            <v>73851</v>
          </cell>
          <cell r="B1315">
            <v>0.90999999999999992</v>
          </cell>
          <cell r="C1315">
            <v>0.1</v>
          </cell>
        </row>
        <row r="1316">
          <cell r="A1316">
            <v>73852</v>
          </cell>
          <cell r="B1316">
            <v>0.92500000000000004</v>
          </cell>
          <cell r="C1316">
            <v>0.1</v>
          </cell>
        </row>
        <row r="1317">
          <cell r="A1317">
            <v>73854</v>
          </cell>
          <cell r="B1317">
            <v>0.91666666666666663</v>
          </cell>
          <cell r="C1317">
            <v>0.1</v>
          </cell>
        </row>
        <row r="1318">
          <cell r="A1318">
            <v>73855</v>
          </cell>
          <cell r="B1318">
            <v>0.55666666666666664</v>
          </cell>
          <cell r="C1318">
            <v>0</v>
          </cell>
        </row>
        <row r="1319">
          <cell r="A1319">
            <v>73856</v>
          </cell>
          <cell r="B1319">
            <v>0.92999999999999994</v>
          </cell>
          <cell r="C1319">
            <v>0.1</v>
          </cell>
        </row>
        <row r="1320">
          <cell r="A1320">
            <v>73857</v>
          </cell>
          <cell r="B1320">
            <v>0.75</v>
          </cell>
          <cell r="C1320">
            <v>0</v>
          </cell>
        </row>
        <row r="1321">
          <cell r="A1321">
            <v>73860</v>
          </cell>
          <cell r="B1321">
            <v>0.47499999999999998</v>
          </cell>
          <cell r="C1321">
            <v>0</v>
          </cell>
        </row>
        <row r="1322">
          <cell r="A1322">
            <v>73861</v>
          </cell>
          <cell r="B1322">
            <v>0.8</v>
          </cell>
          <cell r="C1322">
            <v>0.05</v>
          </cell>
        </row>
        <row r="1323">
          <cell r="A1323">
            <v>73862</v>
          </cell>
          <cell r="B1323">
            <v>0.98499999999999999</v>
          </cell>
          <cell r="C1323">
            <v>0.1</v>
          </cell>
        </row>
        <row r="1324">
          <cell r="A1324">
            <v>73864</v>
          </cell>
          <cell r="B1324">
            <v>0.92500000000000004</v>
          </cell>
          <cell r="C1324">
            <v>0.1</v>
          </cell>
        </row>
        <row r="1325">
          <cell r="A1325">
            <v>73865</v>
          </cell>
          <cell r="B1325">
            <v>0.91500000000000004</v>
          </cell>
          <cell r="C1325">
            <v>0.1</v>
          </cell>
        </row>
        <row r="1326">
          <cell r="A1326">
            <v>73866</v>
          </cell>
          <cell r="B1326">
            <v>0.95499999999999996</v>
          </cell>
          <cell r="C1326">
            <v>0.1</v>
          </cell>
        </row>
        <row r="1327">
          <cell r="A1327">
            <v>73867</v>
          </cell>
          <cell r="B1327">
            <v>0.875</v>
          </cell>
          <cell r="C1327">
            <v>0.05</v>
          </cell>
        </row>
        <row r="1328">
          <cell r="A1328">
            <v>73868</v>
          </cell>
          <cell r="B1328">
            <v>0.98333333333333339</v>
          </cell>
          <cell r="C1328">
            <v>0.1</v>
          </cell>
        </row>
        <row r="1329">
          <cell r="A1329">
            <v>73869</v>
          </cell>
          <cell r="B1329">
            <v>0.85</v>
          </cell>
          <cell r="C1329">
            <v>0.05</v>
          </cell>
        </row>
        <row r="1330">
          <cell r="A1330">
            <v>73870</v>
          </cell>
          <cell r="B1330">
            <v>0.60333333333333339</v>
          </cell>
          <cell r="C1330">
            <v>0</v>
          </cell>
        </row>
        <row r="1331">
          <cell r="A1331">
            <v>73871</v>
          </cell>
          <cell r="B1331">
            <v>0.94500000000000006</v>
          </cell>
          <cell r="C1331">
            <v>0.1</v>
          </cell>
        </row>
        <row r="1332">
          <cell r="A1332">
            <v>73874</v>
          </cell>
          <cell r="B1332">
            <v>0.85749999999999993</v>
          </cell>
          <cell r="C1332">
            <v>0.05</v>
          </cell>
        </row>
        <row r="1333">
          <cell r="A1333">
            <v>73877</v>
          </cell>
          <cell r="B1333">
            <v>0.97499999999999998</v>
          </cell>
          <cell r="C1333">
            <v>0.1</v>
          </cell>
        </row>
        <row r="1334">
          <cell r="A1334">
            <v>73878</v>
          </cell>
          <cell r="B1334">
            <v>0.77500000000000002</v>
          </cell>
          <cell r="C1334">
            <v>0</v>
          </cell>
        </row>
        <row r="1335">
          <cell r="A1335">
            <v>73879</v>
          </cell>
          <cell r="B1335">
            <v>0.92500000000000004</v>
          </cell>
          <cell r="C1335">
            <v>0.1</v>
          </cell>
        </row>
        <row r="1336">
          <cell r="A1336">
            <v>73880</v>
          </cell>
          <cell r="B1336">
            <v>1</v>
          </cell>
          <cell r="C1336">
            <v>0.1</v>
          </cell>
        </row>
        <row r="1337">
          <cell r="A1337">
            <v>73881</v>
          </cell>
          <cell r="B1337">
            <v>0.745</v>
          </cell>
          <cell r="C1337">
            <v>0</v>
          </cell>
        </row>
        <row r="1338">
          <cell r="A1338">
            <v>73882</v>
          </cell>
          <cell r="B1338">
            <v>0.78500000000000003</v>
          </cell>
          <cell r="C1338">
            <v>0</v>
          </cell>
        </row>
        <row r="1339">
          <cell r="A1339">
            <v>73883</v>
          </cell>
          <cell r="B1339">
            <v>0.89999999999999991</v>
          </cell>
          <cell r="C1339">
            <v>0.1</v>
          </cell>
        </row>
        <row r="1340">
          <cell r="A1340">
            <v>73884</v>
          </cell>
          <cell r="B1340">
            <v>0.42499999999999999</v>
          </cell>
          <cell r="C1340">
            <v>0</v>
          </cell>
        </row>
        <row r="1341">
          <cell r="A1341">
            <v>73886</v>
          </cell>
          <cell r="B1341">
            <v>1</v>
          </cell>
          <cell r="C1341">
            <v>0.1</v>
          </cell>
        </row>
        <row r="1342">
          <cell r="A1342">
            <v>73888</v>
          </cell>
          <cell r="B1342">
            <v>0.875</v>
          </cell>
          <cell r="C1342">
            <v>0.05</v>
          </cell>
        </row>
        <row r="1343">
          <cell r="A1343">
            <v>73889</v>
          </cell>
          <cell r="B1343">
            <v>0.99</v>
          </cell>
          <cell r="C1343">
            <v>0.1</v>
          </cell>
        </row>
        <row r="1344">
          <cell r="A1344">
            <v>73892</v>
          </cell>
          <cell r="B1344">
            <v>0.875</v>
          </cell>
          <cell r="C1344">
            <v>0.05</v>
          </cell>
        </row>
        <row r="1345">
          <cell r="A1345">
            <v>73893</v>
          </cell>
          <cell r="B1345">
            <v>1</v>
          </cell>
          <cell r="C1345">
            <v>0.1</v>
          </cell>
        </row>
        <row r="1346">
          <cell r="A1346">
            <v>73895</v>
          </cell>
          <cell r="B1346">
            <v>0.92500000000000004</v>
          </cell>
          <cell r="C1346">
            <v>0.1</v>
          </cell>
        </row>
        <row r="1347">
          <cell r="A1347">
            <v>73900</v>
          </cell>
          <cell r="B1347">
            <v>0.85</v>
          </cell>
          <cell r="C1347">
            <v>0.05</v>
          </cell>
        </row>
        <row r="1348">
          <cell r="A1348">
            <v>73902</v>
          </cell>
          <cell r="B1348">
            <v>1</v>
          </cell>
          <cell r="C1348">
            <v>0.1</v>
          </cell>
        </row>
        <row r="1349">
          <cell r="A1349">
            <v>73904</v>
          </cell>
          <cell r="B1349">
            <v>0.90999999999999992</v>
          </cell>
          <cell r="C1349">
            <v>0.1</v>
          </cell>
        </row>
        <row r="1350">
          <cell r="A1350">
            <v>73910</v>
          </cell>
          <cell r="B1350">
            <v>0.86499999999999999</v>
          </cell>
          <cell r="C1350">
            <v>0.05</v>
          </cell>
        </row>
        <row r="1351">
          <cell r="A1351">
            <v>73911</v>
          </cell>
          <cell r="B1351">
            <v>0.97499999999999998</v>
          </cell>
          <cell r="C1351">
            <v>0.1</v>
          </cell>
        </row>
        <row r="1352">
          <cell r="A1352">
            <v>73913</v>
          </cell>
          <cell r="B1352">
            <v>1</v>
          </cell>
          <cell r="C1352">
            <v>0.1</v>
          </cell>
        </row>
        <row r="1353">
          <cell r="A1353">
            <v>73915</v>
          </cell>
          <cell r="B1353">
            <v>0.81499999999999995</v>
          </cell>
          <cell r="C1353">
            <v>0.05</v>
          </cell>
        </row>
        <row r="1354">
          <cell r="A1354">
            <v>73917</v>
          </cell>
          <cell r="B1354">
            <v>0.92500000000000004</v>
          </cell>
          <cell r="C1354">
            <v>0.1</v>
          </cell>
        </row>
        <row r="1355">
          <cell r="A1355">
            <v>73919</v>
          </cell>
          <cell r="B1355">
            <v>0.94000000000000006</v>
          </cell>
          <cell r="C1355">
            <v>0.1</v>
          </cell>
        </row>
        <row r="1356">
          <cell r="A1356">
            <v>73920</v>
          </cell>
          <cell r="B1356">
            <v>0.5</v>
          </cell>
          <cell r="C1356">
            <v>0</v>
          </cell>
        </row>
        <row r="1357">
          <cell r="A1357">
            <v>73921</v>
          </cell>
          <cell r="B1357">
            <v>0.84000000000000008</v>
          </cell>
          <cell r="C1357">
            <v>0.05</v>
          </cell>
        </row>
        <row r="1358">
          <cell r="A1358">
            <v>73923</v>
          </cell>
          <cell r="B1358">
            <v>0.96666666666666667</v>
          </cell>
          <cell r="C1358">
            <v>0.1</v>
          </cell>
        </row>
        <row r="1359">
          <cell r="A1359">
            <v>73924</v>
          </cell>
          <cell r="B1359">
            <v>0.375</v>
          </cell>
          <cell r="C1359">
            <v>0</v>
          </cell>
        </row>
        <row r="1360">
          <cell r="A1360">
            <v>73925</v>
          </cell>
          <cell r="B1360">
            <v>0.93500000000000005</v>
          </cell>
          <cell r="C1360">
            <v>0.1</v>
          </cell>
        </row>
        <row r="1361">
          <cell r="A1361">
            <v>73927</v>
          </cell>
          <cell r="B1361">
            <v>0.98</v>
          </cell>
          <cell r="C1361">
            <v>0.1</v>
          </cell>
        </row>
        <row r="1362">
          <cell r="A1362">
            <v>73929</v>
          </cell>
          <cell r="B1362">
            <v>0.8</v>
          </cell>
          <cell r="C1362">
            <v>0.05</v>
          </cell>
        </row>
        <row r="1363">
          <cell r="A1363">
            <v>73930</v>
          </cell>
          <cell r="B1363">
            <v>1</v>
          </cell>
          <cell r="C1363">
            <v>0.1</v>
          </cell>
        </row>
        <row r="1364">
          <cell r="A1364">
            <v>73931</v>
          </cell>
          <cell r="B1364">
            <v>0.99</v>
          </cell>
          <cell r="C1364">
            <v>0.1</v>
          </cell>
        </row>
        <row r="1365">
          <cell r="A1365">
            <v>73932</v>
          </cell>
          <cell r="B1365">
            <v>0.81</v>
          </cell>
          <cell r="C1365">
            <v>0.05</v>
          </cell>
        </row>
        <row r="1366">
          <cell r="A1366">
            <v>73933</v>
          </cell>
          <cell r="B1366">
            <v>0.53666666666666674</v>
          </cell>
          <cell r="C1366">
            <v>0</v>
          </cell>
        </row>
        <row r="1367">
          <cell r="A1367">
            <v>73934</v>
          </cell>
          <cell r="B1367">
            <v>0.97333333333333327</v>
          </cell>
          <cell r="C1367">
            <v>0.1</v>
          </cell>
        </row>
        <row r="1368">
          <cell r="A1368">
            <v>73937</v>
          </cell>
          <cell r="B1368">
            <v>0.47499999999999998</v>
          </cell>
          <cell r="C1368">
            <v>0</v>
          </cell>
        </row>
        <row r="1369">
          <cell r="A1369">
            <v>73938</v>
          </cell>
          <cell r="B1369">
            <v>0.98333333333333339</v>
          </cell>
          <cell r="C1369">
            <v>0.1</v>
          </cell>
        </row>
        <row r="1370">
          <cell r="A1370">
            <v>73939</v>
          </cell>
          <cell r="B1370">
            <v>0.9</v>
          </cell>
          <cell r="C1370">
            <v>0.1</v>
          </cell>
        </row>
        <row r="1371">
          <cell r="A1371">
            <v>73940</v>
          </cell>
          <cell r="B1371">
            <v>0.32500000000000001</v>
          </cell>
          <cell r="C1371">
            <v>0</v>
          </cell>
        </row>
        <row r="1372">
          <cell r="A1372">
            <v>73942</v>
          </cell>
          <cell r="B1372">
            <v>0.90666666666666662</v>
          </cell>
          <cell r="C1372">
            <v>0.1</v>
          </cell>
        </row>
        <row r="1373">
          <cell r="A1373">
            <v>73944</v>
          </cell>
          <cell r="B1373">
            <v>0.95</v>
          </cell>
          <cell r="C1373">
            <v>0.1</v>
          </cell>
        </row>
        <row r="1374">
          <cell r="A1374">
            <v>73945</v>
          </cell>
          <cell r="B1374">
            <v>1</v>
          </cell>
          <cell r="C1374">
            <v>0.1</v>
          </cell>
        </row>
        <row r="1375">
          <cell r="A1375">
            <v>73948</v>
          </cell>
          <cell r="B1375">
            <v>0.98499999999999999</v>
          </cell>
          <cell r="C1375">
            <v>0.1</v>
          </cell>
        </row>
        <row r="1376">
          <cell r="A1376">
            <v>73950</v>
          </cell>
          <cell r="B1376">
            <v>1</v>
          </cell>
          <cell r="C1376">
            <v>0.1</v>
          </cell>
        </row>
        <row r="1377">
          <cell r="A1377">
            <v>73954</v>
          </cell>
          <cell r="B1377">
            <v>0.85</v>
          </cell>
          <cell r="C1377">
            <v>0.05</v>
          </cell>
        </row>
        <row r="1378">
          <cell r="A1378">
            <v>73957</v>
          </cell>
          <cell r="B1378">
            <v>0.92500000000000004</v>
          </cell>
          <cell r="C1378">
            <v>0.1</v>
          </cell>
        </row>
        <row r="1379">
          <cell r="A1379">
            <v>73958</v>
          </cell>
          <cell r="B1379">
            <v>0.875</v>
          </cell>
          <cell r="C1379">
            <v>0.05</v>
          </cell>
        </row>
        <row r="1380">
          <cell r="A1380">
            <v>73959</v>
          </cell>
          <cell r="B1380">
            <v>1</v>
          </cell>
          <cell r="C1380">
            <v>0.1</v>
          </cell>
        </row>
        <row r="1381">
          <cell r="A1381">
            <v>73961</v>
          </cell>
          <cell r="B1381">
            <v>0.98499999999999999</v>
          </cell>
          <cell r="C1381">
            <v>0.1</v>
          </cell>
        </row>
        <row r="1382">
          <cell r="A1382">
            <v>73962</v>
          </cell>
          <cell r="B1382">
            <v>0.96666666666666667</v>
          </cell>
          <cell r="C1382">
            <v>0.1</v>
          </cell>
        </row>
        <row r="1383">
          <cell r="A1383">
            <v>73963</v>
          </cell>
          <cell r="B1383">
            <v>0.83000000000000007</v>
          </cell>
          <cell r="C1383">
            <v>0.05</v>
          </cell>
        </row>
        <row r="1384">
          <cell r="A1384">
            <v>73964</v>
          </cell>
          <cell r="B1384">
            <v>0.98333333333333339</v>
          </cell>
          <cell r="C1384">
            <v>0.1</v>
          </cell>
        </row>
        <row r="1385">
          <cell r="A1385">
            <v>73966</v>
          </cell>
          <cell r="B1385">
            <v>0</v>
          </cell>
          <cell r="C1385">
            <v>0</v>
          </cell>
        </row>
        <row r="1386">
          <cell r="A1386">
            <v>73968</v>
          </cell>
          <cell r="B1386">
            <v>0.39</v>
          </cell>
          <cell r="C1386">
            <v>0</v>
          </cell>
        </row>
        <row r="1387">
          <cell r="A1387">
            <v>73972</v>
          </cell>
          <cell r="B1387">
            <v>0.79499999999999993</v>
          </cell>
          <cell r="C1387">
            <v>0</v>
          </cell>
        </row>
        <row r="1388">
          <cell r="A1388">
            <v>73976</v>
          </cell>
          <cell r="B1388">
            <v>0.90500000000000003</v>
          </cell>
          <cell r="C1388">
            <v>0.1</v>
          </cell>
        </row>
        <row r="1389">
          <cell r="A1389">
            <v>73978</v>
          </cell>
          <cell r="B1389">
            <v>0.97499999999999998</v>
          </cell>
          <cell r="C1389">
            <v>0.1</v>
          </cell>
        </row>
        <row r="1390">
          <cell r="A1390">
            <v>73979</v>
          </cell>
          <cell r="B1390">
            <v>0.92500000000000004</v>
          </cell>
          <cell r="C1390">
            <v>0.1</v>
          </cell>
        </row>
        <row r="1391">
          <cell r="A1391">
            <v>73980</v>
          </cell>
          <cell r="B1391">
            <v>0.85000000000000009</v>
          </cell>
          <cell r="C1391">
            <v>0.05</v>
          </cell>
        </row>
        <row r="1392">
          <cell r="A1392">
            <v>73981</v>
          </cell>
          <cell r="B1392">
            <v>1</v>
          </cell>
          <cell r="C1392">
            <v>0.1</v>
          </cell>
        </row>
        <row r="1393">
          <cell r="A1393">
            <v>73982</v>
          </cell>
          <cell r="B1393">
            <v>0.95</v>
          </cell>
          <cell r="C1393">
            <v>0.1</v>
          </cell>
        </row>
        <row r="1394">
          <cell r="A1394">
            <v>73984</v>
          </cell>
          <cell r="B1394">
            <v>0.85</v>
          </cell>
          <cell r="C1394">
            <v>0.05</v>
          </cell>
        </row>
        <row r="1395">
          <cell r="A1395">
            <v>73985</v>
          </cell>
          <cell r="B1395">
            <v>0.98499999999999999</v>
          </cell>
          <cell r="C1395">
            <v>0.1</v>
          </cell>
        </row>
        <row r="1396">
          <cell r="A1396">
            <v>73987</v>
          </cell>
          <cell r="B1396">
            <v>0.84499999999999997</v>
          </cell>
          <cell r="C1396">
            <v>0.05</v>
          </cell>
        </row>
        <row r="1397">
          <cell r="A1397">
            <v>73988</v>
          </cell>
          <cell r="B1397">
            <v>0.92500000000000004</v>
          </cell>
          <cell r="C1397">
            <v>0.1</v>
          </cell>
        </row>
        <row r="1398">
          <cell r="A1398">
            <v>73989</v>
          </cell>
          <cell r="B1398">
            <v>0.45</v>
          </cell>
          <cell r="C1398">
            <v>0</v>
          </cell>
        </row>
        <row r="1399">
          <cell r="A1399">
            <v>73990</v>
          </cell>
          <cell r="B1399">
            <v>1</v>
          </cell>
          <cell r="C1399">
            <v>0.1</v>
          </cell>
        </row>
        <row r="1400">
          <cell r="A1400">
            <v>73992</v>
          </cell>
          <cell r="B1400">
            <v>0.95</v>
          </cell>
          <cell r="C1400">
            <v>0.1</v>
          </cell>
        </row>
        <row r="1401">
          <cell r="A1401">
            <v>73993</v>
          </cell>
          <cell r="B1401">
            <v>1.1000000000000001</v>
          </cell>
          <cell r="C1401">
            <v>0.1</v>
          </cell>
        </row>
        <row r="1402">
          <cell r="A1402">
            <v>73996</v>
          </cell>
          <cell r="B1402">
            <v>1</v>
          </cell>
          <cell r="C1402">
            <v>0.1</v>
          </cell>
        </row>
        <row r="1403">
          <cell r="A1403">
            <v>73998</v>
          </cell>
          <cell r="B1403">
            <v>1</v>
          </cell>
          <cell r="C1403">
            <v>0.1</v>
          </cell>
        </row>
        <row r="1404">
          <cell r="A1404">
            <v>74000</v>
          </cell>
          <cell r="B1404">
            <v>0.875</v>
          </cell>
          <cell r="C1404">
            <v>0.05</v>
          </cell>
        </row>
        <row r="1405">
          <cell r="A1405">
            <v>74001</v>
          </cell>
          <cell r="B1405">
            <v>0.95</v>
          </cell>
          <cell r="C1405">
            <v>0.1</v>
          </cell>
        </row>
        <row r="1406">
          <cell r="A1406">
            <v>74004</v>
          </cell>
          <cell r="B1406">
            <v>0.83499999999999996</v>
          </cell>
          <cell r="C1406">
            <v>0.05</v>
          </cell>
        </row>
        <row r="1407">
          <cell r="A1407">
            <v>74006</v>
          </cell>
          <cell r="B1407">
            <v>1</v>
          </cell>
          <cell r="C1407">
            <v>0.1</v>
          </cell>
        </row>
        <row r="1408">
          <cell r="A1408">
            <v>74008</v>
          </cell>
          <cell r="B1408">
            <v>0.85</v>
          </cell>
          <cell r="C1408">
            <v>0.05</v>
          </cell>
        </row>
        <row r="1409">
          <cell r="A1409">
            <v>74009</v>
          </cell>
          <cell r="B1409">
            <v>0.82499999999999996</v>
          </cell>
          <cell r="C1409">
            <v>0.05</v>
          </cell>
        </row>
        <row r="1410">
          <cell r="A1410">
            <v>74010</v>
          </cell>
          <cell r="B1410">
            <v>0.56000000000000005</v>
          </cell>
          <cell r="C1410">
            <v>0</v>
          </cell>
        </row>
        <row r="1411">
          <cell r="A1411">
            <v>74012</v>
          </cell>
          <cell r="B1411">
            <v>0.8899999999999999</v>
          </cell>
          <cell r="C1411">
            <v>0.05</v>
          </cell>
        </row>
        <row r="1412">
          <cell r="A1412">
            <v>74013</v>
          </cell>
          <cell r="B1412">
            <v>0.95</v>
          </cell>
          <cell r="C1412">
            <v>0.1</v>
          </cell>
        </row>
        <row r="1413">
          <cell r="A1413">
            <v>74014</v>
          </cell>
          <cell r="B1413">
            <v>0.97499999999999998</v>
          </cell>
          <cell r="C1413">
            <v>0.1</v>
          </cell>
        </row>
        <row r="1414">
          <cell r="A1414">
            <v>74015</v>
          </cell>
          <cell r="B1414">
            <v>0.82499999999999996</v>
          </cell>
          <cell r="C1414">
            <v>0.05</v>
          </cell>
        </row>
        <row r="1415">
          <cell r="A1415">
            <v>74016</v>
          </cell>
          <cell r="B1415">
            <v>0.65</v>
          </cell>
          <cell r="C1415">
            <v>0</v>
          </cell>
        </row>
        <row r="1416">
          <cell r="A1416">
            <v>74017</v>
          </cell>
          <cell r="B1416">
            <v>0.82499999999999996</v>
          </cell>
          <cell r="C1416">
            <v>0.05</v>
          </cell>
        </row>
        <row r="1417">
          <cell r="A1417">
            <v>74018</v>
          </cell>
          <cell r="B1417">
            <v>0.92500000000000004</v>
          </cell>
          <cell r="C1417">
            <v>0.1</v>
          </cell>
        </row>
        <row r="1418">
          <cell r="A1418">
            <v>74020</v>
          </cell>
          <cell r="B1418">
            <v>0.47499999999999998</v>
          </cell>
          <cell r="C1418">
            <v>0</v>
          </cell>
        </row>
        <row r="1419">
          <cell r="A1419">
            <v>74022</v>
          </cell>
          <cell r="B1419">
            <v>1</v>
          </cell>
          <cell r="C1419">
            <v>0.1</v>
          </cell>
        </row>
        <row r="1420">
          <cell r="A1420">
            <v>74024</v>
          </cell>
          <cell r="B1420">
            <v>0.9</v>
          </cell>
          <cell r="C1420">
            <v>0.1</v>
          </cell>
        </row>
        <row r="1421">
          <cell r="A1421">
            <v>74025</v>
          </cell>
          <cell r="B1421">
            <v>0.59</v>
          </cell>
          <cell r="C1421">
            <v>0</v>
          </cell>
        </row>
        <row r="1422">
          <cell r="A1422">
            <v>74026</v>
          </cell>
          <cell r="B1422">
            <v>1</v>
          </cell>
          <cell r="C1422">
            <v>0.1</v>
          </cell>
        </row>
        <row r="1423">
          <cell r="A1423">
            <v>74028</v>
          </cell>
          <cell r="B1423">
            <v>0.93333333333333324</v>
          </cell>
          <cell r="C1423">
            <v>0.1</v>
          </cell>
        </row>
        <row r="1424">
          <cell r="A1424">
            <v>74029</v>
          </cell>
          <cell r="B1424">
            <v>1</v>
          </cell>
          <cell r="C1424">
            <v>0.1</v>
          </cell>
        </row>
        <row r="1425">
          <cell r="A1425">
            <v>74030</v>
          </cell>
          <cell r="B1425">
            <v>0.92500000000000004</v>
          </cell>
          <cell r="C1425">
            <v>0.1</v>
          </cell>
        </row>
        <row r="1426">
          <cell r="A1426">
            <v>74031</v>
          </cell>
          <cell r="B1426">
            <v>0.98</v>
          </cell>
          <cell r="C1426">
            <v>0.1</v>
          </cell>
        </row>
        <row r="1427">
          <cell r="A1427">
            <v>74032</v>
          </cell>
          <cell r="B1427">
            <v>0.9</v>
          </cell>
          <cell r="C1427">
            <v>0.1</v>
          </cell>
        </row>
        <row r="1428">
          <cell r="A1428">
            <v>74033</v>
          </cell>
          <cell r="B1428">
            <v>0.95499999999999996</v>
          </cell>
          <cell r="C1428">
            <v>0.1</v>
          </cell>
        </row>
        <row r="1429">
          <cell r="A1429">
            <v>74034</v>
          </cell>
          <cell r="B1429">
            <v>0.83499999999999996</v>
          </cell>
          <cell r="C1429">
            <v>0.05</v>
          </cell>
        </row>
        <row r="1430">
          <cell r="A1430">
            <v>74035</v>
          </cell>
          <cell r="B1430">
            <v>0.875</v>
          </cell>
          <cell r="C1430">
            <v>0.05</v>
          </cell>
        </row>
        <row r="1431">
          <cell r="A1431">
            <v>74036</v>
          </cell>
          <cell r="B1431">
            <v>0.89</v>
          </cell>
          <cell r="C1431">
            <v>0.05</v>
          </cell>
        </row>
        <row r="1432">
          <cell r="A1432">
            <v>74037</v>
          </cell>
          <cell r="B1432">
            <v>0.5</v>
          </cell>
          <cell r="C1432">
            <v>0</v>
          </cell>
        </row>
        <row r="1433">
          <cell r="A1433">
            <v>74038</v>
          </cell>
          <cell r="B1433">
            <v>0.9</v>
          </cell>
          <cell r="C1433">
            <v>0.1</v>
          </cell>
        </row>
        <row r="1434">
          <cell r="A1434">
            <v>74039</v>
          </cell>
          <cell r="B1434">
            <v>0.92500000000000004</v>
          </cell>
          <cell r="C1434">
            <v>0.1</v>
          </cell>
        </row>
        <row r="1435">
          <cell r="A1435">
            <v>74040</v>
          </cell>
          <cell r="B1435">
            <v>0.5</v>
          </cell>
          <cell r="C1435">
            <v>0</v>
          </cell>
        </row>
        <row r="1436">
          <cell r="A1436">
            <v>74041</v>
          </cell>
          <cell r="B1436">
            <v>1</v>
          </cell>
          <cell r="C1436">
            <v>0.1</v>
          </cell>
        </row>
        <row r="1437">
          <cell r="A1437">
            <v>74042</v>
          </cell>
          <cell r="B1437">
            <v>0.4</v>
          </cell>
          <cell r="C1437">
            <v>0</v>
          </cell>
        </row>
        <row r="1438">
          <cell r="A1438">
            <v>74043</v>
          </cell>
          <cell r="B1438">
            <v>0.97499999999999998</v>
          </cell>
          <cell r="C1438">
            <v>0.1</v>
          </cell>
        </row>
        <row r="1439">
          <cell r="A1439">
            <v>74045</v>
          </cell>
          <cell r="B1439">
            <v>0.66666666666666663</v>
          </cell>
          <cell r="C1439">
            <v>0</v>
          </cell>
        </row>
        <row r="1440">
          <cell r="A1440">
            <v>74046</v>
          </cell>
          <cell r="B1440">
            <v>0.85000000000000009</v>
          </cell>
          <cell r="C1440">
            <v>0.05</v>
          </cell>
        </row>
        <row r="1441">
          <cell r="A1441">
            <v>74047</v>
          </cell>
          <cell r="B1441">
            <v>0.85</v>
          </cell>
          <cell r="C1441">
            <v>0.05</v>
          </cell>
        </row>
        <row r="1442">
          <cell r="A1442">
            <v>74050</v>
          </cell>
          <cell r="B1442">
            <v>0.85499999999999998</v>
          </cell>
          <cell r="C1442">
            <v>0.05</v>
          </cell>
        </row>
        <row r="1443">
          <cell r="A1443">
            <v>74051</v>
          </cell>
          <cell r="B1443">
            <v>0.92500000000000004</v>
          </cell>
          <cell r="C1443">
            <v>0.1</v>
          </cell>
        </row>
        <row r="1444">
          <cell r="A1444">
            <v>74053</v>
          </cell>
          <cell r="B1444">
            <v>0.85000000000000009</v>
          </cell>
          <cell r="C1444">
            <v>0.05</v>
          </cell>
        </row>
        <row r="1445">
          <cell r="A1445">
            <v>74054</v>
          </cell>
          <cell r="B1445">
            <v>1</v>
          </cell>
          <cell r="C1445">
            <v>0.1</v>
          </cell>
        </row>
        <row r="1446">
          <cell r="A1446">
            <v>74056</v>
          </cell>
          <cell r="B1446">
            <v>0.95</v>
          </cell>
          <cell r="C1446">
            <v>0.1</v>
          </cell>
        </row>
        <row r="1447">
          <cell r="A1447">
            <v>74058</v>
          </cell>
          <cell r="B1447">
            <v>0.99</v>
          </cell>
          <cell r="C1447">
            <v>0.1</v>
          </cell>
        </row>
        <row r="1448">
          <cell r="A1448">
            <v>74060</v>
          </cell>
          <cell r="B1448">
            <v>0.5</v>
          </cell>
          <cell r="C1448">
            <v>0</v>
          </cell>
        </row>
        <row r="1449">
          <cell r="A1449">
            <v>74062</v>
          </cell>
          <cell r="B1449">
            <v>0.90500000000000003</v>
          </cell>
          <cell r="C1449">
            <v>0.1</v>
          </cell>
        </row>
        <row r="1450">
          <cell r="A1450">
            <v>74064</v>
          </cell>
          <cell r="B1450">
            <v>1</v>
          </cell>
          <cell r="C1450">
            <v>0.1</v>
          </cell>
        </row>
        <row r="1451">
          <cell r="A1451">
            <v>74065</v>
          </cell>
          <cell r="B1451">
            <v>0.47499999999999998</v>
          </cell>
          <cell r="C1451">
            <v>0</v>
          </cell>
        </row>
        <row r="1452">
          <cell r="A1452">
            <v>74068</v>
          </cell>
          <cell r="B1452">
            <v>0.875</v>
          </cell>
          <cell r="C1452">
            <v>0.05</v>
          </cell>
        </row>
        <row r="1453">
          <cell r="A1453">
            <v>74069</v>
          </cell>
          <cell r="B1453">
            <v>0.93500000000000005</v>
          </cell>
          <cell r="C1453">
            <v>0.1</v>
          </cell>
        </row>
        <row r="1454">
          <cell r="A1454">
            <v>74070</v>
          </cell>
          <cell r="B1454">
            <v>0.62250000000000005</v>
          </cell>
          <cell r="C1454">
            <v>0</v>
          </cell>
        </row>
        <row r="1455">
          <cell r="A1455">
            <v>74071</v>
          </cell>
          <cell r="B1455">
            <v>1</v>
          </cell>
          <cell r="C1455">
            <v>0.1</v>
          </cell>
        </row>
        <row r="1456">
          <cell r="A1456">
            <v>74073</v>
          </cell>
          <cell r="B1456">
            <v>0.6166666666666667</v>
          </cell>
          <cell r="C1456">
            <v>0</v>
          </cell>
        </row>
        <row r="1457">
          <cell r="A1457">
            <v>74074</v>
          </cell>
          <cell r="B1457">
            <v>0.4</v>
          </cell>
          <cell r="C1457">
            <v>0</v>
          </cell>
        </row>
        <row r="1458">
          <cell r="A1458">
            <v>74077</v>
          </cell>
          <cell r="B1458">
            <v>0.95</v>
          </cell>
          <cell r="C1458">
            <v>0.1</v>
          </cell>
        </row>
        <row r="1459">
          <cell r="A1459">
            <v>74078</v>
          </cell>
          <cell r="B1459">
            <v>0.6</v>
          </cell>
          <cell r="C1459">
            <v>0</v>
          </cell>
        </row>
        <row r="1460">
          <cell r="A1460">
            <v>74080</v>
          </cell>
          <cell r="B1460">
            <v>0.92500000000000004</v>
          </cell>
          <cell r="C1460">
            <v>0.1</v>
          </cell>
        </row>
        <row r="1461">
          <cell r="A1461">
            <v>74081</v>
          </cell>
          <cell r="B1461">
            <v>1</v>
          </cell>
          <cell r="C1461">
            <v>0.1</v>
          </cell>
        </row>
        <row r="1462">
          <cell r="A1462">
            <v>74082</v>
          </cell>
          <cell r="B1462">
            <v>0.875</v>
          </cell>
          <cell r="C1462">
            <v>0.05</v>
          </cell>
        </row>
        <row r="1463">
          <cell r="A1463">
            <v>74083</v>
          </cell>
          <cell r="B1463">
            <v>0.41</v>
          </cell>
          <cell r="C1463">
            <v>0</v>
          </cell>
        </row>
        <row r="1464">
          <cell r="A1464">
            <v>74084</v>
          </cell>
          <cell r="B1464">
            <v>0.95</v>
          </cell>
          <cell r="C1464">
            <v>0.1</v>
          </cell>
        </row>
        <row r="1465">
          <cell r="A1465">
            <v>74085</v>
          </cell>
          <cell r="B1465">
            <v>0.5</v>
          </cell>
          <cell r="C1465">
            <v>0</v>
          </cell>
        </row>
        <row r="1466">
          <cell r="A1466">
            <v>74086</v>
          </cell>
          <cell r="B1466">
            <v>0.78499999999999992</v>
          </cell>
          <cell r="C1466">
            <v>0</v>
          </cell>
        </row>
        <row r="1467">
          <cell r="A1467">
            <v>74087</v>
          </cell>
          <cell r="B1467">
            <v>0.92500000000000004</v>
          </cell>
          <cell r="C1467">
            <v>0.1</v>
          </cell>
        </row>
        <row r="1468">
          <cell r="A1468">
            <v>74088</v>
          </cell>
          <cell r="B1468">
            <v>0.78499999999999992</v>
          </cell>
          <cell r="C1468">
            <v>0</v>
          </cell>
        </row>
        <row r="1469">
          <cell r="A1469">
            <v>74089</v>
          </cell>
          <cell r="B1469">
            <v>0.91</v>
          </cell>
          <cell r="C1469">
            <v>0.1</v>
          </cell>
        </row>
        <row r="1470">
          <cell r="A1470">
            <v>74090</v>
          </cell>
          <cell r="B1470">
            <v>0.91500000000000004</v>
          </cell>
          <cell r="C1470">
            <v>0.1</v>
          </cell>
        </row>
        <row r="1471">
          <cell r="A1471">
            <v>74095</v>
          </cell>
          <cell r="B1471">
            <v>0.92500000000000004</v>
          </cell>
          <cell r="C1471">
            <v>0.1</v>
          </cell>
        </row>
        <row r="1472">
          <cell r="A1472">
            <v>74098</v>
          </cell>
          <cell r="B1472">
            <v>0.5</v>
          </cell>
          <cell r="C1472">
            <v>0</v>
          </cell>
        </row>
        <row r="1473">
          <cell r="A1473">
            <v>74099</v>
          </cell>
          <cell r="B1473">
            <v>0.9</v>
          </cell>
          <cell r="C1473">
            <v>0.1</v>
          </cell>
        </row>
        <row r="1474">
          <cell r="A1474">
            <v>74100</v>
          </cell>
          <cell r="B1474">
            <v>0.79499999999999993</v>
          </cell>
          <cell r="C1474">
            <v>0</v>
          </cell>
        </row>
        <row r="1475">
          <cell r="A1475">
            <v>74101</v>
          </cell>
          <cell r="B1475">
            <v>0.89999999999999991</v>
          </cell>
          <cell r="C1475">
            <v>0.1</v>
          </cell>
        </row>
        <row r="1476">
          <cell r="A1476">
            <v>74103</v>
          </cell>
          <cell r="B1476">
            <v>1</v>
          </cell>
          <cell r="C1476">
            <v>0.1</v>
          </cell>
        </row>
        <row r="1477">
          <cell r="A1477">
            <v>74104</v>
          </cell>
          <cell r="B1477">
            <v>0.875</v>
          </cell>
          <cell r="C1477">
            <v>0.05</v>
          </cell>
        </row>
        <row r="1478">
          <cell r="A1478">
            <v>74105</v>
          </cell>
          <cell r="B1478">
            <v>0.77500000000000002</v>
          </cell>
          <cell r="C1478">
            <v>0</v>
          </cell>
        </row>
        <row r="1479">
          <cell r="A1479">
            <v>74107</v>
          </cell>
          <cell r="B1479">
            <v>0.89999999999999991</v>
          </cell>
          <cell r="C1479">
            <v>0.1</v>
          </cell>
        </row>
        <row r="1480">
          <cell r="A1480">
            <v>74109</v>
          </cell>
          <cell r="B1480">
            <v>0.63666666666666671</v>
          </cell>
          <cell r="C1480">
            <v>0</v>
          </cell>
        </row>
        <row r="1481">
          <cell r="A1481">
            <v>74110</v>
          </cell>
          <cell r="B1481">
            <v>0.85</v>
          </cell>
          <cell r="C1481">
            <v>0.05</v>
          </cell>
        </row>
        <row r="1482">
          <cell r="A1482">
            <v>74115</v>
          </cell>
          <cell r="B1482">
            <v>0.98</v>
          </cell>
          <cell r="C1482">
            <v>0.1</v>
          </cell>
        </row>
        <row r="1483">
          <cell r="A1483">
            <v>74116</v>
          </cell>
          <cell r="B1483">
            <v>0.97499999999999998</v>
          </cell>
          <cell r="C1483">
            <v>0.1</v>
          </cell>
        </row>
        <row r="1484">
          <cell r="A1484">
            <v>74117</v>
          </cell>
          <cell r="B1484">
            <v>0.5</v>
          </cell>
          <cell r="C1484">
            <v>0</v>
          </cell>
        </row>
        <row r="1485">
          <cell r="A1485">
            <v>74119</v>
          </cell>
          <cell r="B1485">
            <v>0.92500000000000004</v>
          </cell>
          <cell r="C1485">
            <v>0.1</v>
          </cell>
        </row>
        <row r="1486">
          <cell r="A1486">
            <v>74120</v>
          </cell>
          <cell r="B1486">
            <v>0.8</v>
          </cell>
          <cell r="C1486">
            <v>0.05</v>
          </cell>
        </row>
        <row r="1487">
          <cell r="A1487">
            <v>74121</v>
          </cell>
          <cell r="B1487">
            <v>1</v>
          </cell>
          <cell r="C1487">
            <v>0.1</v>
          </cell>
        </row>
        <row r="1488">
          <cell r="A1488">
            <v>74122</v>
          </cell>
          <cell r="B1488">
            <v>0.91999999999999993</v>
          </cell>
          <cell r="C1488">
            <v>0.1</v>
          </cell>
        </row>
        <row r="1489">
          <cell r="A1489">
            <v>74123</v>
          </cell>
          <cell r="B1489">
            <v>0.89500000000000002</v>
          </cell>
          <cell r="C1489">
            <v>0.05</v>
          </cell>
        </row>
        <row r="1490">
          <cell r="A1490">
            <v>74125</v>
          </cell>
          <cell r="B1490">
            <v>1</v>
          </cell>
          <cell r="C1490">
            <v>0.1</v>
          </cell>
        </row>
        <row r="1491">
          <cell r="A1491">
            <v>74126</v>
          </cell>
          <cell r="B1491">
            <v>1</v>
          </cell>
          <cell r="C1491">
            <v>0.1</v>
          </cell>
        </row>
        <row r="1492">
          <cell r="A1492">
            <v>74127</v>
          </cell>
          <cell r="B1492">
            <v>0.9</v>
          </cell>
          <cell r="C1492">
            <v>0.1</v>
          </cell>
        </row>
        <row r="1493">
          <cell r="A1493">
            <v>74128</v>
          </cell>
          <cell r="B1493">
            <v>0.8</v>
          </cell>
          <cell r="C1493">
            <v>0.05</v>
          </cell>
        </row>
        <row r="1494">
          <cell r="A1494">
            <v>74132</v>
          </cell>
          <cell r="B1494">
            <v>0.82499999999999996</v>
          </cell>
          <cell r="C1494">
            <v>0.05</v>
          </cell>
        </row>
        <row r="1495">
          <cell r="A1495">
            <v>74134</v>
          </cell>
          <cell r="B1495">
            <v>0.79500000000000004</v>
          </cell>
          <cell r="C1495">
            <v>0</v>
          </cell>
        </row>
        <row r="1496">
          <cell r="A1496">
            <v>74137</v>
          </cell>
          <cell r="B1496">
            <v>0.96</v>
          </cell>
          <cell r="C1496">
            <v>0.1</v>
          </cell>
        </row>
        <row r="1497">
          <cell r="A1497">
            <v>74139</v>
          </cell>
          <cell r="B1497">
            <v>0.47499999999999998</v>
          </cell>
          <cell r="C1497">
            <v>0</v>
          </cell>
        </row>
        <row r="1498">
          <cell r="A1498">
            <v>74141</v>
          </cell>
          <cell r="B1498">
            <v>0.42499999999999999</v>
          </cell>
          <cell r="C1498">
            <v>0</v>
          </cell>
        </row>
        <row r="1499">
          <cell r="A1499">
            <v>74144</v>
          </cell>
          <cell r="B1499">
            <v>0.91</v>
          </cell>
          <cell r="C1499">
            <v>0.1</v>
          </cell>
        </row>
        <row r="1500">
          <cell r="A1500">
            <v>74145</v>
          </cell>
          <cell r="B1500">
            <v>0.87</v>
          </cell>
          <cell r="C1500">
            <v>0.05</v>
          </cell>
        </row>
        <row r="1501">
          <cell r="A1501">
            <v>74148</v>
          </cell>
          <cell r="B1501">
            <v>0.91999999999999993</v>
          </cell>
          <cell r="C1501">
            <v>0.1</v>
          </cell>
        </row>
        <row r="1502">
          <cell r="A1502">
            <v>74150</v>
          </cell>
          <cell r="B1502">
            <v>0.82499999999999996</v>
          </cell>
          <cell r="C1502">
            <v>0.05</v>
          </cell>
        </row>
        <row r="1503">
          <cell r="A1503">
            <v>74152</v>
          </cell>
          <cell r="B1503">
            <v>0.89</v>
          </cell>
          <cell r="C1503">
            <v>0.05</v>
          </cell>
        </row>
        <row r="1504">
          <cell r="A1504">
            <v>74154</v>
          </cell>
          <cell r="B1504">
            <v>0.92500000000000004</v>
          </cell>
          <cell r="C1504">
            <v>0.1</v>
          </cell>
        </row>
        <row r="1505">
          <cell r="A1505">
            <v>74155</v>
          </cell>
          <cell r="B1505">
            <v>0.95</v>
          </cell>
          <cell r="C1505">
            <v>0.1</v>
          </cell>
        </row>
        <row r="1506">
          <cell r="A1506">
            <v>74156</v>
          </cell>
          <cell r="B1506">
            <v>0.6</v>
          </cell>
          <cell r="C1506">
            <v>0</v>
          </cell>
        </row>
        <row r="1507">
          <cell r="A1507">
            <v>74157</v>
          </cell>
          <cell r="B1507">
            <v>1</v>
          </cell>
          <cell r="C1507">
            <v>0.1</v>
          </cell>
        </row>
        <row r="1508">
          <cell r="A1508">
            <v>74158</v>
          </cell>
          <cell r="B1508">
            <v>0.64999999999999991</v>
          </cell>
          <cell r="C1508">
            <v>0</v>
          </cell>
        </row>
        <row r="1509">
          <cell r="A1509">
            <v>74159</v>
          </cell>
          <cell r="B1509">
            <v>0.81499999999999995</v>
          </cell>
          <cell r="C1509">
            <v>0.05</v>
          </cell>
        </row>
        <row r="1510">
          <cell r="A1510">
            <v>74161</v>
          </cell>
          <cell r="B1510">
            <v>0.75</v>
          </cell>
          <cell r="C1510">
            <v>0</v>
          </cell>
        </row>
        <row r="1511">
          <cell r="A1511">
            <v>74164</v>
          </cell>
          <cell r="B1511">
            <v>0.98666666666666669</v>
          </cell>
          <cell r="C1511">
            <v>0.1</v>
          </cell>
        </row>
        <row r="1512">
          <cell r="A1512">
            <v>74166</v>
          </cell>
          <cell r="B1512">
            <v>0.9</v>
          </cell>
          <cell r="C1512">
            <v>0.1</v>
          </cell>
        </row>
        <row r="1513">
          <cell r="A1513">
            <v>74167</v>
          </cell>
          <cell r="B1513">
            <v>0.48</v>
          </cell>
          <cell r="C1513">
            <v>0</v>
          </cell>
        </row>
        <row r="1514">
          <cell r="A1514">
            <v>74169</v>
          </cell>
          <cell r="B1514">
            <v>0.8</v>
          </cell>
          <cell r="C1514">
            <v>0.05</v>
          </cell>
        </row>
        <row r="1515">
          <cell r="A1515">
            <v>74172</v>
          </cell>
          <cell r="B1515">
            <v>0.95</v>
          </cell>
          <cell r="C1515">
            <v>0.1</v>
          </cell>
        </row>
        <row r="1516">
          <cell r="A1516">
            <v>74174</v>
          </cell>
          <cell r="B1516">
            <v>0.75</v>
          </cell>
          <cell r="C1516">
            <v>0</v>
          </cell>
        </row>
        <row r="1517">
          <cell r="A1517">
            <v>74177</v>
          </cell>
          <cell r="B1517">
            <v>0.82499999999999996</v>
          </cell>
          <cell r="C1517">
            <v>0.05</v>
          </cell>
        </row>
        <row r="1518">
          <cell r="A1518">
            <v>74178</v>
          </cell>
          <cell r="B1518">
            <v>0.92500000000000004</v>
          </cell>
          <cell r="C1518">
            <v>0.1</v>
          </cell>
        </row>
        <row r="1519">
          <cell r="A1519">
            <v>74179</v>
          </cell>
          <cell r="B1519">
            <v>0.45</v>
          </cell>
          <cell r="C1519">
            <v>0</v>
          </cell>
        </row>
        <row r="1520">
          <cell r="A1520">
            <v>74180</v>
          </cell>
          <cell r="B1520">
            <v>0.8</v>
          </cell>
          <cell r="C1520">
            <v>0.05</v>
          </cell>
        </row>
        <row r="1521">
          <cell r="A1521">
            <v>74184</v>
          </cell>
          <cell r="B1521">
            <v>0.96500000000000008</v>
          </cell>
          <cell r="C1521">
            <v>0.1</v>
          </cell>
        </row>
        <row r="1522">
          <cell r="A1522">
            <v>74185</v>
          </cell>
          <cell r="B1522">
            <v>0.98</v>
          </cell>
          <cell r="C1522">
            <v>0.1</v>
          </cell>
        </row>
        <row r="1523">
          <cell r="A1523">
            <v>74188</v>
          </cell>
          <cell r="B1523">
            <v>0.875</v>
          </cell>
          <cell r="C1523">
            <v>0.05</v>
          </cell>
        </row>
        <row r="1524">
          <cell r="A1524">
            <v>74190</v>
          </cell>
          <cell r="B1524">
            <v>0.42499999999999999</v>
          </cell>
          <cell r="C1524">
            <v>0</v>
          </cell>
        </row>
        <row r="1525">
          <cell r="A1525">
            <v>74191</v>
          </cell>
          <cell r="B1525">
            <v>0.98</v>
          </cell>
          <cell r="C1525">
            <v>0.1</v>
          </cell>
        </row>
        <row r="1526">
          <cell r="A1526">
            <v>74192</v>
          </cell>
          <cell r="B1526">
            <v>0.75</v>
          </cell>
          <cell r="C1526">
            <v>0</v>
          </cell>
        </row>
        <row r="1527">
          <cell r="A1527">
            <v>74195</v>
          </cell>
          <cell r="B1527">
            <v>1</v>
          </cell>
          <cell r="C1527">
            <v>0.1</v>
          </cell>
        </row>
        <row r="1528">
          <cell r="A1528">
            <v>74197</v>
          </cell>
          <cell r="B1528">
            <v>0.90999999999999992</v>
          </cell>
          <cell r="C1528">
            <v>0.1</v>
          </cell>
        </row>
        <row r="1529">
          <cell r="A1529">
            <v>74198</v>
          </cell>
          <cell r="B1529">
            <v>1</v>
          </cell>
          <cell r="C1529">
            <v>0.1</v>
          </cell>
        </row>
        <row r="1530">
          <cell r="A1530">
            <v>74199</v>
          </cell>
          <cell r="B1530">
            <v>0.97000000000000008</v>
          </cell>
          <cell r="C1530">
            <v>0.1</v>
          </cell>
        </row>
        <row r="1531">
          <cell r="A1531">
            <v>74201</v>
          </cell>
          <cell r="B1531">
            <v>0.47499999999999998</v>
          </cell>
          <cell r="C1531">
            <v>0</v>
          </cell>
        </row>
        <row r="1532">
          <cell r="A1532">
            <v>74203</v>
          </cell>
          <cell r="B1532">
            <v>0.5</v>
          </cell>
          <cell r="C1532">
            <v>0</v>
          </cell>
        </row>
        <row r="1533">
          <cell r="A1533">
            <v>74204</v>
          </cell>
          <cell r="B1533">
            <v>0.95</v>
          </cell>
          <cell r="C1533">
            <v>0.1</v>
          </cell>
        </row>
        <row r="1534">
          <cell r="A1534">
            <v>74205</v>
          </cell>
          <cell r="B1534">
            <v>0.97499999999999998</v>
          </cell>
          <cell r="C1534">
            <v>0.1</v>
          </cell>
        </row>
        <row r="1535">
          <cell r="A1535">
            <v>74207</v>
          </cell>
          <cell r="B1535">
            <v>0.72499999999999998</v>
          </cell>
          <cell r="C1535">
            <v>0</v>
          </cell>
        </row>
        <row r="1536">
          <cell r="A1536">
            <v>74208</v>
          </cell>
          <cell r="B1536">
            <v>0.9</v>
          </cell>
          <cell r="C1536">
            <v>0.1</v>
          </cell>
        </row>
        <row r="1537">
          <cell r="A1537">
            <v>74209</v>
          </cell>
          <cell r="B1537">
            <v>1</v>
          </cell>
          <cell r="C1537">
            <v>0.1</v>
          </cell>
        </row>
        <row r="1538">
          <cell r="A1538">
            <v>74210</v>
          </cell>
          <cell r="B1538">
            <v>0.98499999999999999</v>
          </cell>
          <cell r="C1538">
            <v>0.1</v>
          </cell>
        </row>
        <row r="1539">
          <cell r="A1539">
            <v>74211</v>
          </cell>
          <cell r="B1539">
            <v>0.89999999999999991</v>
          </cell>
          <cell r="C1539">
            <v>0.1</v>
          </cell>
        </row>
        <row r="1540">
          <cell r="A1540">
            <v>74212</v>
          </cell>
          <cell r="B1540">
            <v>0.875</v>
          </cell>
          <cell r="C1540">
            <v>0.05</v>
          </cell>
        </row>
        <row r="1541">
          <cell r="A1541">
            <v>74214</v>
          </cell>
          <cell r="B1541">
            <v>1</v>
          </cell>
          <cell r="C1541">
            <v>0.1</v>
          </cell>
        </row>
        <row r="1542">
          <cell r="A1542">
            <v>74215</v>
          </cell>
          <cell r="B1542">
            <v>0.92500000000000004</v>
          </cell>
          <cell r="C1542">
            <v>0.1</v>
          </cell>
        </row>
        <row r="1543">
          <cell r="A1543">
            <v>74216</v>
          </cell>
          <cell r="B1543">
            <v>0.92500000000000004</v>
          </cell>
          <cell r="C1543">
            <v>0.1</v>
          </cell>
        </row>
        <row r="1544">
          <cell r="A1544">
            <v>74217</v>
          </cell>
          <cell r="B1544">
            <v>0.85</v>
          </cell>
          <cell r="C1544">
            <v>0.05</v>
          </cell>
        </row>
        <row r="1545">
          <cell r="A1545">
            <v>74221</v>
          </cell>
          <cell r="B1545">
            <v>0.89999999999999991</v>
          </cell>
          <cell r="C1545">
            <v>0.1</v>
          </cell>
        </row>
        <row r="1546">
          <cell r="A1546">
            <v>74226</v>
          </cell>
          <cell r="B1546">
            <v>0.9</v>
          </cell>
          <cell r="C1546">
            <v>0.1</v>
          </cell>
        </row>
        <row r="1547">
          <cell r="A1547">
            <v>74229</v>
          </cell>
          <cell r="B1547">
            <v>0.76</v>
          </cell>
          <cell r="C1547">
            <v>0</v>
          </cell>
        </row>
        <row r="1548">
          <cell r="A1548">
            <v>74231</v>
          </cell>
          <cell r="B1548">
            <v>0.77500000000000002</v>
          </cell>
          <cell r="C1548">
            <v>0</v>
          </cell>
        </row>
        <row r="1549">
          <cell r="A1549">
            <v>74232</v>
          </cell>
          <cell r="B1549">
            <v>1</v>
          </cell>
          <cell r="C1549">
            <v>0.1</v>
          </cell>
        </row>
        <row r="1550">
          <cell r="A1550">
            <v>74234</v>
          </cell>
          <cell r="B1550">
            <v>0.91500000000000004</v>
          </cell>
          <cell r="C1550">
            <v>0.1</v>
          </cell>
        </row>
        <row r="1551">
          <cell r="A1551">
            <v>74237</v>
          </cell>
          <cell r="B1551">
            <v>0.41</v>
          </cell>
          <cell r="C1551">
            <v>0</v>
          </cell>
        </row>
        <row r="1552">
          <cell r="A1552">
            <v>74238</v>
          </cell>
          <cell r="B1552">
            <v>0.45</v>
          </cell>
          <cell r="C1552">
            <v>0</v>
          </cell>
        </row>
        <row r="1553">
          <cell r="A1553">
            <v>74240</v>
          </cell>
          <cell r="B1553">
            <v>0.875</v>
          </cell>
          <cell r="C1553">
            <v>0.05</v>
          </cell>
        </row>
        <row r="1554">
          <cell r="A1554">
            <v>74241</v>
          </cell>
          <cell r="B1554">
            <v>1</v>
          </cell>
          <cell r="C1554">
            <v>0.1</v>
          </cell>
        </row>
        <row r="1555">
          <cell r="A1555">
            <v>74242</v>
          </cell>
          <cell r="B1555">
            <v>0.98</v>
          </cell>
          <cell r="C1555">
            <v>0.1</v>
          </cell>
        </row>
        <row r="1556">
          <cell r="A1556">
            <v>74243</v>
          </cell>
          <cell r="B1556">
            <v>0.78333333333333321</v>
          </cell>
          <cell r="C1556">
            <v>0</v>
          </cell>
        </row>
        <row r="1557">
          <cell r="A1557">
            <v>74245</v>
          </cell>
          <cell r="B1557">
            <v>0.8</v>
          </cell>
          <cell r="C1557">
            <v>0.05</v>
          </cell>
        </row>
        <row r="1558">
          <cell r="A1558">
            <v>74246</v>
          </cell>
          <cell r="B1558">
            <v>0.97499999999999998</v>
          </cell>
          <cell r="C1558">
            <v>0.1</v>
          </cell>
        </row>
        <row r="1559">
          <cell r="A1559">
            <v>74247</v>
          </cell>
          <cell r="B1559">
            <v>0.5</v>
          </cell>
          <cell r="C1559">
            <v>0</v>
          </cell>
        </row>
        <row r="1560">
          <cell r="A1560">
            <v>74248</v>
          </cell>
          <cell r="B1560">
            <v>0.85499999999999998</v>
          </cell>
          <cell r="C1560">
            <v>0.05</v>
          </cell>
        </row>
        <row r="1561">
          <cell r="A1561">
            <v>74249</v>
          </cell>
          <cell r="B1561">
            <v>0.89999999999999991</v>
          </cell>
          <cell r="C1561">
            <v>0.1</v>
          </cell>
        </row>
        <row r="1562">
          <cell r="A1562">
            <v>74250</v>
          </cell>
          <cell r="B1562">
            <v>0.9</v>
          </cell>
          <cell r="C1562">
            <v>0.1</v>
          </cell>
        </row>
        <row r="1563">
          <cell r="A1563">
            <v>75101</v>
          </cell>
          <cell r="B1563">
            <v>0.88</v>
          </cell>
          <cell r="C1563">
            <v>0.05</v>
          </cell>
        </row>
        <row r="1564">
          <cell r="A1564">
            <v>75102</v>
          </cell>
          <cell r="B1564">
            <v>1</v>
          </cell>
          <cell r="C1564">
            <v>0.1</v>
          </cell>
        </row>
        <row r="1565">
          <cell r="A1565">
            <v>75105</v>
          </cell>
          <cell r="B1565">
            <v>0.91666666666666663</v>
          </cell>
          <cell r="C1565">
            <v>0.1</v>
          </cell>
        </row>
        <row r="1566">
          <cell r="A1566">
            <v>75106</v>
          </cell>
          <cell r="B1566">
            <v>1</v>
          </cell>
          <cell r="C1566">
            <v>0.1</v>
          </cell>
        </row>
        <row r="1567">
          <cell r="A1567">
            <v>75108</v>
          </cell>
          <cell r="B1567">
            <v>0.3</v>
          </cell>
          <cell r="C1567">
            <v>0</v>
          </cell>
        </row>
        <row r="1568">
          <cell r="A1568">
            <v>75109</v>
          </cell>
          <cell r="B1568">
            <v>1</v>
          </cell>
          <cell r="C1568">
            <v>0.1</v>
          </cell>
        </row>
        <row r="1569">
          <cell r="A1569">
            <v>75111</v>
          </cell>
          <cell r="B1569">
            <v>0.5</v>
          </cell>
          <cell r="C1569">
            <v>0</v>
          </cell>
        </row>
        <row r="1570">
          <cell r="A1570">
            <v>75112</v>
          </cell>
          <cell r="B1570">
            <v>0.92500000000000004</v>
          </cell>
          <cell r="C1570">
            <v>0.1</v>
          </cell>
        </row>
        <row r="1571">
          <cell r="A1571">
            <v>75114</v>
          </cell>
          <cell r="B1571">
            <v>0.47499999999999998</v>
          </cell>
          <cell r="C1571">
            <v>0</v>
          </cell>
        </row>
        <row r="1572">
          <cell r="A1572">
            <v>75115</v>
          </cell>
          <cell r="B1572">
            <v>1</v>
          </cell>
          <cell r="C1572">
            <v>0.1</v>
          </cell>
        </row>
        <row r="1573">
          <cell r="A1573">
            <v>75116</v>
          </cell>
          <cell r="B1573">
            <v>1</v>
          </cell>
          <cell r="C1573">
            <v>0.1</v>
          </cell>
        </row>
        <row r="1574">
          <cell r="A1574">
            <v>75117</v>
          </cell>
          <cell r="B1574">
            <v>0.82499999999999996</v>
          </cell>
          <cell r="C1574">
            <v>0.05</v>
          </cell>
        </row>
        <row r="1575">
          <cell r="A1575">
            <v>75118</v>
          </cell>
          <cell r="B1575">
            <v>0.89999999999999991</v>
          </cell>
          <cell r="C1575">
            <v>0.1</v>
          </cell>
        </row>
        <row r="1576">
          <cell r="A1576">
            <v>75131</v>
          </cell>
          <cell r="B1576">
            <v>0.93333333333333324</v>
          </cell>
          <cell r="C1576">
            <v>0.1</v>
          </cell>
        </row>
        <row r="1577">
          <cell r="A1577">
            <v>75132</v>
          </cell>
          <cell r="B1577">
            <v>0.5</v>
          </cell>
          <cell r="C1577">
            <v>0</v>
          </cell>
        </row>
        <row r="1578">
          <cell r="A1578">
            <v>75133</v>
          </cell>
          <cell r="B1578">
            <v>0.98</v>
          </cell>
          <cell r="C1578">
            <v>0.1</v>
          </cell>
        </row>
        <row r="1579">
          <cell r="A1579">
            <v>75137</v>
          </cell>
          <cell r="B1579">
            <v>1</v>
          </cell>
          <cell r="C1579">
            <v>0.1</v>
          </cell>
        </row>
        <row r="1580">
          <cell r="A1580">
            <v>75138</v>
          </cell>
          <cell r="B1580">
            <v>1</v>
          </cell>
          <cell r="C1580">
            <v>0.1</v>
          </cell>
        </row>
        <row r="1581">
          <cell r="A1581">
            <v>75140</v>
          </cell>
          <cell r="B1581">
            <v>1</v>
          </cell>
          <cell r="C1581">
            <v>0.1</v>
          </cell>
        </row>
        <row r="1582">
          <cell r="A1582">
            <v>75141</v>
          </cell>
          <cell r="B1582">
            <v>0.77500000000000002</v>
          </cell>
          <cell r="C1582">
            <v>0</v>
          </cell>
        </row>
        <row r="1583">
          <cell r="A1583">
            <v>75142</v>
          </cell>
          <cell r="B1583">
            <v>0.84000000000000019</v>
          </cell>
          <cell r="C1583">
            <v>0.05</v>
          </cell>
        </row>
        <row r="1584">
          <cell r="A1584">
            <v>75166</v>
          </cell>
          <cell r="B1584">
            <v>0</v>
          </cell>
          <cell r="C1584">
            <v>0</v>
          </cell>
        </row>
        <row r="1585">
          <cell r="A1585">
            <v>75167</v>
          </cell>
          <cell r="B1585">
            <v>0.875</v>
          </cell>
          <cell r="C1585">
            <v>0.05</v>
          </cell>
        </row>
        <row r="1586">
          <cell r="A1586">
            <v>75169</v>
          </cell>
          <cell r="B1586">
            <v>0.82499999999999996</v>
          </cell>
          <cell r="C1586">
            <v>0.05</v>
          </cell>
        </row>
        <row r="1587">
          <cell r="A1587">
            <v>78000</v>
          </cell>
          <cell r="B1587">
            <v>1</v>
          </cell>
          <cell r="C1587">
            <v>0.1</v>
          </cell>
        </row>
        <row r="1588">
          <cell r="A1588">
            <v>78003</v>
          </cell>
          <cell r="B1588">
            <v>0.92500000000000004</v>
          </cell>
          <cell r="C1588">
            <v>0.1</v>
          </cell>
        </row>
        <row r="1589">
          <cell r="A1589">
            <v>78004</v>
          </cell>
          <cell r="B1589">
            <v>0.93333333333333324</v>
          </cell>
          <cell r="C1589">
            <v>0.1</v>
          </cell>
        </row>
        <row r="1590">
          <cell r="A1590">
            <v>78005</v>
          </cell>
          <cell r="B1590">
            <v>0.8666666666666667</v>
          </cell>
          <cell r="C1590">
            <v>0.05</v>
          </cell>
        </row>
        <row r="1591">
          <cell r="A1591">
            <v>78006</v>
          </cell>
          <cell r="B1591">
            <v>0.875</v>
          </cell>
          <cell r="C1591">
            <v>0.05</v>
          </cell>
        </row>
        <row r="1592">
          <cell r="A1592">
            <v>78008</v>
          </cell>
          <cell r="B1592">
            <v>0.50666666666666671</v>
          </cell>
          <cell r="C1592">
            <v>0</v>
          </cell>
        </row>
        <row r="1593">
          <cell r="A1593">
            <v>78009</v>
          </cell>
          <cell r="B1593">
            <v>0.92500000000000004</v>
          </cell>
          <cell r="C1593">
            <v>0.1</v>
          </cell>
        </row>
        <row r="1594">
          <cell r="A1594">
            <v>78010</v>
          </cell>
          <cell r="B1594">
            <v>1</v>
          </cell>
          <cell r="C1594">
            <v>0.1</v>
          </cell>
        </row>
        <row r="1595">
          <cell r="A1595">
            <v>78011</v>
          </cell>
          <cell r="B1595">
            <v>0.91500000000000004</v>
          </cell>
          <cell r="C1595">
            <v>0.1</v>
          </cell>
        </row>
        <row r="1596">
          <cell r="A1596">
            <v>78012</v>
          </cell>
          <cell r="B1596">
            <v>0.97499999999999998</v>
          </cell>
          <cell r="C1596">
            <v>0.1</v>
          </cell>
        </row>
        <row r="1597">
          <cell r="A1597">
            <v>78013</v>
          </cell>
          <cell r="B1597">
            <v>0</v>
          </cell>
          <cell r="C1597">
            <v>0</v>
          </cell>
        </row>
        <row r="1598">
          <cell r="A1598">
            <v>78014</v>
          </cell>
          <cell r="B1598">
            <v>0.92</v>
          </cell>
          <cell r="C1598">
            <v>0.1</v>
          </cell>
        </row>
        <row r="1599">
          <cell r="A1599">
            <v>78015</v>
          </cell>
          <cell r="B1599">
            <v>0.9</v>
          </cell>
          <cell r="C1599">
            <v>0.1</v>
          </cell>
        </row>
        <row r="1600">
          <cell r="A1600">
            <v>78016</v>
          </cell>
          <cell r="B1600">
            <v>0.93500000000000005</v>
          </cell>
          <cell r="C1600">
            <v>0.1</v>
          </cell>
        </row>
        <row r="1601">
          <cell r="A1601">
            <v>78018</v>
          </cell>
          <cell r="B1601">
            <v>1</v>
          </cell>
          <cell r="C1601">
            <v>0.1</v>
          </cell>
        </row>
        <row r="1602">
          <cell r="A1602">
            <v>78019</v>
          </cell>
          <cell r="B1602">
            <v>0.92500000000000004</v>
          </cell>
          <cell r="C1602">
            <v>0.1</v>
          </cell>
        </row>
        <row r="1603">
          <cell r="A1603">
            <v>78020</v>
          </cell>
          <cell r="B1603">
            <v>0.77500000000000002</v>
          </cell>
          <cell r="C1603">
            <v>0</v>
          </cell>
        </row>
        <row r="1604">
          <cell r="A1604">
            <v>78021</v>
          </cell>
          <cell r="B1604">
            <v>0.82499999999999996</v>
          </cell>
          <cell r="C1604">
            <v>0.05</v>
          </cell>
        </row>
        <row r="1605">
          <cell r="A1605">
            <v>78028</v>
          </cell>
          <cell r="B1605">
            <v>0.82499999999999996</v>
          </cell>
          <cell r="C1605">
            <v>0.05</v>
          </cell>
        </row>
        <row r="1606">
          <cell r="A1606">
            <v>78029</v>
          </cell>
          <cell r="B1606">
            <v>0.97499999999999998</v>
          </cell>
          <cell r="C1606">
            <v>0.1</v>
          </cell>
        </row>
        <row r="1607">
          <cell r="A1607">
            <v>78035</v>
          </cell>
          <cell r="B1607">
            <v>0.89999999999999991</v>
          </cell>
          <cell r="C1607">
            <v>0.1</v>
          </cell>
        </row>
        <row r="1608">
          <cell r="A1608">
            <v>78036</v>
          </cell>
          <cell r="B1608">
            <v>0.77</v>
          </cell>
          <cell r="C1608">
            <v>0</v>
          </cell>
        </row>
        <row r="1609">
          <cell r="A1609">
            <v>78038</v>
          </cell>
          <cell r="B1609">
            <v>0.9</v>
          </cell>
          <cell r="C1609">
            <v>0.1</v>
          </cell>
        </row>
        <row r="1610">
          <cell r="A1610">
            <v>78039</v>
          </cell>
          <cell r="B1610">
            <v>0.8</v>
          </cell>
          <cell r="C1610">
            <v>0.05</v>
          </cell>
        </row>
        <row r="1611">
          <cell r="A1611">
            <v>78040</v>
          </cell>
          <cell r="B1611">
            <v>0.80500000000000005</v>
          </cell>
          <cell r="C1611">
            <v>0.05</v>
          </cell>
        </row>
        <row r="1612">
          <cell r="A1612">
            <v>78041</v>
          </cell>
          <cell r="B1612">
            <v>0.9</v>
          </cell>
          <cell r="C1612">
            <v>0.1</v>
          </cell>
        </row>
        <row r="1613">
          <cell r="A1613">
            <v>78042</v>
          </cell>
          <cell r="B1613">
            <v>0.875</v>
          </cell>
          <cell r="C1613">
            <v>0.05</v>
          </cell>
        </row>
        <row r="1614">
          <cell r="A1614">
            <v>78043</v>
          </cell>
          <cell r="B1614">
            <v>0.3</v>
          </cell>
          <cell r="C1614">
            <v>0</v>
          </cell>
        </row>
        <row r="1615">
          <cell r="A1615">
            <v>78044</v>
          </cell>
          <cell r="B1615">
            <v>0.95500000000000007</v>
          </cell>
          <cell r="C1615">
            <v>0.1</v>
          </cell>
        </row>
        <row r="1616">
          <cell r="A1616">
            <v>78047</v>
          </cell>
          <cell r="B1616">
            <v>0.92500000000000004</v>
          </cell>
          <cell r="C1616">
            <v>0.1</v>
          </cell>
        </row>
        <row r="1617">
          <cell r="A1617">
            <v>78048</v>
          </cell>
          <cell r="B1617">
            <v>0.69500000000000006</v>
          </cell>
          <cell r="C1617">
            <v>0</v>
          </cell>
        </row>
        <row r="1618">
          <cell r="A1618">
            <v>78050</v>
          </cell>
          <cell r="B1618">
            <v>0.89</v>
          </cell>
          <cell r="C1618">
            <v>0.05</v>
          </cell>
        </row>
        <row r="1619">
          <cell r="A1619">
            <v>78051</v>
          </cell>
          <cell r="B1619">
            <v>0.8</v>
          </cell>
          <cell r="C1619">
            <v>0.05</v>
          </cell>
        </row>
        <row r="1620">
          <cell r="A1620">
            <v>78052</v>
          </cell>
          <cell r="B1620">
            <v>0</v>
          </cell>
          <cell r="C1620">
            <v>0</v>
          </cell>
        </row>
        <row r="1621">
          <cell r="A1621">
            <v>78054</v>
          </cell>
          <cell r="B1621">
            <v>0.95500000000000007</v>
          </cell>
          <cell r="C1621">
            <v>0.1</v>
          </cell>
        </row>
        <row r="1622">
          <cell r="A1622">
            <v>78055</v>
          </cell>
          <cell r="B1622">
            <v>0.95</v>
          </cell>
          <cell r="C1622">
            <v>0.1</v>
          </cell>
        </row>
        <row r="1623">
          <cell r="A1623">
            <v>78058</v>
          </cell>
          <cell r="B1623">
            <v>0.82499999999999996</v>
          </cell>
          <cell r="C1623">
            <v>0.05</v>
          </cell>
        </row>
        <row r="1624">
          <cell r="A1624">
            <v>78060</v>
          </cell>
          <cell r="B1624">
            <v>0.4</v>
          </cell>
          <cell r="C1624">
            <v>0</v>
          </cell>
        </row>
        <row r="1625">
          <cell r="A1625">
            <v>78063</v>
          </cell>
          <cell r="B1625">
            <v>0.96</v>
          </cell>
          <cell r="C1625">
            <v>0.1</v>
          </cell>
        </row>
        <row r="1626">
          <cell r="A1626">
            <v>78066</v>
          </cell>
          <cell r="B1626">
            <v>0.85</v>
          </cell>
          <cell r="C1626">
            <v>0.05</v>
          </cell>
        </row>
        <row r="1627">
          <cell r="A1627">
            <v>78067</v>
          </cell>
          <cell r="B1627">
            <v>0.5</v>
          </cell>
          <cell r="C1627">
            <v>0</v>
          </cell>
        </row>
        <row r="1628">
          <cell r="A1628">
            <v>78068</v>
          </cell>
          <cell r="B1628">
            <v>0.76</v>
          </cell>
          <cell r="C1628">
            <v>0</v>
          </cell>
        </row>
        <row r="1629">
          <cell r="A1629">
            <v>78069</v>
          </cell>
          <cell r="B1629">
            <v>0.875</v>
          </cell>
          <cell r="C1629">
            <v>0.05</v>
          </cell>
        </row>
        <row r="1630">
          <cell r="A1630">
            <v>78070</v>
          </cell>
          <cell r="B1630">
            <v>0.96</v>
          </cell>
          <cell r="C1630">
            <v>0.1</v>
          </cell>
        </row>
        <row r="1631">
          <cell r="A1631">
            <v>78072</v>
          </cell>
          <cell r="B1631">
            <v>0.97499999999999998</v>
          </cell>
          <cell r="C1631">
            <v>0.1</v>
          </cell>
        </row>
        <row r="1632">
          <cell r="A1632">
            <v>78080</v>
          </cell>
          <cell r="B1632">
            <v>0.4</v>
          </cell>
          <cell r="C1632">
            <v>0</v>
          </cell>
        </row>
        <row r="1633">
          <cell r="A1633">
            <v>78081</v>
          </cell>
          <cell r="B1633">
            <v>0.88500000000000001</v>
          </cell>
          <cell r="C1633">
            <v>0.05</v>
          </cell>
        </row>
        <row r="1634">
          <cell r="A1634">
            <v>78083</v>
          </cell>
          <cell r="B1634">
            <v>0.9</v>
          </cell>
          <cell r="C1634">
            <v>0.1</v>
          </cell>
        </row>
        <row r="1635">
          <cell r="A1635">
            <v>78084</v>
          </cell>
          <cell r="B1635">
            <v>0.90999999999999992</v>
          </cell>
          <cell r="C1635">
            <v>0.1</v>
          </cell>
        </row>
        <row r="1636">
          <cell r="A1636">
            <v>78087</v>
          </cell>
          <cell r="B1636">
            <v>0.99</v>
          </cell>
          <cell r="C1636">
            <v>0.1</v>
          </cell>
        </row>
        <row r="1637">
          <cell r="A1637">
            <v>78088</v>
          </cell>
          <cell r="B1637">
            <v>0.92500000000000004</v>
          </cell>
          <cell r="C1637">
            <v>0.1</v>
          </cell>
        </row>
        <row r="1638">
          <cell r="A1638">
            <v>78090</v>
          </cell>
          <cell r="B1638">
            <v>0.88500000000000001</v>
          </cell>
          <cell r="C1638">
            <v>0.05</v>
          </cell>
        </row>
        <row r="1639">
          <cell r="A1639">
            <v>78092</v>
          </cell>
          <cell r="B1639">
            <v>0.85499999999999998</v>
          </cell>
          <cell r="C1639">
            <v>0.05</v>
          </cell>
        </row>
        <row r="1640">
          <cell r="A1640">
            <v>78094</v>
          </cell>
          <cell r="B1640">
            <v>0.85</v>
          </cell>
          <cell r="C1640">
            <v>0.05</v>
          </cell>
        </row>
        <row r="1641">
          <cell r="A1641">
            <v>78102</v>
          </cell>
          <cell r="B1641">
            <v>0.91</v>
          </cell>
          <cell r="C1641">
            <v>0.1</v>
          </cell>
        </row>
        <row r="1642">
          <cell r="A1642">
            <v>78112</v>
          </cell>
          <cell r="B1642">
            <v>0.7</v>
          </cell>
          <cell r="C1642">
            <v>0</v>
          </cell>
        </row>
        <row r="1643">
          <cell r="A1643">
            <v>78113</v>
          </cell>
          <cell r="B1643">
            <v>1</v>
          </cell>
          <cell r="C1643">
            <v>0.1</v>
          </cell>
        </row>
        <row r="1644">
          <cell r="A1644">
            <v>78114</v>
          </cell>
          <cell r="B1644">
            <v>1</v>
          </cell>
          <cell r="C1644">
            <v>0.1</v>
          </cell>
        </row>
        <row r="1645">
          <cell r="A1645">
            <v>78115</v>
          </cell>
          <cell r="B1645">
            <v>1</v>
          </cell>
          <cell r="C1645">
            <v>0.1</v>
          </cell>
        </row>
        <row r="1646">
          <cell r="A1646">
            <v>78116</v>
          </cell>
          <cell r="B1646">
            <v>0.96</v>
          </cell>
          <cell r="C1646">
            <v>0.1</v>
          </cell>
        </row>
        <row r="1647">
          <cell r="A1647">
            <v>78118</v>
          </cell>
          <cell r="B1647">
            <v>0.95</v>
          </cell>
          <cell r="C1647">
            <v>0.1</v>
          </cell>
        </row>
        <row r="1648">
          <cell r="A1648">
            <v>78119</v>
          </cell>
          <cell r="B1648">
            <v>0.75</v>
          </cell>
          <cell r="C1648">
            <v>0</v>
          </cell>
        </row>
        <row r="1649">
          <cell r="A1649">
            <v>78120</v>
          </cell>
          <cell r="B1649">
            <v>0.75</v>
          </cell>
          <cell r="C1649">
            <v>0</v>
          </cell>
        </row>
        <row r="1650">
          <cell r="A1650">
            <v>78121</v>
          </cell>
          <cell r="B1650">
            <v>0.89999999999999991</v>
          </cell>
          <cell r="C1650">
            <v>0.1</v>
          </cell>
        </row>
        <row r="1651">
          <cell r="A1651">
            <v>78122</v>
          </cell>
          <cell r="B1651">
            <v>0</v>
          </cell>
          <cell r="C1651">
            <v>0</v>
          </cell>
        </row>
        <row r="1652">
          <cell r="A1652">
            <v>78123</v>
          </cell>
          <cell r="B1652">
            <v>0.8</v>
          </cell>
          <cell r="C1652">
            <v>0.05</v>
          </cell>
        </row>
        <row r="1653">
          <cell r="A1653">
            <v>78124</v>
          </cell>
          <cell r="B1653">
            <v>0.75</v>
          </cell>
          <cell r="C1653">
            <v>0</v>
          </cell>
        </row>
        <row r="1654">
          <cell r="A1654">
            <v>78125</v>
          </cell>
          <cell r="B1654">
            <v>0</v>
          </cell>
          <cell r="C1654">
            <v>0</v>
          </cell>
        </row>
        <row r="1655">
          <cell r="A1655">
            <v>78126</v>
          </cell>
          <cell r="B1655">
            <v>0.65</v>
          </cell>
          <cell r="C1655">
            <v>0</v>
          </cell>
        </row>
        <row r="1656">
          <cell r="A1656">
            <v>78127</v>
          </cell>
          <cell r="B1656">
            <v>0.8</v>
          </cell>
          <cell r="C1656">
            <v>0.05</v>
          </cell>
        </row>
        <row r="1657">
          <cell r="A1657">
            <v>78130</v>
          </cell>
          <cell r="B1657">
            <v>0.9</v>
          </cell>
          <cell r="C1657">
            <v>0.1</v>
          </cell>
        </row>
        <row r="1658">
          <cell r="A1658">
            <v>78131</v>
          </cell>
          <cell r="B1658">
            <v>0.8</v>
          </cell>
          <cell r="C1658">
            <v>0.05</v>
          </cell>
        </row>
        <row r="1659">
          <cell r="A1659">
            <v>78132</v>
          </cell>
          <cell r="B1659">
            <v>0.95</v>
          </cell>
          <cell r="C1659">
            <v>0.1</v>
          </cell>
        </row>
        <row r="1660">
          <cell r="A1660">
            <v>78133</v>
          </cell>
          <cell r="B1660">
            <v>0.85</v>
          </cell>
          <cell r="C1660">
            <v>0.05</v>
          </cell>
        </row>
        <row r="1661">
          <cell r="A1661">
            <v>78134</v>
          </cell>
          <cell r="B1661">
            <v>0.92500000000000004</v>
          </cell>
          <cell r="C1661">
            <v>0.1</v>
          </cell>
        </row>
        <row r="1662">
          <cell r="A1662">
            <v>78135</v>
          </cell>
          <cell r="B1662">
            <v>0.92500000000000004</v>
          </cell>
          <cell r="C1662">
            <v>0.1</v>
          </cell>
        </row>
        <row r="1663">
          <cell r="A1663">
            <v>78136</v>
          </cell>
          <cell r="B1663">
            <v>0.4</v>
          </cell>
          <cell r="C1663">
            <v>0</v>
          </cell>
        </row>
        <row r="1664">
          <cell r="A1664">
            <v>78137</v>
          </cell>
          <cell r="B1664">
            <v>0.92500000000000004</v>
          </cell>
          <cell r="C1664">
            <v>0.1</v>
          </cell>
        </row>
        <row r="1665">
          <cell r="A1665">
            <v>78139</v>
          </cell>
          <cell r="B1665">
            <v>1</v>
          </cell>
          <cell r="C1665">
            <v>0.1</v>
          </cell>
        </row>
        <row r="1666">
          <cell r="A1666">
            <v>78140</v>
          </cell>
          <cell r="B1666">
            <v>0.3</v>
          </cell>
          <cell r="C1666">
            <v>0</v>
          </cell>
        </row>
        <row r="1667">
          <cell r="A1667">
            <v>78141</v>
          </cell>
          <cell r="B1667">
            <v>0.89500000000000002</v>
          </cell>
          <cell r="C1667">
            <v>0.05</v>
          </cell>
        </row>
        <row r="1668">
          <cell r="A1668">
            <v>78142</v>
          </cell>
          <cell r="B1668">
            <v>0.77500000000000002</v>
          </cell>
          <cell r="C1668">
            <v>0</v>
          </cell>
        </row>
        <row r="1669">
          <cell r="A1669">
            <v>78143</v>
          </cell>
          <cell r="B1669">
            <v>0.875</v>
          </cell>
          <cell r="C1669">
            <v>0.05</v>
          </cell>
        </row>
        <row r="1670">
          <cell r="A1670">
            <v>78145</v>
          </cell>
          <cell r="B1670">
            <v>0.98</v>
          </cell>
          <cell r="C1670">
            <v>0.1</v>
          </cell>
        </row>
        <row r="1671">
          <cell r="A1671">
            <v>78146</v>
          </cell>
          <cell r="B1671">
            <v>0.77500000000000002</v>
          </cell>
          <cell r="C1671">
            <v>0</v>
          </cell>
        </row>
        <row r="1672">
          <cell r="A1672">
            <v>78147</v>
          </cell>
          <cell r="B1672">
            <v>0.5</v>
          </cell>
          <cell r="C1672">
            <v>0</v>
          </cell>
        </row>
        <row r="1673">
          <cell r="A1673">
            <v>78148</v>
          </cell>
          <cell r="B1673">
            <v>0.82499999999999996</v>
          </cell>
          <cell r="C1673">
            <v>0.05</v>
          </cell>
        </row>
        <row r="1674">
          <cell r="A1674">
            <v>78149</v>
          </cell>
          <cell r="B1674">
            <v>0.35</v>
          </cell>
          <cell r="C1674">
            <v>0</v>
          </cell>
        </row>
        <row r="1675">
          <cell r="A1675">
            <v>78150</v>
          </cell>
          <cell r="B1675">
            <v>0.4</v>
          </cell>
          <cell r="C1675">
            <v>0</v>
          </cell>
        </row>
        <row r="1676">
          <cell r="A1676">
            <v>78151</v>
          </cell>
          <cell r="B1676">
            <v>1</v>
          </cell>
          <cell r="C1676">
            <v>0.1</v>
          </cell>
        </row>
        <row r="1677">
          <cell r="A1677">
            <v>78152</v>
          </cell>
          <cell r="B1677">
            <v>1</v>
          </cell>
          <cell r="C1677">
            <v>0.1</v>
          </cell>
        </row>
        <row r="1678">
          <cell r="A1678">
            <v>78154</v>
          </cell>
          <cell r="B1678">
            <v>0.875</v>
          </cell>
          <cell r="C1678">
            <v>0.05</v>
          </cell>
        </row>
        <row r="1679">
          <cell r="A1679">
            <v>78155</v>
          </cell>
          <cell r="B1679">
            <v>0.77500000000000002</v>
          </cell>
          <cell r="C1679">
            <v>0</v>
          </cell>
        </row>
        <row r="1680">
          <cell r="A1680">
            <v>78157</v>
          </cell>
          <cell r="B1680">
            <v>0.6</v>
          </cell>
          <cell r="C1680">
            <v>0</v>
          </cell>
        </row>
        <row r="1681">
          <cell r="A1681">
            <v>78159</v>
          </cell>
          <cell r="B1681">
            <v>0.42499999999999999</v>
          </cell>
          <cell r="C1681">
            <v>0</v>
          </cell>
        </row>
        <row r="1682">
          <cell r="A1682">
            <v>78160</v>
          </cell>
          <cell r="B1682">
            <v>0.5</v>
          </cell>
          <cell r="C1682">
            <v>0</v>
          </cell>
        </row>
        <row r="1683">
          <cell r="A1683">
            <v>78161</v>
          </cell>
          <cell r="B1683">
            <v>1</v>
          </cell>
          <cell r="C1683">
            <v>0.1</v>
          </cell>
        </row>
        <row r="1684">
          <cell r="A1684">
            <v>78162</v>
          </cell>
          <cell r="B1684">
            <v>0.86499999999999999</v>
          </cell>
          <cell r="C1684">
            <v>0.05</v>
          </cell>
        </row>
        <row r="1685">
          <cell r="A1685">
            <v>78164</v>
          </cell>
          <cell r="B1685">
            <v>0.79</v>
          </cell>
          <cell r="C1685">
            <v>0</v>
          </cell>
        </row>
        <row r="1686">
          <cell r="A1686">
            <v>78165</v>
          </cell>
          <cell r="B1686">
            <v>0.97499999999999998</v>
          </cell>
          <cell r="C1686">
            <v>0.1</v>
          </cell>
        </row>
        <row r="1687">
          <cell r="A1687">
            <v>78166</v>
          </cell>
          <cell r="B1687">
            <v>1</v>
          </cell>
          <cell r="C1687">
            <v>0.1</v>
          </cell>
        </row>
        <row r="1688">
          <cell r="A1688">
            <v>78170</v>
          </cell>
          <cell r="B1688">
            <v>1</v>
          </cell>
          <cell r="C1688">
            <v>0.1</v>
          </cell>
        </row>
        <row r="1689">
          <cell r="A1689">
            <v>78171</v>
          </cell>
          <cell r="B1689">
            <v>0.8</v>
          </cell>
          <cell r="C1689">
            <v>0.05</v>
          </cell>
        </row>
        <row r="1690">
          <cell r="A1690">
            <v>78172</v>
          </cell>
          <cell r="B1690">
            <v>1</v>
          </cell>
          <cell r="C1690">
            <v>0.1</v>
          </cell>
        </row>
        <row r="1691">
          <cell r="A1691">
            <v>78173</v>
          </cell>
          <cell r="B1691">
            <v>0</v>
          </cell>
          <cell r="C1691">
            <v>0</v>
          </cell>
        </row>
        <row r="1692">
          <cell r="A1692">
            <v>78174</v>
          </cell>
          <cell r="B1692">
            <v>1</v>
          </cell>
          <cell r="C1692">
            <v>0.1</v>
          </cell>
        </row>
        <row r="1693">
          <cell r="A1693">
            <v>78175</v>
          </cell>
          <cell r="B1693">
            <v>1</v>
          </cell>
          <cell r="C1693">
            <v>0.1</v>
          </cell>
        </row>
        <row r="1694">
          <cell r="A1694">
            <v>78176</v>
          </cell>
          <cell r="B1694">
            <v>1</v>
          </cell>
          <cell r="C1694">
            <v>0.1</v>
          </cell>
        </row>
        <row r="1695">
          <cell r="A1695">
            <v>78178</v>
          </cell>
          <cell r="B1695">
            <v>0.95499999999999996</v>
          </cell>
          <cell r="C1695">
            <v>0.1</v>
          </cell>
        </row>
        <row r="1696">
          <cell r="A1696">
            <v>78179</v>
          </cell>
          <cell r="B1696">
            <v>0.97499999999999998</v>
          </cell>
          <cell r="C1696">
            <v>0.1</v>
          </cell>
        </row>
        <row r="1697">
          <cell r="A1697">
            <v>78180</v>
          </cell>
          <cell r="B1697">
            <v>0.875</v>
          </cell>
          <cell r="C1697">
            <v>0.05</v>
          </cell>
        </row>
        <row r="1698">
          <cell r="A1698">
            <v>78182</v>
          </cell>
          <cell r="B1698">
            <v>0.83499999999999996</v>
          </cell>
          <cell r="C1698">
            <v>0.05</v>
          </cell>
        </row>
        <row r="1699">
          <cell r="A1699">
            <v>78184</v>
          </cell>
          <cell r="B1699">
            <v>0.45</v>
          </cell>
          <cell r="C1699">
            <v>0</v>
          </cell>
        </row>
        <row r="1700">
          <cell r="A1700">
            <v>78185</v>
          </cell>
          <cell r="B1700">
            <v>0.97499999999999998</v>
          </cell>
          <cell r="C1700">
            <v>0.1</v>
          </cell>
        </row>
        <row r="1701">
          <cell r="A1701">
            <v>78186</v>
          </cell>
          <cell r="B1701">
            <v>1</v>
          </cell>
          <cell r="C1701">
            <v>0.1</v>
          </cell>
        </row>
        <row r="1702">
          <cell r="A1702">
            <v>78187</v>
          </cell>
          <cell r="B1702">
            <v>0.95</v>
          </cell>
          <cell r="C1702">
            <v>0.1</v>
          </cell>
        </row>
        <row r="1703">
          <cell r="A1703">
            <v>78188</v>
          </cell>
          <cell r="B1703">
            <v>1</v>
          </cell>
          <cell r="C1703">
            <v>0.1</v>
          </cell>
        </row>
        <row r="1704">
          <cell r="A1704">
            <v>78189</v>
          </cell>
          <cell r="B1704">
            <v>1</v>
          </cell>
          <cell r="C1704">
            <v>0.1</v>
          </cell>
        </row>
        <row r="1705">
          <cell r="A1705">
            <v>78190</v>
          </cell>
          <cell r="B1705">
            <v>0.92500000000000004</v>
          </cell>
          <cell r="C1705">
            <v>0.1</v>
          </cell>
        </row>
        <row r="1706">
          <cell r="A1706">
            <v>78191</v>
          </cell>
          <cell r="B1706">
            <v>0.875</v>
          </cell>
          <cell r="C1706">
            <v>0.05</v>
          </cell>
        </row>
        <row r="1707">
          <cell r="A1707">
            <v>78192</v>
          </cell>
          <cell r="B1707">
            <v>1</v>
          </cell>
          <cell r="C1707">
            <v>0.1</v>
          </cell>
        </row>
        <row r="1708">
          <cell r="A1708">
            <v>78194</v>
          </cell>
          <cell r="B1708">
            <v>0.92500000000000004</v>
          </cell>
          <cell r="C1708">
            <v>0.1</v>
          </cell>
        </row>
        <row r="1709">
          <cell r="A1709">
            <v>78195</v>
          </cell>
          <cell r="B1709">
            <v>0</v>
          </cell>
          <cell r="C1709">
            <v>0</v>
          </cell>
        </row>
        <row r="1710">
          <cell r="A1710">
            <v>78198</v>
          </cell>
          <cell r="B1710">
            <v>0.8</v>
          </cell>
          <cell r="C1710">
            <v>0.05</v>
          </cell>
        </row>
        <row r="1711">
          <cell r="A1711">
            <v>78202</v>
          </cell>
          <cell r="B1711">
            <v>0.8</v>
          </cell>
          <cell r="C1711">
            <v>0.05</v>
          </cell>
        </row>
        <row r="1712">
          <cell r="A1712">
            <v>78204</v>
          </cell>
          <cell r="B1712">
            <v>0.85</v>
          </cell>
          <cell r="C1712">
            <v>0.05</v>
          </cell>
        </row>
        <row r="1713">
          <cell r="A1713">
            <v>78206</v>
          </cell>
          <cell r="B1713">
            <v>0.8</v>
          </cell>
          <cell r="C1713">
            <v>0.05</v>
          </cell>
        </row>
        <row r="1714">
          <cell r="A1714">
            <v>78208</v>
          </cell>
          <cell r="B1714">
            <v>0.8</v>
          </cell>
          <cell r="C1714">
            <v>0.05</v>
          </cell>
        </row>
        <row r="1715">
          <cell r="A1715">
            <v>78210</v>
          </cell>
          <cell r="B1715">
            <v>0.8</v>
          </cell>
          <cell r="C1715">
            <v>0.05</v>
          </cell>
        </row>
        <row r="1716">
          <cell r="A1716">
            <v>78212</v>
          </cell>
          <cell r="B1716">
            <v>0.875</v>
          </cell>
          <cell r="C1716">
            <v>0.05</v>
          </cell>
        </row>
        <row r="1717">
          <cell r="A1717">
            <v>78214</v>
          </cell>
          <cell r="B1717">
            <v>0.85</v>
          </cell>
          <cell r="C1717">
            <v>0.05</v>
          </cell>
        </row>
        <row r="1718">
          <cell r="A1718">
            <v>78217</v>
          </cell>
          <cell r="B1718">
            <v>0</v>
          </cell>
          <cell r="C1718">
            <v>0</v>
          </cell>
        </row>
        <row r="1719">
          <cell r="A1719">
            <v>78219</v>
          </cell>
          <cell r="B1719">
            <v>0.85</v>
          </cell>
          <cell r="C1719">
            <v>0.05</v>
          </cell>
        </row>
        <row r="1720">
          <cell r="A1720">
            <v>78221</v>
          </cell>
          <cell r="B1720">
            <v>0.85</v>
          </cell>
          <cell r="C1720">
            <v>0.05</v>
          </cell>
        </row>
        <row r="1721">
          <cell r="A1721">
            <v>78223</v>
          </cell>
          <cell r="B1721">
            <v>0.8</v>
          </cell>
          <cell r="C1721">
            <v>0.05</v>
          </cell>
        </row>
        <row r="1722">
          <cell r="A1722">
            <v>78228</v>
          </cell>
          <cell r="B1722">
            <v>0</v>
          </cell>
          <cell r="C1722">
            <v>0</v>
          </cell>
        </row>
        <row r="1723">
          <cell r="A1723">
            <v>78230</v>
          </cell>
          <cell r="B1723">
            <v>0.96</v>
          </cell>
          <cell r="C1723">
            <v>0.1</v>
          </cell>
        </row>
        <row r="1724">
          <cell r="A1724">
            <v>78234</v>
          </cell>
          <cell r="B1724">
            <v>0</v>
          </cell>
          <cell r="C1724">
            <v>0</v>
          </cell>
        </row>
        <row r="1725">
          <cell r="A1725">
            <v>79003</v>
          </cell>
          <cell r="B1725">
            <v>0.75666666666666649</v>
          </cell>
          <cell r="C1725">
            <v>0</v>
          </cell>
        </row>
        <row r="1726">
          <cell r="A1726">
            <v>79004</v>
          </cell>
          <cell r="B1726">
            <v>0.92500000000000004</v>
          </cell>
          <cell r="C1726">
            <v>0.1</v>
          </cell>
        </row>
      </sheetData>
      <sheetData sheetId="12"/>
      <sheetData sheetId="13"/>
      <sheetData sheetId="14"/>
      <sheetData sheetId="15"/>
      <sheetData sheetId="16"/>
      <sheetData sheetId="1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formance/KPI/2025/non%20telcome/Jun/Jun%20Agent%20&amp;%20SV%20-%20Score%20Car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860.352223263886" createdVersion="6" refreshedVersion="7" minRefreshableVersion="3" recordCount="13116" xr:uid="{AC055006-5DCA-4579-B2D2-B96CACD812FB}">
  <cacheSource type="worksheet">
    <worksheetSource ref="A1:L1048576" sheet="SCH" r:id="rId2"/>
  </cacheSource>
  <cacheFields count="12">
    <cacheField name="Site" numFmtId="0">
      <sharedItems containsBlank="1" count="3">
        <s v="Non-Telecom"/>
        <m/>
        <s v="Non Telecom" u="1"/>
      </sharedItems>
    </cacheField>
    <cacheField name="Time zone" numFmtId="0">
      <sharedItems containsBlank="1"/>
    </cacheField>
    <cacheField name="Team" numFmtId="0">
      <sharedItems containsBlank="1" count="93">
        <s v="Non Telecom--Ahmed.Amein-Female-WFH"/>
        <s v="Non Telecom--Ahmed.Amein-Female-WFP"/>
        <s v="Non Telecom--Ahmed.Amein-Male-WFH"/>
        <s v="Non Telecom--Ahmed.Amein-Male-WFP"/>
        <s v="Non Telecom--Ahmed.Salaheldin-Female-WFH"/>
        <s v="Non Telecom--Ahmed.Salaheldin-Female-WFP"/>
        <s v="Non Telecom--Ahmed.Salaheldin-Male-WFH"/>
        <s v="Non Telecom--Ahmed.Salaheldin-Male-WFP"/>
        <s v="Non Telecom--Amr.MSaad-Female-WFH"/>
        <s v="Non Telecom--Amr.MSaad-Female-WFP"/>
        <s v="Non Telecom--Amr.MSaad-Male-WFH"/>
        <s v="Non Telecom--Amr.MSaad-Male-WFP"/>
        <s v="Non Telecom--Marwa.Abdallah-Female-WFH"/>
        <s v="Non Telecom--Marwa.Abdallah-Female-WFP"/>
        <s v="Non Telecom--Marwa.Abdallah-Male-WFH"/>
        <s v="Non Telecom--Marwa.Abdallah-Male-WFP"/>
        <s v="Non Telecom--Mohamed.AElbrolocy-Female-WFH"/>
        <s v="Non Telecom--Mohamed.AElbrolocy-Female-WFP"/>
        <s v="Non Telecom--Mohamed.AElbrolocy-Male-WFH"/>
        <s v="Non Telecom--Mohamed.AElbrolocy-Male-WFP"/>
        <s v="Non Telecom--Night Shift-Male-WFH"/>
        <s v="Non Telecom--Night Shift-Male-WFP"/>
        <s v="Non Telecom--Shady.AbdelWahab-Female-WFH"/>
        <s v="Non Telecom--Shady.AbdelWahab-Female-WFP"/>
        <s v="Non Telecom--Shady.AbdelWahab-Male-WFH"/>
        <s v="Non Telecom--Shady.AbdelWahab-Male-WFP"/>
        <s v="Non Telecom--SPV 1-Female-Assuit-WFP"/>
        <s v="Non Telecom--SPV 1-Male-Assuit-WFP"/>
        <s v="Non Telecom--SPV 2-Female-Assuit-WFP"/>
        <s v="Non Telecom--SPV 2-Male-Assuit-WFP"/>
        <s v="Non Telecom--SPV 3-Female-Assuit-WFP"/>
        <s v="Non Telecom--SPV 3-Male-Assuit-WFP"/>
        <s v="Non Telecom--SPV 4-Female-Assuit-WFP"/>
        <s v="Non Telecom--SPV 4-Male-Assuit-WFP"/>
        <s v="Non Telecom--SPV 5-Female-Assuit-WFP"/>
        <s v="Non Telecom--SPV 5-Male-Assuit-WFP"/>
        <s v="Non Telecom--SPV 6-Female-Assuit-WFP"/>
        <s v="Non Telecom--SPV 6-Male-Assuit-WFP"/>
        <s v="Non Telecom--SPV 7-Female-Assuit-WFP"/>
        <s v="Non Telecom--SPV 7-Male-Assuit-WFP"/>
        <s v="Non Telecom--SPV 1-Male-WFP-Assuit"/>
        <s v="Non Telecom Assyot - Resignation"/>
        <s v="Non Telecom--SPV 7-Male-WFP-Assuit"/>
        <s v="Non Telecom--SPV 7-Female-WFP-Assuit"/>
        <m/>
        <s v="Mohamed AElbrolocy - WFH" u="1"/>
        <s v="&lt;None&gt;" u="1"/>
        <s v="Non Telecom--SPV 2-Male-WFP-Assuit" u="1"/>
        <s v="Non Telecom--SPV 3-Male-WFP-Assuit" u="1"/>
        <s v="Non Telecom--SPV 4-Male-WFP-Assuit" u="1"/>
        <s v="Non Telecom--SPV 5-Male-WFP-Assuit" u="1"/>
        <s v="Non Telecom--SPV 6-Male-WFP-Assuit" u="1"/>
        <s v="Non Telecom--SPV 8-Male-WFP-Assuit" u="1"/>
        <s v="Ahmed Amein - WFP" u="1"/>
        <s v="Eman Mahmoud - WFP" u="1"/>
        <s v="Resigned &amp; Transfer" u="1"/>
        <s v="Shady AbdelWahab - WFH" u="1"/>
        <s v="Eslam Elsayed - WFP" u="1"/>
        <s v="Amr MSaad - WFP" u="1"/>
        <s v="Non Telecom--SPV 1-Female-WFP-Assuit" u="1"/>
        <s v="Non Telecom--SPV 2-Female-WFP-Assuit" u="1"/>
        <s v="Non Telecom--SPV 3-Female-WFP-Assuit" u="1"/>
        <s v="Non Telecom--SPV 4-Female-WFP-Assuit" u="1"/>
        <s v="Non Telecom--SPV 5-Female-WFP-Assuit" u="1"/>
        <s v="Non Telecom--SPV 6-Female-WFP-Assuit" u="1"/>
        <s v="Non Telecom--SPV 8-Female-WFP-Assuit" u="1"/>
        <s v="Shady AbdelWahab - WFP" u="1"/>
        <s v="Ahmed Ewes - WFP" u="1"/>
        <s v="Ashraf Saad - WFP" u="1"/>
        <s v="Mohamed Fawzy - WFP" u="1"/>
        <s v="Ahmed Ewes - WFH" u="1"/>
        <s v="Mohamed AbouelFath - WFP" u="1"/>
        <s v="Mohamed Metwaly - WFP" u="1"/>
        <s v="Non Telecom NS" u="1"/>
        <s v="Mohamed AbouelFath - WFH" u="1"/>
        <s v="Night Shift" u="1"/>
        <s v="Eslam Elsayed - WFH" u="1"/>
        <s v="Resignation" u="1"/>
        <s v="Marwa Abdallah -WFP" u="1"/>
        <s v="Aya Nageh - WFP" u="1"/>
        <s v="Transfer" u="1"/>
        <s v="NS Work From Home team" u="1"/>
        <s v="Hossameldin Moustafa - WFP" u="1"/>
        <s v="Ahmed Salaheldin - WFH" u="1"/>
        <s v="Mohamed Fawzy - WFH" u="1"/>
        <s v="Ahmed Salaheldin - WFP" u="1"/>
        <s v="Ahmed Amein - WFH" u="1"/>
        <s v="Nesting" u="1"/>
        <s v="Islam Alaraby - WFP" u="1"/>
        <s v="Amr MSaad - WFH" u="1"/>
        <s v="Marwa Abdallah -WFH" u="1"/>
        <s v="Resigned // Transfer" u="1"/>
        <s v="Mohamed AElbrolocy - WFP" u="1"/>
      </sharedItems>
    </cacheField>
    <cacheField name="Employee ID" numFmtId="0">
      <sharedItems containsString="0" containsBlank="1" containsNumber="1" containsInteger="1" minValue="71002" maxValue="78194" count="449">
        <n v="73287"/>
        <n v="72867"/>
        <n v="73475"/>
        <n v="73699"/>
        <n v="72350"/>
        <n v="74240"/>
        <n v="71673"/>
        <n v="71142"/>
        <n v="71135"/>
        <n v="72842"/>
        <n v="73496"/>
        <n v="71131"/>
        <n v="73865"/>
        <n v="71058"/>
        <n v="73494"/>
        <n v="73599"/>
        <n v="74157"/>
        <n v="75112"/>
        <n v="71007"/>
        <n v="73766"/>
        <n v="71561"/>
        <n v="73664"/>
        <n v="73220"/>
        <n v="73344"/>
        <n v="71619"/>
        <n v="71907"/>
        <n v="72304"/>
        <n v="71817"/>
        <n v="72809"/>
        <n v="74038"/>
        <n v="72234"/>
        <n v="71724"/>
        <n v="71055"/>
        <n v="71073"/>
        <n v="71074"/>
        <n v="75106"/>
        <n v="71810"/>
        <n v="74030"/>
        <n v="71667"/>
        <n v="73931"/>
        <n v="72647"/>
        <n v="73717"/>
        <n v="71052"/>
        <n v="72866"/>
        <n v="73296"/>
        <n v="71125"/>
        <n v="72619"/>
        <n v="72412"/>
        <n v="72342"/>
        <n v="72136"/>
        <n v="72210"/>
        <n v="71708"/>
        <n v="71426"/>
        <n v="71980"/>
        <n v="72859"/>
        <n v="73245"/>
        <n v="71120"/>
        <n v="71739"/>
        <n v="73422"/>
        <n v="72927"/>
        <n v="73329"/>
        <n v="73383"/>
        <n v="72655"/>
        <n v="73945"/>
        <n v="73183"/>
        <n v="73105"/>
        <n v="73738"/>
        <n v="72597"/>
        <n v="71269"/>
        <n v="71760"/>
        <n v="71574"/>
        <n v="72846"/>
        <n v="74081"/>
        <n v="74139"/>
        <n v="71159"/>
        <n v="72980"/>
        <n v="71144"/>
        <n v="73607"/>
        <n v="73260"/>
        <n v="73823"/>
        <n v="72852"/>
        <n v="71569"/>
        <n v="74197"/>
        <n v="71450"/>
        <n v="71161"/>
        <n v="71044"/>
        <n v="73841"/>
        <n v="74154"/>
        <n v="71588"/>
        <n v="73270"/>
        <n v="72664"/>
        <n v="71179"/>
        <n v="71831"/>
        <n v="73812"/>
        <n v="73100"/>
        <n v="72151"/>
        <n v="72696"/>
        <n v="71514"/>
        <n v="73819"/>
        <n v="73697"/>
        <n v="72858"/>
        <n v="71814"/>
        <n v="71763"/>
        <n v="72543"/>
        <n v="73196"/>
        <n v="72332"/>
        <n v="73684"/>
        <n v="72303"/>
        <n v="74014"/>
        <n v="71446"/>
        <n v="72725"/>
        <n v="71181"/>
        <n v="72482"/>
        <n v="73341"/>
        <n v="74211"/>
        <n v="72654"/>
        <n v="71698"/>
        <n v="71774"/>
        <n v="72531"/>
        <n v="73026"/>
        <n v="78166"/>
        <n v="72344"/>
        <n v="72160"/>
        <n v="71716"/>
        <n v="78171"/>
        <n v="72506"/>
        <n v="73601"/>
        <n v="78165"/>
        <n v="74028"/>
        <n v="72108"/>
        <n v="78179"/>
        <n v="71048"/>
        <n v="72665"/>
        <n v="78173"/>
        <n v="72461"/>
        <n v="71745"/>
        <n v="71756"/>
        <n v="78167"/>
        <n v="71782"/>
        <n v="72871"/>
        <n v="72553"/>
        <n v="71785"/>
        <n v="78181"/>
        <n v="71547"/>
        <n v="71773"/>
        <n v="71780"/>
        <n v="78175"/>
        <n v="71786"/>
        <n v="73523"/>
        <n v="72671"/>
        <n v="73278"/>
        <n v="78169"/>
        <n v="71848"/>
        <n v="71871"/>
        <n v="78183"/>
        <n v="72333"/>
        <n v="71989"/>
        <n v="71923"/>
        <n v="78180"/>
        <n v="78182"/>
        <n v="71822"/>
        <n v="71885"/>
        <n v="73452"/>
        <n v="71888"/>
        <n v="71900"/>
        <n v="78184"/>
        <n v="78189"/>
        <n v="71925"/>
        <n v="71927"/>
        <n v="71928"/>
        <n v="72906"/>
        <n v="78187"/>
        <n v="71993"/>
        <n v="78172"/>
        <n v="78174"/>
        <n v="71967"/>
        <n v="72422"/>
        <n v="78185"/>
        <n v="71935"/>
        <n v="78190"/>
        <n v="78191"/>
        <n v="71936"/>
        <n v="71416"/>
        <n v="72567"/>
        <n v="72162"/>
        <n v="72639"/>
        <n v="72194"/>
        <n v="72218"/>
        <n v="73484"/>
        <n v="78176"/>
        <n v="78186"/>
        <n v="72230"/>
        <n v="78192"/>
        <n v="72337"/>
        <n v="78194"/>
        <n v="72316"/>
        <n v="78188"/>
        <n v="75137"/>
        <n v="72223"/>
        <n v="72353"/>
        <n v="78178"/>
        <n v="72309"/>
        <n v="71657"/>
        <n v="72649"/>
        <n v="71917"/>
        <n v="73200"/>
        <n v="72454"/>
        <n v="71490"/>
        <n v="78170"/>
        <n v="71524"/>
        <n v="71997"/>
        <n v="73322"/>
        <n v="73491"/>
        <n v="71618"/>
        <n v="72534"/>
        <n v="72633"/>
        <m/>
        <n v="71082" u="1"/>
        <n v="72847" u="1"/>
        <n v="74235" u="1"/>
        <n v="71210" u="1"/>
        <n v="73858" u="1"/>
        <n v="71968" u="1"/>
        <n v="71212" u="1"/>
        <n v="72347" u="1"/>
        <n v="71591" u="1"/>
        <n v="74239" u="1"/>
        <n v="73231" u="1"/>
        <n v="71088" u="1"/>
        <n v="72853" u="1"/>
        <n v="73737" u="1"/>
        <n v="71594" u="1"/>
        <n v="73359" u="1"/>
        <n v="72730" u="1"/>
        <n v="73613" u="1"/>
        <n v="73740" u="1"/>
        <n v="71093" u="1"/>
        <n v="73867" u="1"/>
        <n v="73489" u="1"/>
        <n v="71473" u="1"/>
        <n v="73238" u="1"/>
        <n v="72357" u="1"/>
        <n v="73492" u="1"/>
        <n v="72862" u="1"/>
        <n v="72232" u="1"/>
        <n v="73241" u="1"/>
        <n v="75132" u="1"/>
        <n v="72107" u="1"/>
        <n v="71981" u="1"/>
        <n v="71478" u="1"/>
        <n v="71479" u="1"/>
        <n v="71353" u="1"/>
        <n v="73370" u="1"/>
        <n v="73118" u="1"/>
        <n v="71858" u="1"/>
        <n v="71732" u="1"/>
        <n v="75136" u="1"/>
        <n v="72741" u="1"/>
        <n v="71985" u="1"/>
        <n v="74002" u="1"/>
        <n v="73876" u="1"/>
        <n v="71860" u="1"/>
        <n v="75138" u="1"/>
        <n v="72869" u="1"/>
        <n v="72240" u="1"/>
        <n v="73249" u="1"/>
        <n v="75140" u="1"/>
        <n v="72242" u="1"/>
        <n v="75142" u="1"/>
        <n v="72117" u="1"/>
        <n v="73000" u="1"/>
        <n v="72244" u="1"/>
        <n v="72118" u="1"/>
        <n v="73757" u="1"/>
        <n v="71488" u="1"/>
        <n v="71741" u="1"/>
        <n v="71994" u="1"/>
        <n v="72751" u="1"/>
        <n v="71239" u="1"/>
        <n v="72374" u="1"/>
        <n v="73635" u="1"/>
        <n v="74140" u="1"/>
        <n v="71493" u="1"/>
        <n v="73510" u="1"/>
        <n v="71115" u="1"/>
        <n v="72377" u="1"/>
        <n v="73638" u="1"/>
        <n v="71369" u="1"/>
        <n v="72126" u="1"/>
        <n v="73639" u="1"/>
        <n v="72127" u="1"/>
        <n v="71749" u="1"/>
        <n v="73388" u="1"/>
        <n v="72758" u="1"/>
        <n v="73515" u="1"/>
        <n v="71372" u="1"/>
        <n v="72759" u="1"/>
        <n v="71121" u="1"/>
        <n v="72887" u="1"/>
        <n v="73896" u="1"/>
        <n v="72888" u="1"/>
        <n v="72636" u="1"/>
        <n v="74023" u="1"/>
        <n v="71881" u="1"/>
        <n v="73395" u="1"/>
        <n v="71126" u="1"/>
        <n v="73018" u="1"/>
        <n v="73271" u="1"/>
        <n v="73145" u="1"/>
        <n v="71002" u="1"/>
        <n v="73524" u="1"/>
        <n v="73399" u="1"/>
        <n v="71509" u="1"/>
        <n v="71006" u="1"/>
        <n v="71386" u="1"/>
        <n v="71134" u="1"/>
        <n v="72143" u="1"/>
        <n v="71765" u="1"/>
        <n v="73656" u="1"/>
        <n v="71009" u="1"/>
        <n v="73153" u="1"/>
        <n v="72901" u="1"/>
        <n v="71893" u="1"/>
        <n v="73280" u="1"/>
        <n v="72776" u="1"/>
        <n v="74037" u="1"/>
        <n v="71516" u="1"/>
        <n v="71012" u="1"/>
        <n v="72651" u="1"/>
        <n v="73660" u="1"/>
        <n v="73156" u="1"/>
        <n v="72148" u="1"/>
        <n v="71266" u="1"/>
        <n v="71140" u="1"/>
        <n v="73662" u="1"/>
        <n v="73410" u="1"/>
        <n v="71015" u="1"/>
        <n v="73285" u="1"/>
        <n v="73159" u="1"/>
        <n v="73538" u="1"/>
        <n v="72782" u="1"/>
        <n v="71522" u="1"/>
        <n v="73414" u="1"/>
        <n v="71271" u="1"/>
        <n v="73668" u="1"/>
        <n v="72408" u="1"/>
        <n v="71904" u="1"/>
        <n v="73291" u="1"/>
        <n v="71905" u="1"/>
        <n v="73922" u="1"/>
        <n v="71527" u="1"/>
        <n v="73293" u="1"/>
        <n v="73041" u="1"/>
        <n v="73294" u="1"/>
        <n v="73799" u="1"/>
        <n v="71278" u="1"/>
        <n v="71152" u="1"/>
        <n v="71531" u="1"/>
        <n v="73044" u="1"/>
        <n v="72792" u="1"/>
        <n v="72414" u="1"/>
        <n v="71658" u="1"/>
        <n v="72541" u="1"/>
        <n v="73046" u="1"/>
        <n v="72417" u="1"/>
        <n v="73804" u="1"/>
        <n v="73426" u="1"/>
        <n v="73048" u="1"/>
        <n v="72544" u="1"/>
        <n v="72924" u="1"/>
        <n v="71412" u="1"/>
        <n v="72925" u="1"/>
        <n v="72799" u="1"/>
        <n v="73558" u="1"/>
        <n v="71289" u="1"/>
        <n v="71668" u="1"/>
        <n v="71164" u="1"/>
        <n v="74064" u="1"/>
        <n v="73938" u="1"/>
        <n v="73813" u="1"/>
        <n v="71548" u="1"/>
        <n v="73567" u="1"/>
        <n v="72434" u="1"/>
        <n v="71930" u="1"/>
        <n v="72813" u="1"/>
        <n v="71805" u="1"/>
        <n v="72310" u="1"/>
        <n v="74201" u="1"/>
        <n v="71932" u="1"/>
        <n v="71680" u="1"/>
        <n v="73320" u="1"/>
        <n v="71177" u="1"/>
        <n v="71682" u="1"/>
        <n v="73574" u="1"/>
        <n v="73448" u="1"/>
        <n v="71054" u="1"/>
        <n v="73576" u="1"/>
        <n v="71056" u="1"/>
        <n v="73579" u="1"/>
        <n v="73832" u="1"/>
        <n v="73706" u="1"/>
        <n v="73454" u="1"/>
        <n v="72446" u="1"/>
        <n v="73455" u="1"/>
        <n v="71943" u="1"/>
        <n v="73456" u="1"/>
        <n v="72700" u="1"/>
        <n v="71693" u="1"/>
        <n v="73710" u="1"/>
        <n v="73332" u="1"/>
        <n v="71442" u="1"/>
        <n v="71821" u="1"/>
        <n v="74218" u="1"/>
        <n v="71823" u="1"/>
        <n v="71697" u="1"/>
        <n v="73714" u="1"/>
        <n v="73084" u="1"/>
        <n v="71824" u="1"/>
        <n v="71447" u="1"/>
        <n v="73464" u="1"/>
        <n v="72204" u="1"/>
        <n v="71952" u="1"/>
        <n v="71700" u="1"/>
        <n v="71322" u="1"/>
        <n v="72709" u="1"/>
        <n v="74096" u="1"/>
        <n v="72206" u="1"/>
        <n v="73215" u="1"/>
        <n v="72208" u="1"/>
        <n v="73595" u="1"/>
        <n v="73469" u="1"/>
        <n v="73343" u="1"/>
        <n v="71200" u="1"/>
        <n v="75108" u="1"/>
        <n v="72839" u="1"/>
        <n v="72713" u="1"/>
        <n v="74100" u="1"/>
        <n v="71957" u="1"/>
        <n v="71705" u="1"/>
        <n v="72588" u="1"/>
        <n v="71454" u="1"/>
        <n v="75110" u="1"/>
        <n v="72967" u="1"/>
        <n v="71959" u="1"/>
        <n v="72340" u="1"/>
        <n v="72845" u="1"/>
        <n v="72719" u="1"/>
        <n v="73602" u="1"/>
        <n v="74107" u="1"/>
      </sharedItems>
    </cacheField>
    <cacheField name="Agent" numFmtId="0">
      <sharedItems containsBlank="1" count="488">
        <s v="Sama .Saad"/>
        <s v="Mai .Fathy"/>
        <s v="Mona .Yassin"/>
        <s v="Nesma .Saeed"/>
        <s v="Sara .Ismail"/>
        <s v="Yasmin .Hamdi"/>
        <s v="Ahmed .Mmohamad"/>
        <s v="Alaa .Abdelhakim"/>
        <s v="Hesham .AAly"/>
        <s v="Mahmoud .Alaaeldien"/>
        <s v="Mohamed .MMEAli"/>
        <s v="Omar .AbdelHalim"/>
        <s v="Abdallah .SMohamed"/>
        <s v="AbdelRahman .Amuhamed"/>
        <s v="Ahmad .Maly"/>
        <s v="Amgad .Naseer"/>
        <s v="Atef .AbdelRehim"/>
        <s v="Mohamed .RSMohamed"/>
        <s v="Mohamed .Sshokry"/>
        <s v="Shehab .Yahia"/>
        <s v="Nesma .Abdelatty"/>
        <s v="radwa .mohamed"/>
        <s v="Radwa .Seif"/>
        <s v="Samar .Amohamed"/>
        <s v="AbdelRahamn .Mohamed"/>
        <s v="Ahmed .MKElsayd"/>
        <s v="ASHRAF .SAAD"/>
        <s v="maher .eshak"/>
        <s v="Mostafa .Msalama"/>
        <s v="Mostafa .SAbdelQader"/>
        <s v="MOSTAFA. .SHOKRY"/>
        <s v="Zakria .Sedrak"/>
        <s v="Ahmed .AFatouh"/>
        <s v="Ahmed .Shamseldein"/>
        <s v="Ahmed .YRezk"/>
        <s v="Hussein .MMetwally"/>
        <s v="Mahmoud .AMGomaa"/>
        <s v="Mina .Medhat"/>
        <s v="Mohamed .AEAbdelghany"/>
        <s v="Mohamed .Ghali"/>
        <s v="Mohamed .Hsafwat"/>
        <s v="Eman .Tarek"/>
        <s v="Mayar .Othman"/>
        <s v="Reewan .Mohamed"/>
        <s v="Bassant .Fadl"/>
        <s v="Marwa .Ghandour"/>
        <s v="Mennatullah .Yahia"/>
        <s v="AbdelRahman .Kamal"/>
        <s v="Ahmed .Khalled"/>
        <s v="Amr .Bassam"/>
        <s v="Ibrahim .Metwally"/>
        <s v="Mohamed .MMetwaly"/>
        <s v="Omar .Qamsan"/>
        <s v="Abdelhamid .Hahmed"/>
        <s v="Ahmed .SAbdelBaky"/>
        <s v="Amr .FAboelhassan"/>
        <s v="Kareem .Abdelwahab"/>
        <s v="Mahmoud .MAbdelNabi"/>
        <s v="Mohamed .MGMohamed"/>
        <s v="Mohamed .Sbadawi"/>
        <s v="Omar .Matloub"/>
        <s v="Ziad .Ramadan"/>
        <s v="Gehad .Omar"/>
        <s v="Shrouk .Abdelgawad"/>
        <s v="Marwa .AFouad"/>
        <s v="Nourhan .Shehata"/>
        <s v="Sarah .Hussien"/>
        <s v="Sarah .Misheal"/>
        <s v="Shrouk .Khamis"/>
        <s v="Ahmed .Gzaki"/>
        <s v="Amr .Abdelgwad"/>
        <s v="Hassan .Abdelmalik"/>
        <s v="Ibrahim .Rekaby"/>
        <s v="Mohamed .Hamden"/>
        <s v="Omar .Kelany"/>
        <s v="Moaaz .Mahmoud"/>
        <s v="Mohammed .SHussein"/>
        <s v="Tarek .Arnos"/>
        <s v="Esraa .ElMerghany"/>
        <s v="Neven .Reda"/>
        <s v="Rana .Ehab"/>
        <s v="Toaa .Waleed"/>
        <s v="Amira .Mali"/>
        <s v="Abdallah .Abdelmohsen"/>
        <s v="Ibrahim .EShehata"/>
        <s v="Mohamed .AAbdelghafar"/>
        <s v="Mohammed .Ahasan"/>
        <s v="Omar .Abdeldaim"/>
        <s v="EzzElDien .Mostafa"/>
        <s v="Ibrahim .Qadri"/>
        <s v="Mohamed .NEldin"/>
        <s v="Mostafa .Abdelkarim"/>
        <s v="Mostafa .Elkholy"/>
        <s v="Mostafa .GIAbdelaal"/>
        <s v="Ziad .Moneim"/>
        <s v="Ahmed .Elsaby"/>
        <s v="Mohamed .Nassr"/>
        <s v="Ahmed .Aabdelmoniem"/>
        <s v="Mohamed .Mhassanen"/>
        <s v="Tarek .Tharwat"/>
        <s v="Heba .Shaban"/>
        <s v="Nahla .Ali"/>
        <s v="FatmaElzahraa .Naeem"/>
        <s v="Rowan .Maged"/>
        <s v="Sara .Mansour"/>
        <s v="Ahmed .Mabdelhaq"/>
        <s v="Hussien .AbdelMoneam"/>
        <s v="KHALED .MOWAFEK"/>
        <s v="Mohamed .Mabrook"/>
        <s v="Mohamed .Taleb"/>
        <s v="Said .Ibrahim"/>
        <s v="Abdullah .Bayoumy"/>
        <s v="Abdullah .Farag"/>
        <s v="Ahmed .MAGhanem"/>
        <s v="Hossam .Rawyan"/>
        <s v="Mahmoud .Adam"/>
        <s v="Mohamed .Alimi"/>
        <s v="Mohamed .Ibraheim"/>
        <s v="Mohamed .YShaaban"/>
        <s v="Mostafa .Iibrahim"/>
        <s v="Asmaa .Zaky"/>
        <s v="Clara .Rashad"/>
        <s v="Eman .HMohamed"/>
        <s v="Hadeer .Thabet"/>
        <s v="Hagar .Gamal"/>
        <s v="Jessika .Beshoy"/>
        <s v="Abdullah .Haasan"/>
        <s v="Ahmad .Sayyed"/>
        <s v="Ali .Heshmat"/>
        <s v="Basel .Ahmed"/>
        <s v="Mohamed .OGamaleldeen"/>
        <s v="Esraa .Seleem"/>
        <s v="Hagar .Hatem"/>
        <s v="Jessika .Adel"/>
        <s v="Kareen .Ehab"/>
        <s v="Maha .Galal"/>
        <s v="Mahitab .Ahmed"/>
        <s v="Ayman .Abdelglel"/>
        <s v="Moaatasem .Gamal"/>
        <s v="Mohamed .Fmahmood"/>
        <s v="Mohammed .Abdelnaser"/>
        <s v="Nader .Alaa"/>
        <s v="Remon .Noshy"/>
        <s v="Haidy .Mourad"/>
        <s v="Mary .Nashaat"/>
        <s v="Mennatallah .Mohammed"/>
        <s v="Merna .Osama"/>
        <s v="Nourhan .Soliman"/>
        <s v="Tasneem .Hisham"/>
        <s v="Abdelrahman .Bakr"/>
        <s v="Ahmed .Abir"/>
        <s v="Almoustafa .Ghareeb"/>
        <s v="Mahmood .Hassan"/>
        <s v="Robert .Danial"/>
        <s v="Romany .Lotfy"/>
        <s v="Joumana .Magdy"/>
        <s v="Mary .Osama"/>
        <s v="Noura .Karam"/>
        <s v="Rania .HAli"/>
        <s v="Rofida .Ali"/>
        <s v="Zeinb .Sayed"/>
        <s v="Ahmed .HFSayed"/>
        <s v="Bassem .Rezk"/>
        <s v="Mohamed .Kmoustafa"/>
        <s v="Moustafa .Abdellah"/>
        <s v="Shenoda .Botrous"/>
        <s v="Bassant .ASayed"/>
        <s v="Nadia .Youssef"/>
        <s v="Rehab .Abdelfattah"/>
        <s v="Salma .Abdelkereem"/>
        <s v="Shahenda .Mokhtar"/>
        <s v="Yara .Refaay"/>
        <s v="Ahmad .Mabdo"/>
        <s v="Hossam .Saber"/>
        <s v="Mahmood .Zakareya"/>
        <s v="Moustafa .Elsaeed"/>
        <s v="Moustafa .Radwan"/>
        <s v="Sherif .SMohamed"/>
        <s v="Aghaby .Alfy"/>
        <s v="Doaa .MAhmed"/>
        <s v="Eman .Mourad"/>
        <s v="Manar .Abdelrady"/>
        <s v="Nourhan .Abdelmwgood"/>
        <s v="Rania .Moustafa"/>
        <s v="Abanoub .Nashaat"/>
        <s v="Abdullah .Abdeen"/>
        <s v="Hossam .HMFathy"/>
        <s v="Hossam .Kahmed"/>
        <s v="Khalefa .Abdelnaby"/>
        <s v="Moaataz .Alaaeldeen"/>
        <s v="Tamer .Ahmed"/>
        <s v="Marian .Medhat"/>
        <s v="Mennatullah .Mamdouh"/>
        <s v="Nada .Seleem"/>
        <s v="Rehab .Mahmoud"/>
        <s v="Rozaleen .Samy"/>
        <s v="Abdelazeem .Mohamed"/>
        <s v="Beshoy .Hany"/>
        <s v="Fady .Onsy"/>
        <s v="Mohamed .Nameen"/>
        <s v="Mohammed .AMAli"/>
        <s v="Mohammed .Ayman"/>
        <s v="AbdelRahman .GSalim"/>
        <s v="Adam .Ehab"/>
        <s v="Ahmad .AAHassan"/>
        <s v="Amira .Ezzat"/>
        <s v="Amr .Afify"/>
        <s v="Dalia .Mali"/>
        <s v="Fady .Mohsen"/>
        <s v="Kamal .Mowas"/>
        <s v="Mena .Nassef"/>
        <s v="Nancy .Hossamelden"/>
        <s v="Omar .Elgamal"/>
        <s v="Rowida .Maged"/>
        <s v="SalahElden .Ashraf"/>
        <s v="Sayed .Abdelkader"/>
        <m/>
        <s v="Bishoy .Atta" u="1"/>
        <s v="Esraa .Abdelazeem" u="1"/>
        <s v="Esraa .Aabdelaal" u="1"/>
        <s v="Ahmed .Eeissa" u="1"/>
        <s v="Khaled Mohamed" u="1"/>
        <s v="Hossameldin .Moustafa" u="1"/>
        <s v="Ahmed .Badwe" u="1"/>
        <s v="Mohamed .Habdelfattah" u="1"/>
        <s v="Mohamed .Shanafi" u="1"/>
        <s v="Mohamed .AlEtar" u="1"/>
        <s v="Ahmed .Hmohi" u="1"/>
        <s v="Kamel .Mostafa" u="1"/>
        <s v="Emad .Elsayed" u="1"/>
        <s v="Amr .AAbdelaal" u="1"/>
        <s v="Alaa .Eahmed" u="1"/>
        <s v="Omar .AMElsayed" u="1"/>
        <s v="Mohamed .Hyousry" u="1"/>
        <s v="AbdelRahman .Gendy" u="1"/>
        <s v="Ali .Nassar" u="1"/>
        <s v="Islam .Kaoud" u="1"/>
        <s v="Hanan .AlaaEldeen" u="1"/>
        <s v="Mohamed .Eebrahim" u="1"/>
        <s v="Mohamed .Abohussein" u="1"/>
        <s v="Hisham .AbdelAzim" u="1"/>
        <s v="Adham .Hamed" u="1"/>
        <s v="Mahmoud .Yaser" u="1"/>
        <s v="Mostafa .Bahbah" u="1"/>
        <s v="Mohamed .AMHamdy" u="1"/>
        <s v="Salma .Bekheet" u="1"/>
        <s v="Hussien .Khaled" u="1"/>
        <s v="Asmaa .Mostafa" u="1"/>
        <s v="Robert .Aziz" u="1"/>
        <s v="Hatem .Abdelmetwally" u="1"/>
        <s v="Hanan .Abdelaziz" u="1"/>
        <s v="Mohamed .GAbdelnaser" u="1"/>
        <s v="Samar .Othman" u="1"/>
        <s v="Ali .Abdelmenam" u="1"/>
        <s v="Mahmoud .Mabdelkadr" u="1"/>
        <s v="Ahmed .Mbassiouny" u="1"/>
        <s v="Mohamed .Hmoustafa" u="1"/>
        <s v="Ayat .Abdelsamea" u="1"/>
        <s v="Mohamed .Geldeen" u="1"/>
        <s v="Mina .Wanis" u="1"/>
        <s v="Farida .Tarek" u="1"/>
        <s v="Merna .Ibrahim" u="1"/>
        <s v="Mohamed .MIIbrahim" u="1"/>
        <s v="Eslam .Atwa" u="1"/>
        <s v="EMAN .MAHMOUD" u="1"/>
        <s v="Amir .Ashraf" u="1"/>
        <s v="Mohamed .Setohy" u="1"/>
        <s v="Beshoy .Fawzy" u="1"/>
        <s v="Mostafa .MAbdelhady" u="1"/>
        <s v="Hamada .Abdelkader" u="1"/>
        <s v="Amir .Elnmr" u="1"/>
        <s v="Kerles .Hany" u="1"/>
        <s v="Bakenam .Adel" u="1"/>
        <s v="Esraa .Abdelmoemen" u="1"/>
        <s v="Zead .Yasser" u="1"/>
        <s v="Ahmed .Hmohammed" u="1"/>
        <s v="Yomna .Mohamed" u="1"/>
        <s v="Amr .Kmohamed" u="1"/>
        <s v="Marwa .Abdelbaset" u="1"/>
        <s v="Abdelrahman .Aseel" u="1"/>
        <s v="Mohamed .AALotfy" u="1"/>
        <s v="Mohamed .Adesouky" u="1"/>
        <s v="Ahmed .Harafa" u="1"/>
        <s v="Waseem .Mansour" u="1"/>
        <s v="Mohamed .Khatab" u="1"/>
        <s v="Gamal .Osama" u="1"/>
        <s v="Samar .Hamdy" u="1"/>
        <s v="Esraa .Farouk" u="1"/>
        <s v="Muhamed .AMMohamed" u="1"/>
        <s v="Moatazbellah .Mohamed" u="1"/>
        <s v="Alaa .Hassanen" u="1"/>
        <s v="Ahmed .Musa" u="1"/>
        <s v="Fatma .Farag" u="1"/>
        <s v="Hatem .Saleh" u="1"/>
        <s v="Eslam .AbdelMoteleb" u="1"/>
        <s v="MohielDin .Khaled" u="1"/>
        <s v="Ahmed .EASAhmed" u="1"/>
        <s v="Mohamed .Mahdi" u="1"/>
        <s v="Mohamed .AAAbdelaty" u="1"/>
        <s v="Rawy .Khalifa" u="1"/>
        <s v="Ahmed .Gaballah" u="1"/>
        <s v="Ahmed .Elwan" u="1"/>
        <s v="Ahmed .MSAhmed" u="1"/>
        <s v="Mohamed .SMAshour" u="1"/>
        <s v="Ibrahim .Abdelnaby" u="1"/>
        <s v="Omar .Fsaid" u="1"/>
        <s v="Amr .Aothman" u="1"/>
        <s v="Ahmed .Sameeh" u="1"/>
        <s v="Nadeen .Ahmed" u="1"/>
        <s v="Mohamed .Elbehiery" u="1"/>
        <s v="Shehab .Magdy" u="1"/>
        <s v="Ahmed .Harb" u="1"/>
        <s v="Mahmoud .Elnahas" u="1"/>
        <s v="Yousef .Abdelhameed" u="1"/>
        <s v="Fadi .Adel" u="1"/>
        <s v="Amr .MMHassan" u="1"/>
        <s v="Diaa .Tawfik" u="1"/>
        <s v="Ahmed .GMMuhamed" u="1"/>
        <s v="Mohamed .Dardir" u="1"/>
        <s v="Ismail .Ossama" u="1"/>
        <s v="Ahmed .MElGamal" u="1"/>
        <s v="Beshoy .Baskaharon" u="1"/>
        <s v="Arsanios .Makram" u="1"/>
        <s v="Omar .Sharaf" u="1"/>
        <s v="Mohamed .Ahmed" u="1"/>
        <s v="Antoon .Ashraf" u="1"/>
        <s v="Mohamed .AMAbdallah" u="1"/>
        <s v="Omar .Abdelziz" u="1"/>
        <s v="Khaled .Mohamed" u="1"/>
        <s v="Hadeer .Tarek" u="1"/>
        <s v="Ahmed .Ehussein" u="1"/>
        <s v="Muhamed .Nasr" u="1"/>
        <s v="Samar .Saeed" u="1"/>
        <s v="Mohamed .GAIsmail" u="1"/>
        <s v="Sara .Abdelnaby" u="1"/>
        <s v="SAAD .GABR" u="1"/>
        <s v="AbdelRahamn .Ramadan" u="1"/>
        <s v="Alber .Adel" u="1"/>
        <s v="Mohamed .EHaredy" u="1"/>
        <s v="Nourhan .Abdallah" u="1"/>
        <s v="Amr .Ksalem" u="1"/>
        <s v="Ahmed .MRashad" u="1"/>
        <s v="Hazem .Zenhom" u="1"/>
        <s v="Ali .Shazly" u="1"/>
        <s v="Mahmoud .AFMorsy" u="1"/>
        <s v="Mostafa .Aabdelaziz" u="1"/>
        <s v="AHMED .MMAHROUS" u="1"/>
        <s v="Ahmed .AShabaan" u="1"/>
        <s v="Abdelrahman .Elghool" u="1"/>
        <s v="Moustafa .Heikal" u="1"/>
        <s v="Mahmoud .SAbdelHamid" u="1"/>
        <s v="Mohamed .Saaleh" u="1"/>
        <s v="Shereen .Gamal" u="1"/>
        <s v="Ahmed .ERezk" u="1"/>
        <s v="Ahmed .FFarouk" u="1"/>
        <s v="Hagar .Khattab" u="1"/>
        <s v="Mohamed .AboelEnen" u="1"/>
        <s v="Abdelrahman .Fawzey" u="1"/>
        <s v="Ahmed .Ikhalil" u="1"/>
        <s v="Ahmed .Refaey" u="1"/>
        <s v="Ahmed .AboShosha" u="1"/>
        <s v="AbelWahed .Shabban" u="1"/>
        <s v="Hadeer .Gamal" u="1"/>
        <s v="Mahmoud .SHussin" u="1"/>
        <s v="AlSayed .Ibrahim" u="1"/>
        <s v="Muhssen .Ahmed" u="1"/>
        <s v="Fares .AbdelNasser" u="1"/>
        <s v="Sherif .Moahmed" u="1"/>
        <s v="Abdelrahman .Sultan" u="1"/>
        <s v="Hassan .HFouad" u="1"/>
        <s v="Adel .Bahgat" u="1"/>
        <s v="AHMED .WASFI" u="1"/>
        <s v="George .Raoubin" u="1"/>
        <s v="Mostafa .Kasem" u="1"/>
        <s v="Ehab .Refaat" u="1"/>
        <s v="Ehab .Ouda" u="1"/>
        <s v="Ahmed .Elsaway" u="1"/>
        <s v="Ahmed .Meged" u="1"/>
        <s v="Ahmed .EShawky" u="1"/>
        <s v="Moataz .Aly" u="1"/>
        <s v="Ramy .Fouad" u="1"/>
        <s v="Abdelrahman .Emera" u="1"/>
        <s v="Suhila .Amr" u="1"/>
        <s v="Aya .Nageh" u="1"/>
        <s v="Amany .Ismaeil" u="1"/>
        <s v="Ragaa .Mahmoud" u="1"/>
        <s v="Amira .Gomaa" u="1"/>
        <s v="Yara .Samy" u="1"/>
        <s v="Omar .Abdelhay" u="1"/>
        <s v="Abdelrahman .Shakshok" u="1"/>
        <s v="Mai .Abdullah" u="1"/>
        <s v="Youssef .Ghanem" u="1"/>
        <s v="Noureldeen .Elsayed" u="1"/>
        <s v="Seifeldeen .Wael" u="1"/>
        <s v="Mohamed .Gmahdy" u="1"/>
        <s v="Adham .Iabdelaziz" u="1"/>
        <s v="John .Nagy" u="1"/>
        <s v="Ahmed .Elarby" u="1"/>
        <s v="Mahmoud .SMAli" u="1"/>
        <s v="Mohamed .AElShamy" u="1"/>
        <s v="Abdelrahman .Arafat" u="1"/>
        <s v="Tarek .Nabil" u="1"/>
        <s v="Yousef .Mamdouh" u="1"/>
        <s v="Ahmed .Aboelyazeed" u="1"/>
        <s v="Ahmed .AEMohamed" u="1"/>
        <s v="Peter .Shawky" u="1"/>
        <s v="Eman .MElsayed" u="1"/>
        <s v="Mohammed .Maly" u="1"/>
        <s v="Eissa .Mohamed" u="1"/>
        <s v="Assem .MSobhy" u="1"/>
        <s v="AbdelRahman .Hemeida" u="1"/>
        <s v="Asmaa .Gomar" u="1"/>
        <s v="Yehia .Sakr" u="1"/>
        <s v="David .Emad" u="1"/>
        <s v="Islam .Alaraby" u="1"/>
        <s v="Ahmed .AbdAlAty" u="1"/>
        <s v="Ahmed .Rayan" u="1"/>
        <s v="Mahmoud .Elhanbaly" u="1"/>
        <s v="Aya .Farouk" u="1"/>
        <s v="Mohammed .Gaafar" u="1"/>
        <s v="Hassan .Elalfy" u="1"/>
        <s v="Yasmin .Abdelhafez" u="1"/>
        <s v="Ahmmad .Mohammed" u="1"/>
        <s v="Mostafa .AbdelWakeel" u="1"/>
        <s v="Loay .Hamed" u="1"/>
        <s v="Mazen .Taha" u="1"/>
        <s v="Mostafa .KMIbrahim" u="1"/>
        <s v="Omar .Fouad" u="1"/>
        <s v="Ahmed .Egaafar" u="1"/>
        <s v="Mahmoud .AbdelFatah" u="1"/>
        <s v="Ahmed .Mabdalhamid" u="1"/>
        <s v="Zeyad .Ebied" u="1"/>
        <s v="Abdelrahman .Aattya" u="1"/>
        <s v="Salma .Aelsayed" u="1"/>
        <s v="Hossam .HMHassan" u="1"/>
        <s v="Youssef .Shafik" u="1"/>
        <s v="Mohamed .Isamel" u="1"/>
        <s v="Fatma .Abdelmoaty" u="1"/>
        <s v="Yassin .Yassin" u="1"/>
        <s v="Mostafa .Sabdelwahab" u="1"/>
        <s v="Saeed .Mahrous" u="1"/>
        <s v="Ahmed .MHHussien" u="1"/>
        <s v="Ibrahim .Zaki" u="1"/>
        <s v="EzzEldeen .Ahmed" u="1"/>
        <s v="Eslam .Emara" u="1"/>
        <s v="Bishoy .AbdelShahid" u="1"/>
        <s v="Hassan .Elkelany" u="1"/>
        <s v="Abdelrahman .Nabel" u="1"/>
        <s v="Amr .Elsaeed" u="1"/>
        <s v="Mina .Attallah" u="1"/>
        <s v="Bishoy .Essam" u="1"/>
        <s v="Mahmoud .Eltaher" u="1"/>
        <s v="Ahmed .Alhakim" u="1"/>
        <s v="Mostafa .Touny" u="1"/>
        <s v="Mohamed .IAbdelKarim" u="1"/>
        <s v="Waleed .Mahmoud" u="1"/>
        <s v="Mariam .Hamdy" u="1"/>
        <s v="Yasser .Mohamed" u="1"/>
        <s v="Abanoub .Mekhael" u="1"/>
        <s v="Mahmoud .Houbrak" u="1"/>
        <s v="Abdullah .Moustafa" u="1"/>
        <s v="Eslam .Behiry" u="1"/>
        <s v="Marwan .Helmy" u="1"/>
        <s v="Ahmed .Ashrey" u="1"/>
        <s v="Mohamed .Hosny" u="1"/>
        <s v="Sara .Elbehary" u="1"/>
        <s v="Nagy .Adel" u="1"/>
        <s v="Ahmed .MAEsmail" u="1"/>
        <s v="Ahmed .MTMohamed" u="1"/>
        <s v="Wessam .Attia" u="1"/>
        <s v="Mohamed .ELessawy" u="1"/>
        <s v="Omar .Habdelhay" u="1"/>
        <s v="Omnya .Gamel" u="1"/>
        <s v="Yasser .Magdy" u="1"/>
        <s v="AHMED .MESILHY" u="1"/>
        <s v="Islam .Eabdelhamid" u="1"/>
        <s v="Nisreen .Ismail" u="1"/>
        <s v="Hussien .Mahrous" u="1"/>
        <s v="Salma .Kourny" u="1"/>
        <s v="Zienab .Hashem" u="1"/>
        <s v="Omar .HEMohamed" u="1"/>
        <s v="Mahmoud .Elkazafy" u="1"/>
        <s v="Mostafa .Awad" u="1"/>
        <s v="Bassant .Abdelwahab" u="1"/>
        <s v="Ahmed .Shamza" u="1"/>
        <s v="Mohamed .MASadek" u="1"/>
        <s v="Gerges .khairy" u="1"/>
        <s v="Noureldin .Noureldin" u="1"/>
      </sharedItems>
    </cacheField>
    <cacheField name="Date" numFmtId="0">
      <sharedItems containsNonDate="0" containsDate="1" containsString="0" containsBlank="1" minDate="2025-06-01T00:00:00" maxDate="2025-07-01T00:00:00"/>
    </cacheField>
    <cacheField name="Paid Hours" numFmtId="0">
      <sharedItems containsNonDate="0" containsDate="1" containsString="0" containsBlank="1" minDate="1899-12-30T00:00:00" maxDate="1899-12-30T13:30:00"/>
    </cacheField>
    <cacheField name="Schedule State" numFmtId="0">
      <sharedItems containsBlank="1"/>
    </cacheField>
    <cacheField name="Start Time" numFmtId="0">
      <sharedItems containsDate="1" containsBlank="1" containsMixedTypes="1" minDate="1899-12-30T00:00:00" maxDate="1899-12-30T23:45:00"/>
    </cacheField>
    <cacheField name="End Time" numFmtId="0">
      <sharedItems containsDate="1" containsBlank="1" containsMixedTypes="1" minDate="1899-12-30T01:15:00" maxDate="1899-12-30T23:45:00"/>
    </cacheField>
    <cacheField name="requried" numFmtId="0">
      <sharedItems containsString="0" containsBlank="1" containsNumber="1" minValue="0" maxValue="48600"/>
    </cacheField>
    <cacheField name="Non Telecom" numFmtId="0">
      <sharedItems containsBlank="1" count="3">
        <s v="1"/>
        <s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16">
  <r>
    <x v="0"/>
    <s v="Egypt"/>
    <x v="0"/>
    <x v="0"/>
    <x v="0"/>
    <d v="2025-06-01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3:00:00"/>
    <d v="1899-12-30T13:15:00"/>
    <n v="0"/>
    <x v="1"/>
  </r>
  <r>
    <x v="0"/>
    <s v="Egypt"/>
    <x v="0"/>
    <x v="0"/>
    <x v="0"/>
    <m/>
    <m/>
    <s v="Break 30 Morning"/>
    <d v="1899-12-30T16:15:00"/>
    <d v="1899-12-30T16:45:00"/>
    <n v="0"/>
    <x v="1"/>
  </r>
  <r>
    <x v="0"/>
    <s v="Egypt"/>
    <x v="0"/>
    <x v="0"/>
    <x v="0"/>
    <d v="2025-06-02T00:00:00"/>
    <m/>
    <s v="Day Off"/>
    <m/>
    <m/>
    <n v="0"/>
    <x v="1"/>
  </r>
  <r>
    <x v="0"/>
    <s v="Egypt"/>
    <x v="0"/>
    <x v="0"/>
    <x v="0"/>
    <d v="2025-06-03T00:00:00"/>
    <m/>
    <s v="Day Off"/>
    <m/>
    <m/>
    <n v="0"/>
    <x v="1"/>
  </r>
  <r>
    <x v="0"/>
    <s v="Egypt"/>
    <x v="0"/>
    <x v="0"/>
    <x v="0"/>
    <d v="2025-06-04T00:00:00"/>
    <d v="1899-12-30T08:15:00"/>
    <s v="Non Telecom"/>
    <d v="1899-12-30T13:00:00"/>
    <d v="1899-12-30T21:15:00"/>
    <n v="29700"/>
    <x v="0"/>
  </r>
  <r>
    <x v="0"/>
    <s v="Egypt"/>
    <x v="0"/>
    <x v="0"/>
    <x v="0"/>
    <m/>
    <m/>
    <s v="Break 15 Morning"/>
    <d v="1899-12-30T14:00:00"/>
    <d v="1899-12-30T14:15:00"/>
    <n v="0"/>
    <x v="1"/>
  </r>
  <r>
    <x v="0"/>
    <s v="Egypt"/>
    <x v="0"/>
    <x v="0"/>
    <x v="0"/>
    <m/>
    <m/>
    <s v="Break 30 Morning"/>
    <d v="1899-12-30T16:30:00"/>
    <d v="1899-12-30T17:00:00"/>
    <n v="0"/>
    <x v="1"/>
  </r>
  <r>
    <x v="0"/>
    <s v="Egypt"/>
    <x v="0"/>
    <x v="0"/>
    <x v="0"/>
    <d v="2025-06-05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30:00"/>
    <d v="1899-12-30T14:45:00"/>
    <n v="0"/>
    <x v="1"/>
  </r>
  <r>
    <x v="0"/>
    <s v="Egypt"/>
    <x v="0"/>
    <x v="0"/>
    <x v="0"/>
    <m/>
    <m/>
    <s v="Break 30 Morning"/>
    <d v="1899-12-30T17:45:00"/>
    <d v="1899-12-30T18:15:00"/>
    <n v="0"/>
    <x v="1"/>
  </r>
  <r>
    <x v="0"/>
    <s v="Egypt"/>
    <x v="0"/>
    <x v="0"/>
    <x v="0"/>
    <d v="2025-06-06T00:00:00"/>
    <d v="1899-12-30T08:15:00"/>
    <s v="Public holiday"/>
    <m/>
    <m/>
    <n v="29700"/>
    <x v="1"/>
  </r>
  <r>
    <x v="0"/>
    <s v="Egypt"/>
    <x v="0"/>
    <x v="0"/>
    <x v="0"/>
    <d v="2025-06-07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15:00"/>
    <d v="1899-12-30T14:30:00"/>
    <n v="0"/>
    <x v="1"/>
  </r>
  <r>
    <x v="0"/>
    <s v="Egypt"/>
    <x v="0"/>
    <x v="0"/>
    <x v="0"/>
    <m/>
    <m/>
    <s v="Break 30 Morning"/>
    <d v="1899-12-30T17:45:00"/>
    <d v="1899-12-30T18:15:00"/>
    <n v="0"/>
    <x v="1"/>
  </r>
  <r>
    <x v="0"/>
    <s v="Egypt"/>
    <x v="0"/>
    <x v="0"/>
    <x v="0"/>
    <d v="2025-06-08T00:00:00"/>
    <m/>
    <s v="Day Off"/>
    <m/>
    <m/>
    <n v="0"/>
    <x v="1"/>
  </r>
  <r>
    <x v="0"/>
    <s v="Egypt"/>
    <x v="0"/>
    <x v="0"/>
    <x v="0"/>
    <d v="2025-06-09T00:00:00"/>
    <m/>
    <s v="Day Off"/>
    <m/>
    <m/>
    <n v="0"/>
    <x v="1"/>
  </r>
  <r>
    <x v="0"/>
    <s v="Egypt"/>
    <x v="0"/>
    <x v="0"/>
    <x v="0"/>
    <d v="2025-06-10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3:45:00"/>
    <d v="1899-12-30T14:00:00"/>
    <n v="0"/>
    <x v="1"/>
  </r>
  <r>
    <x v="0"/>
    <s v="Egypt"/>
    <x v="0"/>
    <x v="0"/>
    <x v="0"/>
    <m/>
    <m/>
    <s v="Break 30 Morning"/>
    <d v="1899-12-30T17:00:00"/>
    <d v="1899-12-30T17:30:00"/>
    <n v="0"/>
    <x v="1"/>
  </r>
  <r>
    <x v="0"/>
    <s v="Egypt"/>
    <x v="0"/>
    <x v="0"/>
    <x v="0"/>
    <d v="2025-06-11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15:00"/>
    <d v="1899-12-30T14:30:00"/>
    <n v="0"/>
    <x v="1"/>
  </r>
  <r>
    <x v="0"/>
    <s v="Egypt"/>
    <x v="0"/>
    <x v="0"/>
    <x v="0"/>
    <m/>
    <m/>
    <s v="Break 30 Morning"/>
    <d v="1899-12-30T17:45:00"/>
    <d v="1899-12-30T18:15:00"/>
    <n v="0"/>
    <x v="1"/>
  </r>
  <r>
    <x v="0"/>
    <s v="Egypt"/>
    <x v="0"/>
    <x v="0"/>
    <x v="0"/>
    <d v="2025-06-12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15:00"/>
    <d v="1899-12-30T14:30:00"/>
    <n v="0"/>
    <x v="1"/>
  </r>
  <r>
    <x v="0"/>
    <s v="Egypt"/>
    <x v="0"/>
    <x v="0"/>
    <x v="0"/>
    <m/>
    <m/>
    <s v="Break 30 Morning"/>
    <d v="1899-12-30T17:15:00"/>
    <d v="1899-12-30T17:45:00"/>
    <n v="0"/>
    <x v="1"/>
  </r>
  <r>
    <x v="0"/>
    <s v="Egypt"/>
    <x v="0"/>
    <x v="0"/>
    <x v="0"/>
    <d v="2025-06-13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00:00"/>
    <d v="1899-12-30T14:15:00"/>
    <n v="0"/>
    <x v="1"/>
  </r>
  <r>
    <x v="0"/>
    <s v="Egypt"/>
    <x v="0"/>
    <x v="0"/>
    <x v="0"/>
    <m/>
    <m/>
    <s v="Break 30 Morning"/>
    <d v="1899-12-30T17:30:00"/>
    <d v="1899-12-30T18:00:00"/>
    <n v="0"/>
    <x v="1"/>
  </r>
  <r>
    <x v="0"/>
    <s v="Egypt"/>
    <x v="0"/>
    <x v="0"/>
    <x v="0"/>
    <d v="2025-06-14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00:00"/>
    <d v="1899-12-30T10:15:00"/>
    <n v="0"/>
    <x v="1"/>
  </r>
  <r>
    <x v="0"/>
    <s v="Egypt"/>
    <x v="0"/>
    <x v="0"/>
    <x v="0"/>
    <m/>
    <m/>
    <s v="Break 30 Morning"/>
    <d v="1899-12-30T12:45:00"/>
    <d v="1899-12-30T13:15:00"/>
    <n v="0"/>
    <x v="1"/>
  </r>
  <r>
    <x v="0"/>
    <s v="Egypt"/>
    <x v="0"/>
    <x v="0"/>
    <x v="0"/>
    <d v="2025-06-15T00:00:00"/>
    <m/>
    <s v="Day Off"/>
    <m/>
    <m/>
    <n v="0"/>
    <x v="1"/>
  </r>
  <r>
    <x v="0"/>
    <s v="Egypt"/>
    <x v="0"/>
    <x v="0"/>
    <x v="0"/>
    <d v="2025-06-16T00:00:00"/>
    <d v="1899-12-30T08:00:00"/>
    <s v="Non Reserved Annual"/>
    <d v="1899-12-30T09:15:00"/>
    <d v="1899-12-30T17:15:00"/>
    <n v="28800"/>
    <x v="1"/>
  </r>
  <r>
    <x v="0"/>
    <s v="Egypt"/>
    <x v="0"/>
    <x v="0"/>
    <x v="0"/>
    <m/>
    <m/>
    <s v="Non Reserved Annual"/>
    <d v="1899-12-30T09:15:00"/>
    <d v="1899-12-30T17:15:00"/>
    <n v="0"/>
    <x v="1"/>
  </r>
  <r>
    <x v="0"/>
    <s v="Egypt"/>
    <x v="0"/>
    <x v="0"/>
    <x v="0"/>
    <d v="2025-06-17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00:00"/>
    <d v="1899-12-30T10:15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18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15:00"/>
    <d v="1899-12-30T10:30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19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09:45:00"/>
    <d v="1899-12-30T10:00:00"/>
    <n v="0"/>
    <x v="1"/>
  </r>
  <r>
    <x v="0"/>
    <s v="Egypt"/>
    <x v="0"/>
    <x v="0"/>
    <x v="0"/>
    <m/>
    <m/>
    <s v="Break 30 Morning"/>
    <d v="1899-12-30T12:45:00"/>
    <d v="1899-12-30T13:15:00"/>
    <n v="0"/>
    <x v="1"/>
  </r>
  <r>
    <x v="0"/>
    <s v="Egypt"/>
    <x v="0"/>
    <x v="0"/>
    <x v="0"/>
    <d v="2025-06-20T00:00:00"/>
    <d v="1899-12-30T08:15:00"/>
    <s v="Non Telecom"/>
    <d v="1899-12-30T11:00:00"/>
    <d v="1899-12-30T19:15:00"/>
    <n v="29700"/>
    <x v="0"/>
  </r>
  <r>
    <x v="0"/>
    <s v="Egypt"/>
    <x v="0"/>
    <x v="0"/>
    <x v="0"/>
    <m/>
    <m/>
    <s v="Break 15 Morning"/>
    <d v="1899-12-30T14:30:00"/>
    <d v="1899-12-30T14:45:00"/>
    <n v="0"/>
    <x v="1"/>
  </r>
  <r>
    <x v="0"/>
    <s v="Egypt"/>
    <x v="0"/>
    <x v="0"/>
    <x v="0"/>
    <m/>
    <m/>
    <s v="Break 30 Morning"/>
    <d v="1899-12-30T17:45:00"/>
    <d v="1899-12-30T18:15:00"/>
    <n v="0"/>
    <x v="1"/>
  </r>
  <r>
    <x v="0"/>
    <s v="Egypt"/>
    <x v="0"/>
    <x v="0"/>
    <x v="0"/>
    <d v="2025-06-21T00:00:00"/>
    <m/>
    <s v="Day Off"/>
    <m/>
    <m/>
    <n v="0"/>
    <x v="1"/>
  </r>
  <r>
    <x v="0"/>
    <s v="Egypt"/>
    <x v="0"/>
    <x v="0"/>
    <x v="0"/>
    <d v="2025-06-22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00:00"/>
    <d v="1899-12-30T10:15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23T00:00:00"/>
    <d v="1899-12-30T08:00:00"/>
    <s v="Non Reserved Annual"/>
    <d v="1899-12-30T09:15:00"/>
    <d v="1899-12-30T17:15:00"/>
    <n v="28800"/>
    <x v="1"/>
  </r>
  <r>
    <x v="0"/>
    <s v="Egypt"/>
    <x v="0"/>
    <x v="0"/>
    <x v="0"/>
    <m/>
    <m/>
    <s v="Non Reserved Annual"/>
    <d v="1899-12-30T09:15:00"/>
    <d v="1899-12-30T17:15:00"/>
    <n v="0"/>
    <x v="1"/>
  </r>
  <r>
    <x v="0"/>
    <s v="Egypt"/>
    <x v="0"/>
    <x v="0"/>
    <x v="0"/>
    <d v="2025-06-24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15:00"/>
    <d v="1899-12-30T10:30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25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45:00"/>
    <d v="1899-12-30T11:00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26T00:00:00"/>
    <m/>
    <s v="Day Off"/>
    <m/>
    <m/>
    <n v="0"/>
    <x v="1"/>
  </r>
  <r>
    <x v="0"/>
    <s v="Egypt"/>
    <x v="0"/>
    <x v="0"/>
    <x v="0"/>
    <d v="2025-06-27T00:00:00"/>
    <m/>
    <s v="Day Off"/>
    <m/>
    <m/>
    <n v="0"/>
    <x v="1"/>
  </r>
  <r>
    <x v="0"/>
    <s v="Egypt"/>
    <x v="0"/>
    <x v="0"/>
    <x v="0"/>
    <d v="2025-06-28T00:00:00"/>
    <d v="1899-12-30T08:00:00"/>
    <s v="Non Reserved Annual"/>
    <d v="1899-12-30T09:15:00"/>
    <d v="1899-12-30T17:15:00"/>
    <n v="28800"/>
    <x v="1"/>
  </r>
  <r>
    <x v="0"/>
    <s v="Egypt"/>
    <x v="0"/>
    <x v="0"/>
    <x v="0"/>
    <m/>
    <m/>
    <s v="Non Reserved Annual"/>
    <d v="1899-12-30T09:15:00"/>
    <d v="1899-12-30T17:15:00"/>
    <n v="0"/>
    <x v="1"/>
  </r>
  <r>
    <x v="0"/>
    <s v="Egypt"/>
    <x v="0"/>
    <x v="0"/>
    <x v="0"/>
    <d v="2025-06-29T00:00:00"/>
    <d v="1899-12-30T08:15:00"/>
    <s v="Non Telecom"/>
    <d v="1899-12-30T08:00:00"/>
    <d v="1899-12-30T16:15:00"/>
    <n v="29700"/>
    <x v="0"/>
  </r>
  <r>
    <x v="0"/>
    <s v="Egypt"/>
    <x v="0"/>
    <x v="0"/>
    <x v="0"/>
    <m/>
    <m/>
    <s v="Break 15 Morning"/>
    <d v="1899-12-30T10:00:00"/>
    <d v="1899-12-30T10:15:00"/>
    <n v="0"/>
    <x v="1"/>
  </r>
  <r>
    <x v="0"/>
    <s v="Egypt"/>
    <x v="0"/>
    <x v="0"/>
    <x v="0"/>
    <m/>
    <m/>
    <s v="Break 30 Morning"/>
    <d v="1899-12-30T13:15:00"/>
    <d v="1899-12-30T13:45:00"/>
    <n v="0"/>
    <x v="1"/>
  </r>
  <r>
    <x v="0"/>
    <s v="Egypt"/>
    <x v="0"/>
    <x v="0"/>
    <x v="0"/>
    <d v="2025-06-30T00:00:00"/>
    <d v="1899-12-30T08:00:00"/>
    <s v="Non Reserved Annual"/>
    <d v="1899-12-30T09:15:00"/>
    <d v="1899-12-30T17:15:00"/>
    <n v="28800"/>
    <x v="1"/>
  </r>
  <r>
    <x v="0"/>
    <s v="Egypt"/>
    <x v="0"/>
    <x v="0"/>
    <x v="0"/>
    <m/>
    <m/>
    <s v="Non Reserved Annual"/>
    <d v="1899-12-30T09:15:00"/>
    <d v="1899-12-30T17:15:00"/>
    <n v="0"/>
    <x v="1"/>
  </r>
  <r>
    <x v="0"/>
    <s v="Egypt"/>
    <x v="1"/>
    <x v="1"/>
    <x v="1"/>
    <d v="2025-06-01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15:00"/>
    <d v="1899-12-30T10:30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02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03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04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05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45:00"/>
    <d v="1899-12-30T10:00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06T00:00:00"/>
    <m/>
    <s v="Day Off"/>
    <m/>
    <m/>
    <n v="0"/>
    <x v="1"/>
  </r>
  <r>
    <x v="0"/>
    <s v="Egypt"/>
    <x v="1"/>
    <x v="1"/>
    <x v="1"/>
    <d v="2025-06-07T00:00:00"/>
    <m/>
    <s v="Day Off"/>
    <m/>
    <m/>
    <n v="0"/>
    <x v="1"/>
  </r>
  <r>
    <x v="0"/>
    <s v="Egypt"/>
    <x v="1"/>
    <x v="1"/>
    <x v="1"/>
    <d v="2025-06-08T00:00:00"/>
    <d v="1899-12-30T08:15:00"/>
    <s v="Public holiday"/>
    <m/>
    <m/>
    <n v="29700"/>
    <x v="1"/>
  </r>
  <r>
    <x v="0"/>
    <s v="Egypt"/>
    <x v="1"/>
    <x v="1"/>
    <x v="1"/>
    <d v="2025-06-09T00:00:00"/>
    <d v="1899-12-30T08:15:00"/>
    <s v="Public holiday"/>
    <m/>
    <m/>
    <n v="29700"/>
    <x v="1"/>
  </r>
  <r>
    <x v="0"/>
    <s v="Egypt"/>
    <x v="1"/>
    <x v="1"/>
    <x v="1"/>
    <d v="2025-06-10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00:00"/>
    <d v="1899-12-30T10:15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m/>
    <m/>
    <s v="Leave Early"/>
    <d v="1899-12-30T14:15:00"/>
    <d v="1899-12-30T16:15:00"/>
    <n v="0"/>
    <x v="1"/>
  </r>
  <r>
    <x v="0"/>
    <s v="Egypt"/>
    <x v="1"/>
    <x v="1"/>
    <x v="1"/>
    <d v="2025-06-11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15:00"/>
    <d v="1899-12-30T10:30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12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00:00"/>
    <d v="1899-12-30T10:1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13T00:00:00"/>
    <m/>
    <s v="Day Off"/>
    <m/>
    <m/>
    <n v="0"/>
    <x v="1"/>
  </r>
  <r>
    <x v="0"/>
    <s v="Egypt"/>
    <x v="1"/>
    <x v="1"/>
    <x v="1"/>
    <d v="2025-06-14T00:00:00"/>
    <m/>
    <s v="Day Off"/>
    <m/>
    <m/>
    <n v="0"/>
    <x v="1"/>
  </r>
  <r>
    <x v="0"/>
    <s v="Egypt"/>
    <x v="1"/>
    <x v="1"/>
    <x v="1"/>
    <d v="2025-06-15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00:00"/>
    <d v="1899-12-30T10:15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16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15:00"/>
    <d v="1899-12-30T12:45:00"/>
    <n v="0"/>
    <x v="1"/>
  </r>
  <r>
    <x v="0"/>
    <s v="Egypt"/>
    <x v="1"/>
    <x v="1"/>
    <x v="1"/>
    <d v="2025-06-17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18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19T00:00:00"/>
    <d v="1899-12-30T08:15:00"/>
    <s v="Annual Exception"/>
    <m/>
    <m/>
    <n v="29700"/>
    <x v="1"/>
  </r>
  <r>
    <x v="0"/>
    <s v="Egypt"/>
    <x v="1"/>
    <x v="1"/>
    <x v="1"/>
    <d v="2025-06-20T00:00:00"/>
    <m/>
    <s v="Day Off"/>
    <m/>
    <m/>
    <n v="0"/>
    <x v="1"/>
  </r>
  <r>
    <x v="0"/>
    <s v="Egypt"/>
    <x v="1"/>
    <x v="1"/>
    <x v="1"/>
    <d v="2025-06-21T00:00:00"/>
    <m/>
    <s v="Day Off"/>
    <m/>
    <m/>
    <n v="0"/>
    <x v="1"/>
  </r>
  <r>
    <x v="0"/>
    <s v="Egypt"/>
    <x v="1"/>
    <x v="1"/>
    <x v="1"/>
    <d v="2025-06-22T00:00:00"/>
    <d v="1899-12-30T09:15:00"/>
    <s v="Non Telecom"/>
    <d v="1899-12-30T08:00:00"/>
    <d v="1899-12-30T17:15:00"/>
    <n v="33300"/>
    <x v="0"/>
  </r>
  <r>
    <x v="0"/>
    <s v="Egypt"/>
    <x v="1"/>
    <x v="1"/>
    <x v="1"/>
    <m/>
    <m/>
    <s v="Break 15 Morning"/>
    <d v="1899-12-30T11:45:00"/>
    <d v="1899-12-30T12:00:00"/>
    <n v="0"/>
    <x v="1"/>
  </r>
  <r>
    <x v="0"/>
    <s v="Egypt"/>
    <x v="1"/>
    <x v="1"/>
    <x v="1"/>
    <m/>
    <m/>
    <s v="Break 30 Morning"/>
    <d v="1899-12-30T14:45:00"/>
    <d v="1899-12-30T15:15:00"/>
    <n v="0"/>
    <x v="1"/>
  </r>
  <r>
    <x v="0"/>
    <s v="Egypt"/>
    <x v="1"/>
    <x v="1"/>
    <x v="1"/>
    <m/>
    <m/>
    <s v="Shift Move"/>
    <d v="1899-12-30T16:15:00"/>
    <d v="1899-12-30T17:15:00"/>
    <n v="0"/>
    <x v="1"/>
  </r>
  <r>
    <x v="0"/>
    <s v="Egypt"/>
    <x v="1"/>
    <x v="1"/>
    <x v="1"/>
    <d v="2025-06-23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15:00"/>
    <d v="1899-12-30T10:30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24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30:00"/>
    <d v="1899-12-30T09:45:00"/>
    <n v="0"/>
    <x v="1"/>
  </r>
  <r>
    <x v="0"/>
    <s v="Egypt"/>
    <x v="1"/>
    <x v="1"/>
    <x v="1"/>
    <m/>
    <m/>
    <s v="Break 30 Morning"/>
    <d v="1899-12-30T12:15:00"/>
    <d v="1899-12-30T12:45:00"/>
    <n v="0"/>
    <x v="1"/>
  </r>
  <r>
    <x v="0"/>
    <s v="Egypt"/>
    <x v="1"/>
    <x v="1"/>
    <x v="1"/>
    <d v="2025-06-25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15:00"/>
    <d v="1899-12-30T10:30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26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00:00"/>
    <d v="1899-12-30T10:15:00"/>
    <n v="0"/>
    <x v="1"/>
  </r>
  <r>
    <x v="0"/>
    <s v="Egypt"/>
    <x v="1"/>
    <x v="1"/>
    <x v="1"/>
    <m/>
    <m/>
    <s v="Break 30 Morning"/>
    <d v="1899-12-30T13:15:00"/>
    <d v="1899-12-30T13:45:00"/>
    <n v="0"/>
    <x v="1"/>
  </r>
  <r>
    <x v="0"/>
    <s v="Egypt"/>
    <x v="1"/>
    <x v="1"/>
    <x v="1"/>
    <d v="2025-06-27T00:00:00"/>
    <m/>
    <s v="Day Off"/>
    <m/>
    <m/>
    <n v="0"/>
    <x v="1"/>
  </r>
  <r>
    <x v="0"/>
    <s v="Egypt"/>
    <x v="1"/>
    <x v="1"/>
    <x v="1"/>
    <d v="2025-06-28T00:00:00"/>
    <m/>
    <s v="Day Off"/>
    <m/>
    <m/>
    <n v="0"/>
    <x v="1"/>
  </r>
  <r>
    <x v="0"/>
    <s v="Egypt"/>
    <x v="1"/>
    <x v="1"/>
    <x v="1"/>
    <d v="2025-06-29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09:45:00"/>
    <d v="1899-12-30T10:00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1"/>
    <x v="1"/>
    <d v="2025-06-30T00:00:00"/>
    <d v="1899-12-30T08:15:00"/>
    <s v="Non Telecom"/>
    <d v="1899-12-30T08:00:00"/>
    <d v="1899-12-30T16:15:00"/>
    <n v="29700"/>
    <x v="0"/>
  </r>
  <r>
    <x v="0"/>
    <s v="Egypt"/>
    <x v="1"/>
    <x v="1"/>
    <x v="1"/>
    <m/>
    <m/>
    <s v="Break 15 Morning"/>
    <d v="1899-12-30T10:00:00"/>
    <d v="1899-12-30T10:15:00"/>
    <n v="0"/>
    <x v="1"/>
  </r>
  <r>
    <x v="0"/>
    <s v="Egypt"/>
    <x v="1"/>
    <x v="1"/>
    <x v="1"/>
    <m/>
    <m/>
    <s v="Break 30 Morning"/>
    <d v="1899-12-30T12:45:00"/>
    <d v="1899-12-30T13:15:00"/>
    <n v="0"/>
    <x v="1"/>
  </r>
  <r>
    <x v="0"/>
    <s v="Egypt"/>
    <x v="1"/>
    <x v="2"/>
    <x v="2"/>
    <d v="2025-06-01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02T00:00:00"/>
    <d v="1899-12-30T11:15:00"/>
    <s v="Non Telecom"/>
    <d v="1899-12-30T08:00:00"/>
    <d v="1899-12-30T19:15:00"/>
    <n v="40500"/>
    <x v="0"/>
  </r>
  <r>
    <x v="0"/>
    <s v="Egypt"/>
    <x v="1"/>
    <x v="2"/>
    <x v="2"/>
    <m/>
    <m/>
    <s v="Shift Move"/>
    <d v="1899-12-30T08:00:00"/>
    <d v="1899-12-30T11:00:00"/>
    <n v="0"/>
    <x v="1"/>
  </r>
  <r>
    <x v="0"/>
    <s v="Egypt"/>
    <x v="1"/>
    <x v="2"/>
    <x v="2"/>
    <m/>
    <m/>
    <s v="Break 15 Morning"/>
    <d v="1899-12-30T13:30:00"/>
    <d v="1899-12-30T13:45:00"/>
    <n v="0"/>
    <x v="1"/>
  </r>
  <r>
    <x v="0"/>
    <s v="Egypt"/>
    <x v="1"/>
    <x v="2"/>
    <x v="2"/>
    <m/>
    <m/>
    <s v="Break 30 Morning"/>
    <d v="1899-12-30T17:30:00"/>
    <d v="1899-12-30T18:00:00"/>
    <n v="0"/>
    <x v="1"/>
  </r>
  <r>
    <x v="0"/>
    <s v="Egypt"/>
    <x v="1"/>
    <x v="2"/>
    <x v="2"/>
    <d v="2025-06-03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04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05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10:00:00"/>
    <d v="1899-12-30T10:15:00"/>
    <n v="0"/>
    <x v="1"/>
  </r>
  <r>
    <x v="0"/>
    <s v="Egypt"/>
    <x v="1"/>
    <x v="2"/>
    <x v="2"/>
    <m/>
    <m/>
    <s v="Break 30 Morning"/>
    <d v="1899-12-30T13:15:00"/>
    <d v="1899-12-30T13:45:00"/>
    <n v="0"/>
    <x v="1"/>
  </r>
  <r>
    <x v="0"/>
    <s v="Egypt"/>
    <x v="1"/>
    <x v="2"/>
    <x v="2"/>
    <d v="2025-06-06T00:00:00"/>
    <m/>
    <s v="Day Off"/>
    <m/>
    <m/>
    <n v="0"/>
    <x v="1"/>
  </r>
  <r>
    <x v="0"/>
    <s v="Egypt"/>
    <x v="1"/>
    <x v="2"/>
    <x v="2"/>
    <d v="2025-06-07T00:00:00"/>
    <m/>
    <s v="Day Off"/>
    <m/>
    <m/>
    <n v="0"/>
    <x v="1"/>
  </r>
  <r>
    <x v="0"/>
    <s v="Egypt"/>
    <x v="1"/>
    <x v="2"/>
    <x v="2"/>
    <d v="2025-06-08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09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0T00:00:00"/>
    <d v="1899-12-30T09:15:00"/>
    <s v="Non Telecom"/>
    <d v="1899-12-30T08:00:00"/>
    <d v="1899-12-30T17:15:00"/>
    <n v="33300"/>
    <x v="0"/>
  </r>
  <r>
    <x v="0"/>
    <s v="Egypt"/>
    <x v="1"/>
    <x v="2"/>
    <x v="2"/>
    <m/>
    <m/>
    <s v="Shift Move"/>
    <d v="1899-12-30T08:00:00"/>
    <d v="1899-12-30T09:00:00"/>
    <n v="0"/>
    <x v="1"/>
  </r>
  <r>
    <x v="0"/>
    <s v="Egypt"/>
    <x v="1"/>
    <x v="2"/>
    <x v="2"/>
    <m/>
    <m/>
    <s v="Break 15 Morning"/>
    <d v="1899-12-30T12:15:00"/>
    <d v="1899-12-30T12:30:00"/>
    <n v="0"/>
    <x v="1"/>
  </r>
  <r>
    <x v="0"/>
    <s v="Egypt"/>
    <x v="1"/>
    <x v="2"/>
    <x v="2"/>
    <m/>
    <m/>
    <s v="Break 30 Morning"/>
    <d v="1899-12-30T14:30:00"/>
    <d v="1899-12-30T15:00:00"/>
    <n v="0"/>
    <x v="1"/>
  </r>
  <r>
    <x v="0"/>
    <s v="Egypt"/>
    <x v="1"/>
    <x v="2"/>
    <x v="2"/>
    <d v="2025-06-11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2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3T00:00:00"/>
    <m/>
    <s v="Day Off"/>
    <m/>
    <m/>
    <n v="0"/>
    <x v="1"/>
  </r>
  <r>
    <x v="0"/>
    <s v="Egypt"/>
    <x v="1"/>
    <x v="2"/>
    <x v="2"/>
    <d v="2025-06-14T00:00:00"/>
    <m/>
    <s v="Day Off"/>
    <m/>
    <m/>
    <n v="0"/>
    <x v="1"/>
  </r>
  <r>
    <x v="0"/>
    <s v="Egypt"/>
    <x v="1"/>
    <x v="2"/>
    <x v="2"/>
    <d v="2025-06-15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6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30:00"/>
    <d v="1899-12-30T09:45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7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30:00"/>
    <d v="1899-12-30T09:45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8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19T00:00:00"/>
    <d v="1899-12-30T08:15:00"/>
    <s v="Annual Exception"/>
    <m/>
    <m/>
    <n v="29700"/>
    <x v="1"/>
  </r>
  <r>
    <x v="0"/>
    <s v="Egypt"/>
    <x v="1"/>
    <x v="2"/>
    <x v="2"/>
    <d v="2025-06-20T00:00:00"/>
    <m/>
    <s v="Day Off"/>
    <m/>
    <m/>
    <n v="0"/>
    <x v="1"/>
  </r>
  <r>
    <x v="0"/>
    <s v="Egypt"/>
    <x v="1"/>
    <x v="2"/>
    <x v="2"/>
    <d v="2025-06-21T00:00:00"/>
    <m/>
    <s v="Day Off"/>
    <m/>
    <m/>
    <n v="0"/>
    <x v="1"/>
  </r>
  <r>
    <x v="0"/>
    <s v="Egypt"/>
    <x v="1"/>
    <x v="2"/>
    <x v="2"/>
    <d v="2025-06-22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23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m/>
    <m/>
    <s v="Leave Early"/>
    <d v="1899-12-30T14:15:00"/>
    <d v="1899-12-30T16:15:00"/>
    <n v="0"/>
    <x v="1"/>
  </r>
  <r>
    <x v="0"/>
    <s v="Egypt"/>
    <x v="1"/>
    <x v="2"/>
    <x v="2"/>
    <d v="2025-06-24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25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2"/>
    <x v="2"/>
    <d v="2025-06-26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3:15:00"/>
    <d v="1899-12-30T13:45:00"/>
    <n v="0"/>
    <x v="1"/>
  </r>
  <r>
    <x v="0"/>
    <s v="Egypt"/>
    <x v="1"/>
    <x v="2"/>
    <x v="2"/>
    <d v="2025-06-27T00:00:00"/>
    <d v="1899-12-30T07:15:00"/>
    <s v="Non Telecom"/>
    <d v="1899-12-30T09:00:00"/>
    <d v="1899-12-30T16:15:00"/>
    <n v="26100"/>
    <x v="0"/>
  </r>
  <r>
    <x v="0"/>
    <s v="Egypt"/>
    <x v="1"/>
    <x v="2"/>
    <x v="2"/>
    <m/>
    <m/>
    <s v="Break 15 Morning"/>
    <d v="1899-12-30T12:15:00"/>
    <d v="1899-12-30T12:30:00"/>
    <n v="0"/>
    <x v="1"/>
  </r>
  <r>
    <x v="0"/>
    <s v="Egypt"/>
    <x v="1"/>
    <x v="2"/>
    <x v="2"/>
    <m/>
    <m/>
    <s v="Break 30 Morning"/>
    <d v="1899-12-30T14:45:00"/>
    <d v="1899-12-30T15:15:00"/>
    <n v="0"/>
    <x v="1"/>
  </r>
  <r>
    <x v="0"/>
    <s v="Egypt"/>
    <x v="1"/>
    <x v="2"/>
    <x v="2"/>
    <d v="2025-06-28T00:00:00"/>
    <m/>
    <s v="Day Off"/>
    <m/>
    <m/>
    <n v="0"/>
    <x v="1"/>
  </r>
  <r>
    <x v="0"/>
    <s v="Egypt"/>
    <x v="1"/>
    <x v="2"/>
    <x v="2"/>
    <d v="2025-06-29T00:00:00"/>
    <m/>
    <s v="Day Off"/>
    <m/>
    <m/>
    <n v="0"/>
    <x v="1"/>
  </r>
  <r>
    <x v="0"/>
    <s v="Egypt"/>
    <x v="1"/>
    <x v="2"/>
    <x v="2"/>
    <d v="2025-06-30T00:00:00"/>
    <d v="1899-12-30T08:15:00"/>
    <s v="Non Telecom"/>
    <d v="1899-12-30T08:00:00"/>
    <d v="1899-12-30T16:15:00"/>
    <n v="29700"/>
    <x v="0"/>
  </r>
  <r>
    <x v="0"/>
    <s v="Egypt"/>
    <x v="1"/>
    <x v="2"/>
    <x v="2"/>
    <m/>
    <m/>
    <s v="Break 15 Morning"/>
    <d v="1899-12-30T09:45:00"/>
    <d v="1899-12-30T10:00:00"/>
    <n v="0"/>
    <x v="1"/>
  </r>
  <r>
    <x v="0"/>
    <s v="Egypt"/>
    <x v="1"/>
    <x v="2"/>
    <x v="2"/>
    <m/>
    <m/>
    <s v="Break 30 Morning"/>
    <d v="1899-12-30T12:45:00"/>
    <d v="1899-12-30T13:15:00"/>
    <n v="0"/>
    <x v="1"/>
  </r>
  <r>
    <x v="0"/>
    <s v="Egypt"/>
    <x v="1"/>
    <x v="3"/>
    <x v="3"/>
    <d v="2025-06-01T00:00:00"/>
    <d v="1899-12-30T08:15:00"/>
    <s v="Sick"/>
    <m/>
    <m/>
    <n v="29700"/>
    <x v="1"/>
  </r>
  <r>
    <x v="0"/>
    <s v="Egypt"/>
    <x v="1"/>
    <x v="3"/>
    <x v="3"/>
    <d v="2025-06-02T00:00:00"/>
    <d v="1899-12-30T08:15:00"/>
    <s v="Sick"/>
    <m/>
    <m/>
    <n v="29700"/>
    <x v="1"/>
  </r>
  <r>
    <x v="0"/>
    <s v="Egypt"/>
    <x v="1"/>
    <x v="3"/>
    <x v="3"/>
    <d v="2025-06-03T00:00:00"/>
    <d v="1899-12-30T08:15:00"/>
    <s v="Sick"/>
    <m/>
    <m/>
    <n v="29700"/>
    <x v="1"/>
  </r>
  <r>
    <x v="0"/>
    <s v="Egypt"/>
    <x v="1"/>
    <x v="3"/>
    <x v="3"/>
    <d v="2025-06-04T00:00:00"/>
    <d v="1899-12-30T08:15:00"/>
    <s v="Sick"/>
    <m/>
    <m/>
    <n v="29700"/>
    <x v="1"/>
  </r>
  <r>
    <x v="0"/>
    <s v="Egypt"/>
    <x v="1"/>
    <x v="3"/>
    <x v="3"/>
    <d v="2025-06-05T00:00:00"/>
    <d v="1899-12-30T08:15:00"/>
    <s v="Annual Exception"/>
    <m/>
    <m/>
    <n v="29700"/>
    <x v="1"/>
  </r>
  <r>
    <x v="0"/>
    <s v="Egypt"/>
    <x v="1"/>
    <x v="3"/>
    <x v="3"/>
    <d v="2025-06-06T00:00:00"/>
    <d v="1899-12-30T08:15:00"/>
    <s v="Public holiday"/>
    <m/>
    <m/>
    <n v="29700"/>
    <x v="1"/>
  </r>
  <r>
    <x v="0"/>
    <s v="Egypt"/>
    <x v="1"/>
    <x v="3"/>
    <x v="3"/>
    <d v="2025-06-07T00:00:00"/>
    <d v="1899-12-30T08:15:00"/>
    <s v="Annual Exception"/>
    <m/>
    <m/>
    <n v="29700"/>
    <x v="1"/>
  </r>
  <r>
    <x v="0"/>
    <s v="Egypt"/>
    <x v="1"/>
    <x v="3"/>
    <x v="3"/>
    <d v="2025-06-08T00:00:00"/>
    <m/>
    <s v="Day Off"/>
    <m/>
    <m/>
    <n v="0"/>
    <x v="1"/>
  </r>
  <r>
    <x v="0"/>
    <s v="Egypt"/>
    <x v="1"/>
    <x v="3"/>
    <x v="3"/>
    <d v="2025-06-09T00:00:00"/>
    <m/>
    <s v="Day Off"/>
    <m/>
    <m/>
    <n v="0"/>
    <x v="1"/>
  </r>
  <r>
    <x v="0"/>
    <s v="Egypt"/>
    <x v="1"/>
    <x v="3"/>
    <x v="3"/>
    <d v="2025-06-10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10:00:00"/>
    <d v="1899-12-30T10:15:00"/>
    <n v="0"/>
    <x v="1"/>
  </r>
  <r>
    <x v="0"/>
    <s v="Egypt"/>
    <x v="1"/>
    <x v="3"/>
    <x v="3"/>
    <m/>
    <m/>
    <s v="Break 30 Morning"/>
    <d v="1899-12-30T13:15:00"/>
    <d v="1899-12-30T13:45:00"/>
    <n v="0"/>
    <x v="1"/>
  </r>
  <r>
    <x v="0"/>
    <s v="Egypt"/>
    <x v="1"/>
    <x v="3"/>
    <x v="3"/>
    <d v="2025-06-11T00:00:00"/>
    <d v="1899-12-30T08:15:00"/>
    <s v="Non Telecom"/>
    <d v="1899-12-30T09:00:00"/>
    <d v="1899-12-30T17:15:00"/>
    <n v="29700"/>
    <x v="0"/>
  </r>
  <r>
    <x v="0"/>
    <s v="Egypt"/>
    <x v="1"/>
    <x v="3"/>
    <x v="3"/>
    <m/>
    <m/>
    <s v="Break 15 Morning"/>
    <d v="1899-12-30T11:30:00"/>
    <d v="1899-12-30T11:45:00"/>
    <n v="0"/>
    <x v="1"/>
  </r>
  <r>
    <x v="0"/>
    <s v="Egypt"/>
    <x v="1"/>
    <x v="3"/>
    <x v="3"/>
    <m/>
    <m/>
    <s v="Break 30 Morning"/>
    <d v="1899-12-30T14:45:00"/>
    <d v="1899-12-30T15:15:00"/>
    <n v="0"/>
    <x v="1"/>
  </r>
  <r>
    <x v="0"/>
    <s v="Egypt"/>
    <x v="1"/>
    <x v="3"/>
    <x v="3"/>
    <d v="2025-06-12T00:00:00"/>
    <d v="1899-12-30T08:15:00"/>
    <s v="Non Telecom"/>
    <d v="1899-12-30T09:00:00"/>
    <d v="1899-12-30T17:15:00"/>
    <n v="29700"/>
    <x v="0"/>
  </r>
  <r>
    <x v="0"/>
    <s v="Egypt"/>
    <x v="1"/>
    <x v="3"/>
    <x v="3"/>
    <m/>
    <m/>
    <s v="Break 15 Morning"/>
    <d v="1899-12-30T11:45:00"/>
    <d v="1899-12-30T12:00:00"/>
    <n v="0"/>
    <x v="1"/>
  </r>
  <r>
    <x v="0"/>
    <s v="Egypt"/>
    <x v="1"/>
    <x v="3"/>
    <x v="3"/>
    <m/>
    <m/>
    <s v="Break 30 Morning"/>
    <d v="1899-12-30T14:15:00"/>
    <d v="1899-12-30T14:45:00"/>
    <n v="0"/>
    <x v="1"/>
  </r>
  <r>
    <x v="0"/>
    <s v="Egypt"/>
    <x v="1"/>
    <x v="3"/>
    <x v="3"/>
    <d v="2025-06-13T00:00:00"/>
    <d v="1899-12-30T09:15:00"/>
    <s v="Non Telecom"/>
    <d v="1899-12-30T08:00:00"/>
    <d v="1899-12-30T17:15:00"/>
    <n v="33300"/>
    <x v="0"/>
  </r>
  <r>
    <x v="0"/>
    <s v="Egypt"/>
    <x v="1"/>
    <x v="3"/>
    <x v="3"/>
    <m/>
    <m/>
    <s v="Break 15 Morning"/>
    <d v="1899-12-30T10:30:00"/>
    <d v="1899-12-30T10:45:00"/>
    <n v="0"/>
    <x v="1"/>
  </r>
  <r>
    <x v="0"/>
    <s v="Egypt"/>
    <x v="1"/>
    <x v="3"/>
    <x v="3"/>
    <m/>
    <m/>
    <s v="Break 30 Morning"/>
    <d v="1899-12-30T14:00:00"/>
    <d v="1899-12-30T14:30:00"/>
    <n v="0"/>
    <x v="1"/>
  </r>
  <r>
    <x v="0"/>
    <s v="Egypt"/>
    <x v="1"/>
    <x v="3"/>
    <x v="3"/>
    <m/>
    <m/>
    <s v="Shift Move"/>
    <d v="1899-12-30T16:15:00"/>
    <d v="1899-12-30T17:15:00"/>
    <n v="0"/>
    <x v="1"/>
  </r>
  <r>
    <x v="0"/>
    <s v="Egypt"/>
    <x v="1"/>
    <x v="3"/>
    <x v="3"/>
    <d v="2025-06-14T00:00:00"/>
    <d v="1899-12-30T08:00:00"/>
    <s v="Non Reserved Annual"/>
    <d v="1899-12-30T09:15:00"/>
    <d v="1899-12-30T17:15:00"/>
    <n v="28800"/>
    <x v="1"/>
  </r>
  <r>
    <x v="0"/>
    <s v="Egypt"/>
    <x v="1"/>
    <x v="3"/>
    <x v="3"/>
    <m/>
    <m/>
    <s v="Non Reserved Annual"/>
    <d v="1899-12-30T09:15:00"/>
    <d v="1899-12-30T17:15:00"/>
    <n v="0"/>
    <x v="1"/>
  </r>
  <r>
    <x v="0"/>
    <s v="Egypt"/>
    <x v="1"/>
    <x v="3"/>
    <x v="3"/>
    <d v="2025-06-15T00:00:00"/>
    <d v="1899-12-30T08:15:00"/>
    <s v="Annual Exception"/>
    <m/>
    <m/>
    <n v="29700"/>
    <x v="1"/>
  </r>
  <r>
    <x v="0"/>
    <s v="Egypt"/>
    <x v="1"/>
    <x v="3"/>
    <x v="3"/>
    <d v="2025-06-16T00:00:00"/>
    <d v="1899-12-30T08:15:00"/>
    <s v="Annual Exception"/>
    <m/>
    <m/>
    <n v="29700"/>
    <x v="1"/>
  </r>
  <r>
    <x v="0"/>
    <s v="Egypt"/>
    <x v="1"/>
    <x v="3"/>
    <x v="3"/>
    <d v="2025-06-17T00:00:00"/>
    <m/>
    <s v="Day Off"/>
    <m/>
    <m/>
    <n v="0"/>
    <x v="1"/>
  </r>
  <r>
    <x v="0"/>
    <s v="Egypt"/>
    <x v="1"/>
    <x v="3"/>
    <x v="3"/>
    <d v="2025-06-18T00:00:00"/>
    <d v="1899-12-30T08:15:00"/>
    <s v="Annual Exception"/>
    <m/>
    <m/>
    <n v="29700"/>
    <x v="1"/>
  </r>
  <r>
    <x v="0"/>
    <s v="Egypt"/>
    <x v="1"/>
    <x v="3"/>
    <x v="3"/>
    <d v="2025-06-19T00:00:00"/>
    <d v="1899-12-30T08:15:00"/>
    <s v="Annual Exception"/>
    <m/>
    <m/>
    <n v="29700"/>
    <x v="1"/>
  </r>
  <r>
    <x v="0"/>
    <s v="Egypt"/>
    <x v="1"/>
    <x v="3"/>
    <x v="3"/>
    <d v="2025-06-20T00:00:00"/>
    <d v="1899-12-30T08:15:00"/>
    <s v="Annual Exception"/>
    <m/>
    <m/>
    <n v="29700"/>
    <x v="1"/>
  </r>
  <r>
    <x v="0"/>
    <s v="Egypt"/>
    <x v="1"/>
    <x v="3"/>
    <x v="3"/>
    <d v="2025-06-21T00:00:00"/>
    <m/>
    <s v="Day Off"/>
    <m/>
    <m/>
    <n v="0"/>
    <x v="1"/>
  </r>
  <r>
    <x v="0"/>
    <s v="Egypt"/>
    <x v="1"/>
    <x v="3"/>
    <x v="3"/>
    <d v="2025-06-22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09:45:00"/>
    <d v="1899-12-30T10:00:00"/>
    <n v="0"/>
    <x v="1"/>
  </r>
  <r>
    <x v="0"/>
    <s v="Egypt"/>
    <x v="1"/>
    <x v="3"/>
    <x v="3"/>
    <m/>
    <m/>
    <s v="Break 30 Morning"/>
    <d v="1899-12-30T12:45:00"/>
    <d v="1899-12-30T13:15:00"/>
    <n v="0"/>
    <x v="1"/>
  </r>
  <r>
    <x v="0"/>
    <s v="Egypt"/>
    <x v="1"/>
    <x v="3"/>
    <x v="3"/>
    <d v="2025-06-23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09:45:00"/>
    <d v="1899-12-30T10:00:00"/>
    <n v="0"/>
    <x v="1"/>
  </r>
  <r>
    <x v="0"/>
    <s v="Egypt"/>
    <x v="1"/>
    <x v="3"/>
    <x v="3"/>
    <m/>
    <m/>
    <s v="Break 30 Morning"/>
    <d v="1899-12-30T12:45:00"/>
    <d v="1899-12-30T13:15:00"/>
    <n v="0"/>
    <x v="1"/>
  </r>
  <r>
    <x v="0"/>
    <s v="Egypt"/>
    <x v="1"/>
    <x v="3"/>
    <x v="3"/>
    <d v="2025-06-24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10:00:00"/>
    <d v="1899-12-30T10:15:00"/>
    <n v="0"/>
    <x v="1"/>
  </r>
  <r>
    <x v="0"/>
    <s v="Egypt"/>
    <x v="1"/>
    <x v="3"/>
    <x v="3"/>
    <m/>
    <m/>
    <s v="Break 30 Morning"/>
    <d v="1899-12-30T12:45:00"/>
    <d v="1899-12-30T13:15:00"/>
    <n v="0"/>
    <x v="1"/>
  </r>
  <r>
    <x v="0"/>
    <s v="Egypt"/>
    <x v="1"/>
    <x v="3"/>
    <x v="3"/>
    <d v="2025-06-25T00:00:00"/>
    <d v="1899-12-30T08:15:00"/>
    <s v="Annual Exception"/>
    <m/>
    <m/>
    <n v="29700"/>
    <x v="1"/>
  </r>
  <r>
    <x v="0"/>
    <s v="Egypt"/>
    <x v="1"/>
    <x v="3"/>
    <x v="3"/>
    <d v="2025-06-26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09:45:00"/>
    <d v="1899-12-30T10:00:00"/>
    <n v="0"/>
    <x v="1"/>
  </r>
  <r>
    <x v="0"/>
    <s v="Egypt"/>
    <x v="1"/>
    <x v="3"/>
    <x v="3"/>
    <m/>
    <m/>
    <s v="Break 30 Morning"/>
    <d v="1899-12-30T13:15:00"/>
    <d v="1899-12-30T13:45:00"/>
    <n v="0"/>
    <x v="1"/>
  </r>
  <r>
    <x v="0"/>
    <s v="Egypt"/>
    <x v="1"/>
    <x v="3"/>
    <x v="3"/>
    <d v="2025-06-27T00:00:00"/>
    <m/>
    <s v="Day Off"/>
    <m/>
    <m/>
    <n v="0"/>
    <x v="1"/>
  </r>
  <r>
    <x v="0"/>
    <s v="Egypt"/>
    <x v="1"/>
    <x v="3"/>
    <x v="3"/>
    <d v="2025-06-28T00:00:00"/>
    <m/>
    <s v="Day Off"/>
    <m/>
    <m/>
    <n v="0"/>
    <x v="1"/>
  </r>
  <r>
    <x v="0"/>
    <s v="Egypt"/>
    <x v="1"/>
    <x v="3"/>
    <x v="3"/>
    <d v="2025-06-29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09:45:00"/>
    <d v="1899-12-30T10:00:00"/>
    <n v="0"/>
    <x v="1"/>
  </r>
  <r>
    <x v="0"/>
    <s v="Egypt"/>
    <x v="1"/>
    <x v="3"/>
    <x v="3"/>
    <m/>
    <m/>
    <s v="Break 30 Morning"/>
    <d v="1899-12-30T12:45:00"/>
    <d v="1899-12-30T13:15:00"/>
    <n v="0"/>
    <x v="1"/>
  </r>
  <r>
    <x v="0"/>
    <s v="Egypt"/>
    <x v="1"/>
    <x v="3"/>
    <x v="3"/>
    <d v="2025-06-30T00:00:00"/>
    <d v="1899-12-30T08:15:00"/>
    <s v="Non Telecom"/>
    <d v="1899-12-30T08:00:00"/>
    <d v="1899-12-30T16:15:00"/>
    <n v="29700"/>
    <x v="0"/>
  </r>
  <r>
    <x v="0"/>
    <s v="Egypt"/>
    <x v="1"/>
    <x v="3"/>
    <x v="3"/>
    <m/>
    <m/>
    <s v="Break 15 Morning"/>
    <d v="1899-12-30T09:45:00"/>
    <d v="1899-12-30T10:00:00"/>
    <n v="0"/>
    <x v="1"/>
  </r>
  <r>
    <x v="0"/>
    <s v="Egypt"/>
    <x v="1"/>
    <x v="3"/>
    <x v="3"/>
    <m/>
    <m/>
    <s v="Break 30 Morning"/>
    <d v="1899-12-30T12:45:00"/>
    <d v="1899-12-30T13:15:00"/>
    <n v="0"/>
    <x v="1"/>
  </r>
  <r>
    <x v="0"/>
    <s v="Egypt"/>
    <x v="1"/>
    <x v="4"/>
    <x v="4"/>
    <d v="2025-06-01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02T00:00:00"/>
    <m/>
    <s v="Day Off"/>
    <m/>
    <m/>
    <n v="0"/>
    <x v="1"/>
  </r>
  <r>
    <x v="0"/>
    <s v="Egypt"/>
    <x v="1"/>
    <x v="4"/>
    <x v="4"/>
    <d v="2025-06-03T00:00:00"/>
    <m/>
    <s v="Day Off"/>
    <m/>
    <m/>
    <n v="0"/>
    <x v="1"/>
  </r>
  <r>
    <x v="0"/>
    <s v="Egypt"/>
    <x v="1"/>
    <x v="4"/>
    <x v="4"/>
    <d v="2025-06-04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05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45:00"/>
    <d v="1899-12-30T11:00:00"/>
    <n v="0"/>
    <x v="1"/>
  </r>
  <r>
    <x v="0"/>
    <s v="Egypt"/>
    <x v="1"/>
    <x v="4"/>
    <x v="4"/>
    <m/>
    <m/>
    <s v="Break 30 Morning"/>
    <d v="1899-12-30T13:45:00"/>
    <d v="1899-12-30T14:15:00"/>
    <n v="0"/>
    <x v="1"/>
  </r>
  <r>
    <x v="0"/>
    <s v="Egypt"/>
    <x v="1"/>
    <x v="4"/>
    <x v="4"/>
    <d v="2025-06-06T00:00:00"/>
    <d v="1899-12-30T08:15:00"/>
    <s v="Public holiday"/>
    <m/>
    <m/>
    <n v="29700"/>
    <x v="1"/>
  </r>
  <r>
    <x v="0"/>
    <s v="Egypt"/>
    <x v="1"/>
    <x v="4"/>
    <x v="4"/>
    <d v="2025-06-07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09:45:00"/>
    <d v="1899-12-30T10:00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08T00:00:00"/>
    <m/>
    <s v="Day Off"/>
    <m/>
    <m/>
    <n v="0"/>
    <x v="1"/>
  </r>
  <r>
    <x v="0"/>
    <s v="Egypt"/>
    <x v="1"/>
    <x v="4"/>
    <x v="4"/>
    <d v="2025-06-09T00:00:00"/>
    <m/>
    <s v="Day Off"/>
    <m/>
    <m/>
    <n v="0"/>
    <x v="1"/>
  </r>
  <r>
    <x v="0"/>
    <s v="Egypt"/>
    <x v="1"/>
    <x v="4"/>
    <x v="4"/>
    <d v="2025-06-10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09:45:00"/>
    <d v="1899-12-30T10:00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11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12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13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09:45:00"/>
    <d v="1899-12-30T10:00:00"/>
    <n v="0"/>
    <x v="1"/>
  </r>
  <r>
    <x v="0"/>
    <s v="Egypt"/>
    <x v="1"/>
    <x v="4"/>
    <x v="4"/>
    <m/>
    <m/>
    <s v="Break 30 Morning"/>
    <d v="1899-12-30T13:00:00"/>
    <d v="1899-12-30T13:30:00"/>
    <n v="0"/>
    <x v="1"/>
  </r>
  <r>
    <x v="0"/>
    <s v="Egypt"/>
    <x v="1"/>
    <x v="4"/>
    <x v="4"/>
    <d v="2025-06-14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15T00:00:00"/>
    <m/>
    <s v="Day Off"/>
    <m/>
    <m/>
    <n v="0"/>
    <x v="1"/>
  </r>
  <r>
    <x v="0"/>
    <s v="Egypt"/>
    <x v="1"/>
    <x v="4"/>
    <x v="4"/>
    <d v="2025-06-16T00:00:00"/>
    <d v="1899-12-30T08:15:00"/>
    <s v="Annual Exception"/>
    <m/>
    <m/>
    <n v="29700"/>
    <x v="1"/>
  </r>
  <r>
    <x v="0"/>
    <s v="Egypt"/>
    <x v="1"/>
    <x v="4"/>
    <x v="4"/>
    <d v="2025-06-17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18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19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20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09:45:00"/>
    <d v="1899-12-30T10:00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21T00:00:00"/>
    <m/>
    <s v="Day Off"/>
    <m/>
    <m/>
    <n v="0"/>
    <x v="1"/>
  </r>
  <r>
    <x v="0"/>
    <s v="Egypt"/>
    <x v="1"/>
    <x v="4"/>
    <x v="4"/>
    <d v="2025-06-22T00:00:00"/>
    <d v="1899-12-30T08:15:00"/>
    <s v="Annual"/>
    <m/>
    <m/>
    <n v="29700"/>
    <x v="1"/>
  </r>
  <r>
    <x v="0"/>
    <s v="Egypt"/>
    <x v="1"/>
    <x v="4"/>
    <x v="4"/>
    <d v="2025-06-23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2:45:00"/>
    <d v="1899-12-30T13:15:00"/>
    <n v="0"/>
    <x v="1"/>
  </r>
  <r>
    <x v="0"/>
    <s v="Egypt"/>
    <x v="1"/>
    <x v="4"/>
    <x v="4"/>
    <d v="2025-06-24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30:00"/>
    <d v="1899-12-30T10:45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25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26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27T00:00:00"/>
    <m/>
    <s v="Day Off"/>
    <m/>
    <m/>
    <n v="0"/>
    <x v="1"/>
  </r>
  <r>
    <x v="0"/>
    <s v="Egypt"/>
    <x v="1"/>
    <x v="4"/>
    <x v="4"/>
    <d v="2025-06-28T00:00:00"/>
    <m/>
    <s v="Day Off"/>
    <m/>
    <m/>
    <n v="0"/>
    <x v="1"/>
  </r>
  <r>
    <x v="0"/>
    <s v="Egypt"/>
    <x v="1"/>
    <x v="4"/>
    <x v="4"/>
    <d v="2025-06-29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00:00"/>
    <d v="1899-12-30T10:15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4"/>
    <x v="4"/>
    <d v="2025-06-30T00:00:00"/>
    <d v="1899-12-30T08:15:00"/>
    <s v="Non Telecom"/>
    <d v="1899-12-30T08:00:00"/>
    <d v="1899-12-30T16:15:00"/>
    <n v="29700"/>
    <x v="0"/>
  </r>
  <r>
    <x v="0"/>
    <s v="Egypt"/>
    <x v="1"/>
    <x v="4"/>
    <x v="4"/>
    <m/>
    <m/>
    <s v="Break 15 Morning"/>
    <d v="1899-12-30T10:15:00"/>
    <d v="1899-12-30T10:30:00"/>
    <n v="0"/>
    <x v="1"/>
  </r>
  <r>
    <x v="0"/>
    <s v="Egypt"/>
    <x v="1"/>
    <x v="4"/>
    <x v="4"/>
    <m/>
    <m/>
    <s v="Break 30 Morning"/>
    <d v="1899-12-30T13:15:00"/>
    <d v="1899-12-30T13:45:00"/>
    <n v="0"/>
    <x v="1"/>
  </r>
  <r>
    <x v="0"/>
    <s v="Egypt"/>
    <x v="1"/>
    <x v="5"/>
    <x v="5"/>
    <d v="2025-06-01T00:00:00"/>
    <d v="1899-12-30T08:00:00"/>
    <s v="Non Reserved Annual"/>
    <d v="1899-12-30T09:15:00"/>
    <d v="1899-12-30T17:15:00"/>
    <n v="28800"/>
    <x v="1"/>
  </r>
  <r>
    <x v="0"/>
    <s v="Egypt"/>
    <x v="1"/>
    <x v="5"/>
    <x v="5"/>
    <m/>
    <m/>
    <s v="Non Reserved Annual"/>
    <d v="1899-12-30T09:15:00"/>
    <d v="1899-12-30T17:15:00"/>
    <n v="0"/>
    <x v="1"/>
  </r>
  <r>
    <x v="0"/>
    <s v="Egypt"/>
    <x v="1"/>
    <x v="5"/>
    <x v="5"/>
    <d v="2025-06-02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03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04T00:00:00"/>
    <m/>
    <s v="Day Off"/>
    <m/>
    <m/>
    <n v="0"/>
    <x v="1"/>
  </r>
  <r>
    <x v="0"/>
    <s v="Egypt"/>
    <x v="1"/>
    <x v="5"/>
    <x v="5"/>
    <d v="2025-06-05T00:00:00"/>
    <m/>
    <s v="Day Off"/>
    <m/>
    <m/>
    <n v="0"/>
    <x v="1"/>
  </r>
  <r>
    <x v="0"/>
    <s v="Egypt"/>
    <x v="1"/>
    <x v="5"/>
    <x v="5"/>
    <d v="2025-06-06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45:00"/>
    <d v="1899-12-30T11:00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07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15:00"/>
    <d v="1899-12-30T10:30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08T00:00:00"/>
    <d v="1899-12-30T08:15:00"/>
    <s v="Public holiday"/>
    <m/>
    <m/>
    <n v="29700"/>
    <x v="1"/>
  </r>
  <r>
    <x v="0"/>
    <s v="Egypt"/>
    <x v="1"/>
    <x v="5"/>
    <x v="5"/>
    <d v="2025-06-09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10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11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15:00"/>
    <d v="1899-12-30T10:30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12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15:00"/>
    <d v="1899-12-30T10:30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13T00:00:00"/>
    <m/>
    <s v="Day Off"/>
    <m/>
    <m/>
    <n v="0"/>
    <x v="1"/>
  </r>
  <r>
    <x v="0"/>
    <s v="Egypt"/>
    <x v="1"/>
    <x v="5"/>
    <x v="5"/>
    <d v="2025-06-14T00:00:00"/>
    <m/>
    <s v="Day Off"/>
    <m/>
    <m/>
    <n v="0"/>
    <x v="1"/>
  </r>
  <r>
    <x v="0"/>
    <s v="Egypt"/>
    <x v="1"/>
    <x v="5"/>
    <x v="5"/>
    <d v="2025-06-15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00:00"/>
    <d v="1899-12-30T10:15:00"/>
    <n v="0"/>
    <x v="1"/>
  </r>
  <r>
    <x v="0"/>
    <s v="Egypt"/>
    <x v="1"/>
    <x v="5"/>
    <x v="5"/>
    <m/>
    <m/>
    <s v="Break 30 Morning"/>
    <d v="1899-12-30T12:45:00"/>
    <d v="1899-12-30T13:15:00"/>
    <n v="0"/>
    <x v="1"/>
  </r>
  <r>
    <x v="0"/>
    <s v="Egypt"/>
    <x v="1"/>
    <x v="5"/>
    <x v="5"/>
    <d v="2025-06-16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45:00"/>
    <d v="1899-12-30T11:00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17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45:00"/>
    <d v="1899-12-30T11:00:00"/>
    <n v="0"/>
    <x v="1"/>
  </r>
  <r>
    <x v="0"/>
    <s v="Egypt"/>
    <x v="1"/>
    <x v="5"/>
    <x v="5"/>
    <m/>
    <m/>
    <s v="Break 30 Morning"/>
    <d v="1899-12-30T13:45:00"/>
    <d v="1899-12-30T14:15:00"/>
    <n v="0"/>
    <x v="1"/>
  </r>
  <r>
    <x v="0"/>
    <s v="Egypt"/>
    <x v="1"/>
    <x v="5"/>
    <x v="5"/>
    <d v="2025-06-18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45:00"/>
    <d v="1899-12-30T11:00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19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20T00:00:00"/>
    <m/>
    <s v="Day Off"/>
    <m/>
    <m/>
    <n v="0"/>
    <x v="1"/>
  </r>
  <r>
    <x v="0"/>
    <s v="Egypt"/>
    <x v="1"/>
    <x v="5"/>
    <x v="5"/>
    <d v="2025-06-21T00:00:00"/>
    <m/>
    <s v="Day Off"/>
    <m/>
    <m/>
    <n v="0"/>
    <x v="1"/>
  </r>
  <r>
    <x v="0"/>
    <s v="Egypt"/>
    <x v="1"/>
    <x v="5"/>
    <x v="5"/>
    <d v="2025-06-22T00:00:00"/>
    <d v="1899-12-30T08:15:00"/>
    <s v="Non Telecom"/>
    <d v="1899-12-30T09:00:00"/>
    <d v="1899-12-30T17:15:00"/>
    <n v="29700"/>
    <x v="0"/>
  </r>
  <r>
    <x v="0"/>
    <s v="Egypt"/>
    <x v="1"/>
    <x v="5"/>
    <x v="5"/>
    <m/>
    <m/>
    <s v="Break 15 Morning"/>
    <d v="1899-12-30T12:15:00"/>
    <d v="1899-12-30T12:30:00"/>
    <n v="0"/>
    <x v="1"/>
  </r>
  <r>
    <x v="0"/>
    <s v="Egypt"/>
    <x v="1"/>
    <x v="5"/>
    <x v="5"/>
    <m/>
    <m/>
    <s v="Break 30 Morning"/>
    <d v="1899-12-30T15:00:00"/>
    <d v="1899-12-30T15:30:00"/>
    <n v="0"/>
    <x v="1"/>
  </r>
  <r>
    <x v="0"/>
    <s v="Egypt"/>
    <x v="1"/>
    <x v="5"/>
    <x v="5"/>
    <d v="2025-06-23T00:00:00"/>
    <d v="1899-12-30T08:15:00"/>
    <s v="Non Telecom"/>
    <d v="1899-12-30T09:00:00"/>
    <d v="1899-12-30T17:15:00"/>
    <n v="29700"/>
    <x v="0"/>
  </r>
  <r>
    <x v="0"/>
    <s v="Egypt"/>
    <x v="1"/>
    <x v="5"/>
    <x v="5"/>
    <m/>
    <m/>
    <s v="Break 15 Morning"/>
    <d v="1899-12-30T12:00:00"/>
    <d v="1899-12-30T12:15:00"/>
    <n v="0"/>
    <x v="1"/>
  </r>
  <r>
    <x v="0"/>
    <s v="Egypt"/>
    <x v="1"/>
    <x v="5"/>
    <x v="5"/>
    <m/>
    <m/>
    <s v="Break 30 Morning"/>
    <d v="1899-12-30T15:00:00"/>
    <d v="1899-12-30T15:30:00"/>
    <n v="0"/>
    <x v="1"/>
  </r>
  <r>
    <x v="0"/>
    <s v="Egypt"/>
    <x v="1"/>
    <x v="5"/>
    <x v="5"/>
    <d v="2025-06-24T00:00:00"/>
    <d v="1899-12-30T08:15:00"/>
    <s v="Annual Exception"/>
    <m/>
    <m/>
    <n v="29700"/>
    <x v="1"/>
  </r>
  <r>
    <x v="0"/>
    <s v="Egypt"/>
    <x v="1"/>
    <x v="5"/>
    <x v="5"/>
    <d v="2025-06-25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30:00"/>
    <d v="1899-12-30T10:45:00"/>
    <n v="0"/>
    <x v="1"/>
  </r>
  <r>
    <x v="0"/>
    <s v="Egypt"/>
    <x v="1"/>
    <x v="5"/>
    <x v="5"/>
    <m/>
    <m/>
    <s v="Break 30 Morning"/>
    <d v="1899-12-30T13:15:00"/>
    <d v="1899-12-30T13:45:00"/>
    <n v="0"/>
    <x v="1"/>
  </r>
  <r>
    <x v="0"/>
    <s v="Egypt"/>
    <x v="1"/>
    <x v="5"/>
    <x v="5"/>
    <d v="2025-06-26T00:00:00"/>
    <d v="1899-12-30T08:15:00"/>
    <s v="Non Telecom"/>
    <d v="1899-12-30T08:00:00"/>
    <d v="1899-12-30T16:15:00"/>
    <n v="29700"/>
    <x v="0"/>
  </r>
  <r>
    <x v="0"/>
    <s v="Egypt"/>
    <x v="1"/>
    <x v="5"/>
    <x v="5"/>
    <m/>
    <m/>
    <s v="Break 15 Morning"/>
    <d v="1899-12-30T10:45:00"/>
    <d v="1899-12-30T11:00:00"/>
    <n v="0"/>
    <x v="1"/>
  </r>
  <r>
    <x v="0"/>
    <s v="Egypt"/>
    <x v="1"/>
    <x v="5"/>
    <x v="5"/>
    <m/>
    <m/>
    <s v="Break 30 Morning"/>
    <d v="1899-12-30T14:15:00"/>
    <d v="1899-12-30T14:45:00"/>
    <n v="0"/>
    <x v="1"/>
  </r>
  <r>
    <x v="0"/>
    <s v="Egypt"/>
    <x v="1"/>
    <x v="5"/>
    <x v="5"/>
    <d v="2025-06-27T00:00:00"/>
    <m/>
    <s v="Day Off"/>
    <m/>
    <m/>
    <n v="0"/>
    <x v="1"/>
  </r>
  <r>
    <x v="0"/>
    <s v="Egypt"/>
    <x v="1"/>
    <x v="5"/>
    <x v="5"/>
    <d v="2025-06-28T00:00:00"/>
    <m/>
    <s v="Day Off"/>
    <m/>
    <m/>
    <n v="0"/>
    <x v="1"/>
  </r>
  <r>
    <x v="0"/>
    <s v="Egypt"/>
    <x v="1"/>
    <x v="5"/>
    <x v="5"/>
    <d v="2025-06-29T00:00:00"/>
    <d v="1899-12-30T09:15:00"/>
    <s v="Non Telecom"/>
    <d v="1899-12-30T08:00:00"/>
    <d v="1899-12-30T17:15:00"/>
    <n v="33300"/>
    <x v="0"/>
  </r>
  <r>
    <x v="0"/>
    <s v="Egypt"/>
    <x v="1"/>
    <x v="5"/>
    <x v="5"/>
    <m/>
    <m/>
    <s v="Shift Move"/>
    <d v="1899-12-30T08:00:00"/>
    <d v="1899-12-30T09:00:00"/>
    <n v="0"/>
    <x v="1"/>
  </r>
  <r>
    <x v="0"/>
    <s v="Egypt"/>
    <x v="1"/>
    <x v="5"/>
    <x v="5"/>
    <m/>
    <m/>
    <s v="Break 15 Morning"/>
    <d v="1899-12-30T11:45:00"/>
    <d v="1899-12-30T12:00:00"/>
    <n v="0"/>
    <x v="1"/>
  </r>
  <r>
    <x v="0"/>
    <s v="Egypt"/>
    <x v="1"/>
    <x v="5"/>
    <x v="5"/>
    <m/>
    <m/>
    <s v="Break 30 Morning"/>
    <d v="1899-12-30T14:45:00"/>
    <d v="1899-12-30T15:15:00"/>
    <n v="0"/>
    <x v="1"/>
  </r>
  <r>
    <x v="0"/>
    <s v="Egypt"/>
    <x v="1"/>
    <x v="5"/>
    <x v="5"/>
    <d v="2025-06-30T00:00:00"/>
    <d v="1899-12-30T08:15:00"/>
    <s v="Non Telecom"/>
    <d v="1899-12-30T09:00:00"/>
    <d v="1899-12-30T17:15:00"/>
    <n v="29700"/>
    <x v="0"/>
  </r>
  <r>
    <x v="0"/>
    <s v="Egypt"/>
    <x v="1"/>
    <x v="5"/>
    <x v="5"/>
    <m/>
    <m/>
    <s v="Break 15 Morning"/>
    <d v="1899-12-30T12:15:00"/>
    <d v="1899-12-30T12:30:00"/>
    <n v="0"/>
    <x v="1"/>
  </r>
  <r>
    <x v="0"/>
    <s v="Egypt"/>
    <x v="1"/>
    <x v="5"/>
    <x v="5"/>
    <m/>
    <m/>
    <s v="Break 30 Morning"/>
    <d v="1899-12-30T15:15:00"/>
    <d v="1899-12-30T15:45:00"/>
    <n v="0"/>
    <x v="1"/>
  </r>
  <r>
    <x v="0"/>
    <s v="Egypt"/>
    <x v="2"/>
    <x v="6"/>
    <x v="6"/>
    <d v="2025-06-01T00:00:00"/>
    <m/>
    <s v="Day Off"/>
    <m/>
    <m/>
    <n v="0"/>
    <x v="1"/>
  </r>
  <r>
    <x v="0"/>
    <s v="Egypt"/>
    <x v="2"/>
    <x v="6"/>
    <x v="6"/>
    <d v="2025-06-02T00:00:00"/>
    <m/>
    <s v="Day Off"/>
    <m/>
    <m/>
    <n v="0"/>
    <x v="1"/>
  </r>
  <r>
    <x v="0"/>
    <s v="Egypt"/>
    <x v="2"/>
    <x v="6"/>
    <x v="6"/>
    <d v="2025-06-03T00:00:00"/>
    <d v="1899-12-30T08:15:00"/>
    <s v="Non Telecom"/>
    <d v="1899-12-30T17:15:00"/>
    <s v="+1:30 AM"/>
    <n v="29700"/>
    <x v="0"/>
  </r>
  <r>
    <x v="0"/>
    <s v="Egypt"/>
    <x v="2"/>
    <x v="6"/>
    <x v="6"/>
    <m/>
    <m/>
    <s v="Break 15 Night"/>
    <d v="1899-12-30T19:15:00"/>
    <d v="1899-12-30T19:30:00"/>
    <n v="0"/>
    <x v="1"/>
  </r>
  <r>
    <x v="0"/>
    <s v="Egypt"/>
    <x v="2"/>
    <x v="6"/>
    <x v="6"/>
    <m/>
    <m/>
    <s v="Break 30 Night"/>
    <d v="1899-12-30T22:15:00"/>
    <d v="1899-12-30T22:45:00"/>
    <n v="0"/>
    <x v="1"/>
  </r>
  <r>
    <x v="0"/>
    <s v="Egypt"/>
    <x v="2"/>
    <x v="6"/>
    <x v="6"/>
    <d v="2025-06-04T00:00:00"/>
    <d v="1899-12-30T08:15:00"/>
    <s v="Non Telecom"/>
    <d v="1899-12-30T17:15:00"/>
    <s v="+1:30 AM"/>
    <n v="29700"/>
    <x v="0"/>
  </r>
  <r>
    <x v="0"/>
    <s v="Egypt"/>
    <x v="2"/>
    <x v="6"/>
    <x v="6"/>
    <m/>
    <m/>
    <s v="Break 15 Night"/>
    <d v="1899-12-30T18:45:00"/>
    <d v="1899-12-30T19:00:00"/>
    <n v="0"/>
    <x v="1"/>
  </r>
  <r>
    <x v="0"/>
    <s v="Egypt"/>
    <x v="2"/>
    <x v="6"/>
    <x v="6"/>
    <m/>
    <m/>
    <s v="Break 30 Night"/>
    <d v="1899-12-30T22:00:00"/>
    <d v="1899-12-30T22:30:00"/>
    <n v="0"/>
    <x v="1"/>
  </r>
  <r>
    <x v="0"/>
    <s v="Egypt"/>
    <x v="2"/>
    <x v="6"/>
    <x v="6"/>
    <d v="2025-06-05T00:00:00"/>
    <d v="1899-12-30T08:15:00"/>
    <s v="Non Telecom"/>
    <d v="1899-12-30T17:15:00"/>
    <s v="+1:30 AM"/>
    <n v="29700"/>
    <x v="0"/>
  </r>
  <r>
    <x v="0"/>
    <s v="Egypt"/>
    <x v="2"/>
    <x v="6"/>
    <x v="6"/>
    <m/>
    <m/>
    <s v="Break 15 Night"/>
    <d v="1899-12-30T19:00:00"/>
    <d v="1899-12-30T19:15:00"/>
    <n v="0"/>
    <x v="1"/>
  </r>
  <r>
    <x v="0"/>
    <s v="Egypt"/>
    <x v="2"/>
    <x v="6"/>
    <x v="6"/>
    <m/>
    <m/>
    <s v="Break 30 Night"/>
    <d v="1899-12-30T22:15:00"/>
    <d v="1899-12-30T22:45:00"/>
    <n v="0"/>
    <x v="1"/>
  </r>
  <r>
    <x v="0"/>
    <s v="Egypt"/>
    <x v="2"/>
    <x v="6"/>
    <x v="6"/>
    <d v="2025-06-06T00:00:00"/>
    <d v="1899-12-30T08:15:00"/>
    <s v="Non Telecom"/>
    <d v="1899-12-30T17:15:00"/>
    <s v="+1:30 AM"/>
    <n v="29700"/>
    <x v="0"/>
  </r>
  <r>
    <x v="0"/>
    <s v="Egypt"/>
    <x v="2"/>
    <x v="6"/>
    <x v="6"/>
    <m/>
    <m/>
    <s v="Break 15 Night"/>
    <d v="1899-12-30T19:00:00"/>
    <d v="1899-12-30T19:15:00"/>
    <n v="0"/>
    <x v="1"/>
  </r>
  <r>
    <x v="0"/>
    <s v="Egypt"/>
    <x v="2"/>
    <x v="6"/>
    <x v="6"/>
    <m/>
    <m/>
    <s v="Break 30 Night"/>
    <d v="1899-12-30T22:30:00"/>
    <d v="1899-12-30T23:00:00"/>
    <n v="0"/>
    <x v="1"/>
  </r>
  <r>
    <x v="0"/>
    <s v="Egypt"/>
    <x v="2"/>
    <x v="6"/>
    <x v="6"/>
    <d v="2025-06-07T00:00:00"/>
    <d v="1899-12-30T08:15:00"/>
    <s v="Non Telecom"/>
    <d v="1899-12-30T17:15:00"/>
    <s v="+1:30 AM"/>
    <n v="29700"/>
    <x v="0"/>
  </r>
  <r>
    <x v="0"/>
    <s v="Egypt"/>
    <x v="2"/>
    <x v="6"/>
    <x v="6"/>
    <m/>
    <m/>
    <s v="Break 15 Night"/>
    <d v="1899-12-30T19:15:00"/>
    <d v="1899-12-30T19:30:00"/>
    <n v="0"/>
    <x v="1"/>
  </r>
  <r>
    <x v="0"/>
    <s v="Egypt"/>
    <x v="2"/>
    <x v="6"/>
    <x v="6"/>
    <m/>
    <m/>
    <s v="Break 30 Night"/>
    <d v="1899-12-30T22:00:00"/>
    <d v="1899-12-30T22:30:00"/>
    <n v="0"/>
    <x v="1"/>
  </r>
  <r>
    <x v="0"/>
    <s v="Egypt"/>
    <x v="2"/>
    <x v="6"/>
    <x v="6"/>
    <d v="2025-06-08T00:00:00"/>
    <m/>
    <s v="Day Off"/>
    <m/>
    <m/>
    <n v="0"/>
    <x v="1"/>
  </r>
  <r>
    <x v="0"/>
    <s v="Egypt"/>
    <x v="2"/>
    <x v="6"/>
    <x v="6"/>
    <d v="2025-06-09T00:00:00"/>
    <d v="1899-12-30T08:15:00"/>
    <s v="Public holiday"/>
    <m/>
    <m/>
    <n v="29700"/>
    <x v="1"/>
  </r>
  <r>
    <x v="0"/>
    <s v="Egypt"/>
    <x v="2"/>
    <x v="6"/>
    <x v="6"/>
    <d v="2025-06-10T00:00:00"/>
    <d v="1899-12-30T08:15:00"/>
    <s v="Annual Exception"/>
    <m/>
    <m/>
    <n v="29700"/>
    <x v="1"/>
  </r>
  <r>
    <x v="0"/>
    <s v="Egypt"/>
    <x v="2"/>
    <x v="6"/>
    <x v="6"/>
    <d v="2025-06-11T00:00:00"/>
    <d v="1899-12-30T08:15:00"/>
    <s v="Non Telecom"/>
    <d v="1899-12-30T19:15:00"/>
    <s v="+3:30 AM"/>
    <n v="29700"/>
    <x v="0"/>
  </r>
  <r>
    <x v="0"/>
    <s v="Egypt"/>
    <x v="2"/>
    <x v="6"/>
    <x v="6"/>
    <m/>
    <m/>
    <s v="Break 15 Night"/>
    <d v="1899-12-30T21:15:00"/>
    <d v="1899-12-30T21:30:00"/>
    <n v="0"/>
    <x v="1"/>
  </r>
  <r>
    <x v="0"/>
    <s v="Egypt"/>
    <x v="2"/>
    <x v="6"/>
    <x v="6"/>
    <m/>
    <m/>
    <s v="Break 30 Night"/>
    <s v="+12:30 AM"/>
    <s v="+1:00 AM"/>
    <n v="0"/>
    <x v="1"/>
  </r>
  <r>
    <x v="0"/>
    <s v="Egypt"/>
    <x v="2"/>
    <x v="6"/>
    <x v="6"/>
    <d v="2025-06-12T00:00:00"/>
    <d v="1899-12-30T08:15:00"/>
    <s v="Non Telecom"/>
    <d v="1899-12-30T13:00:00"/>
    <d v="1899-12-30T21:15:00"/>
    <n v="29700"/>
    <x v="0"/>
  </r>
  <r>
    <x v="0"/>
    <s v="Egypt"/>
    <x v="2"/>
    <x v="6"/>
    <x v="6"/>
    <m/>
    <m/>
    <s v="Break 15 Morning"/>
    <d v="1899-12-30T15:00:00"/>
    <d v="1899-12-30T15:15:00"/>
    <n v="0"/>
    <x v="1"/>
  </r>
  <r>
    <x v="0"/>
    <s v="Egypt"/>
    <x v="2"/>
    <x v="6"/>
    <x v="6"/>
    <m/>
    <m/>
    <s v="Break 30 Morning"/>
    <d v="1899-12-30T18:15:00"/>
    <d v="1899-12-30T18:45:00"/>
    <n v="0"/>
    <x v="1"/>
  </r>
  <r>
    <x v="0"/>
    <s v="Egypt"/>
    <x v="2"/>
    <x v="6"/>
    <x v="6"/>
    <d v="2025-06-13T00:00:00"/>
    <d v="1899-12-30T08:15:00"/>
    <s v="Non Telecom"/>
    <d v="1899-12-30T13:00:00"/>
    <d v="1899-12-30T21:15:00"/>
    <n v="29700"/>
    <x v="0"/>
  </r>
  <r>
    <x v="0"/>
    <s v="Egypt"/>
    <x v="2"/>
    <x v="6"/>
    <x v="6"/>
    <m/>
    <m/>
    <s v="Leave Exception"/>
    <d v="1899-12-30T13:00:00"/>
    <d v="1899-12-30T13:50:00"/>
    <n v="0"/>
    <x v="1"/>
  </r>
  <r>
    <x v="0"/>
    <s v="Egypt"/>
    <x v="2"/>
    <x v="6"/>
    <x v="6"/>
    <m/>
    <m/>
    <s v="Break 15 Morning"/>
    <d v="1899-12-30T14:45:00"/>
    <d v="1899-12-30T15:00:00"/>
    <n v="0"/>
    <x v="1"/>
  </r>
  <r>
    <x v="0"/>
    <s v="Egypt"/>
    <x v="2"/>
    <x v="6"/>
    <x v="6"/>
    <m/>
    <m/>
    <s v="Break 30 Morning"/>
    <d v="1899-12-30T18:30:00"/>
    <d v="1899-12-30T19:00:00"/>
    <n v="0"/>
    <x v="1"/>
  </r>
  <r>
    <x v="0"/>
    <s v="Egypt"/>
    <x v="2"/>
    <x v="6"/>
    <x v="6"/>
    <d v="2025-06-14T00:00:00"/>
    <m/>
    <s v="Day Off"/>
    <m/>
    <m/>
    <n v="0"/>
    <x v="1"/>
  </r>
  <r>
    <x v="0"/>
    <s v="Egypt"/>
    <x v="2"/>
    <x v="6"/>
    <x v="6"/>
    <d v="2025-06-15T00:00:00"/>
    <d v="1899-12-30T08:15:00"/>
    <s v="Non Telecom"/>
    <d v="1899-12-30T16:15:00"/>
    <s v="+12:30 AM"/>
    <n v="29700"/>
    <x v="0"/>
  </r>
  <r>
    <x v="0"/>
    <s v="Egypt"/>
    <x v="2"/>
    <x v="6"/>
    <x v="6"/>
    <m/>
    <m/>
    <s v="Break 15 Night"/>
    <d v="1899-12-30T18:15:00"/>
    <d v="1899-12-30T18:30:00"/>
    <n v="0"/>
    <x v="1"/>
  </r>
  <r>
    <x v="0"/>
    <s v="Egypt"/>
    <x v="2"/>
    <x v="6"/>
    <x v="6"/>
    <m/>
    <m/>
    <s v="Break 30 Night"/>
    <d v="1899-12-30T20:45:00"/>
    <d v="1899-12-30T21:15:00"/>
    <n v="0"/>
    <x v="1"/>
  </r>
  <r>
    <x v="0"/>
    <s v="Egypt"/>
    <x v="2"/>
    <x v="6"/>
    <x v="6"/>
    <d v="2025-06-16T00:00:00"/>
    <d v="1899-12-30T08:15:00"/>
    <s v="Non Telecom"/>
    <d v="1899-12-30T16:15:00"/>
    <s v="+12:30 AM"/>
    <n v="29700"/>
    <x v="0"/>
  </r>
  <r>
    <x v="0"/>
    <s v="Egypt"/>
    <x v="2"/>
    <x v="6"/>
    <x v="6"/>
    <m/>
    <m/>
    <s v="Break 15 Night"/>
    <d v="1899-12-30T18:00:00"/>
    <d v="1899-12-30T18:15:00"/>
    <n v="0"/>
    <x v="1"/>
  </r>
  <r>
    <x v="0"/>
    <s v="Egypt"/>
    <x v="2"/>
    <x v="6"/>
    <x v="6"/>
    <m/>
    <m/>
    <s v="Break 30 Night"/>
    <d v="1899-12-30T21:00:00"/>
    <d v="1899-12-30T21:30:00"/>
    <n v="0"/>
    <x v="1"/>
  </r>
  <r>
    <x v="0"/>
    <s v="Egypt"/>
    <x v="2"/>
    <x v="6"/>
    <x v="6"/>
    <d v="2025-06-17T00:00:00"/>
    <d v="1899-12-30T08:15:00"/>
    <s v="Non Telecom"/>
    <d v="1899-12-30T16:15:00"/>
    <s v="+12:30 AM"/>
    <n v="29700"/>
    <x v="0"/>
  </r>
  <r>
    <x v="0"/>
    <s v="Egypt"/>
    <x v="2"/>
    <x v="6"/>
    <x v="6"/>
    <m/>
    <m/>
    <s v="Break 15 Night"/>
    <d v="1899-12-30T18:00:00"/>
    <d v="1899-12-30T18:15:00"/>
    <n v="0"/>
    <x v="1"/>
  </r>
  <r>
    <x v="0"/>
    <s v="Egypt"/>
    <x v="2"/>
    <x v="6"/>
    <x v="6"/>
    <m/>
    <m/>
    <s v="Break 30 Night"/>
    <d v="1899-12-30T21:00:00"/>
    <d v="1899-12-30T21:30:00"/>
    <n v="0"/>
    <x v="1"/>
  </r>
  <r>
    <x v="0"/>
    <s v="Egypt"/>
    <x v="2"/>
    <x v="6"/>
    <x v="6"/>
    <d v="2025-06-18T00:00:00"/>
    <d v="1899-12-30T09:15:00"/>
    <s v="Non Telecom"/>
    <d v="1899-12-30T16:15:00"/>
    <s v="+1:30 AM"/>
    <n v="33300"/>
    <x v="0"/>
  </r>
  <r>
    <x v="0"/>
    <s v="Egypt"/>
    <x v="2"/>
    <x v="6"/>
    <x v="6"/>
    <m/>
    <m/>
    <s v="Shift Move"/>
    <d v="1899-12-30T16:15:00"/>
    <d v="1899-12-30T17:15:00"/>
    <n v="0"/>
    <x v="1"/>
  </r>
  <r>
    <x v="0"/>
    <s v="Egypt"/>
    <x v="2"/>
    <x v="6"/>
    <x v="6"/>
    <m/>
    <m/>
    <s v="Break 15 Night"/>
    <d v="1899-12-30T19:15:00"/>
    <d v="1899-12-30T19:30:00"/>
    <n v="0"/>
    <x v="1"/>
  </r>
  <r>
    <x v="0"/>
    <s v="Egypt"/>
    <x v="2"/>
    <x v="6"/>
    <x v="6"/>
    <m/>
    <m/>
    <s v="Break 30 Night"/>
    <d v="1899-12-30T22:15:00"/>
    <d v="1899-12-30T22:45:00"/>
    <n v="0"/>
    <x v="1"/>
  </r>
  <r>
    <x v="0"/>
    <s v="Egypt"/>
    <x v="2"/>
    <x v="6"/>
    <x v="6"/>
    <d v="2025-06-19T00:00:00"/>
    <d v="1899-12-30T08:15:00"/>
    <s v="Non Telecom"/>
    <d v="1899-12-30T16:15:00"/>
    <s v="+12:30 AM"/>
    <n v="29700"/>
    <x v="0"/>
  </r>
  <r>
    <x v="0"/>
    <s v="Egypt"/>
    <x v="2"/>
    <x v="6"/>
    <x v="6"/>
    <m/>
    <m/>
    <s v="Break 15 Night"/>
    <d v="1899-12-30T18:00:00"/>
    <d v="1899-12-30T18:15:00"/>
    <n v="0"/>
    <x v="1"/>
  </r>
  <r>
    <x v="0"/>
    <s v="Egypt"/>
    <x v="2"/>
    <x v="6"/>
    <x v="6"/>
    <m/>
    <m/>
    <s v="Break 30 Night"/>
    <d v="1899-12-30T20:30:00"/>
    <d v="1899-12-30T21:00:00"/>
    <n v="0"/>
    <x v="1"/>
  </r>
  <r>
    <x v="0"/>
    <s v="Egypt"/>
    <x v="2"/>
    <x v="6"/>
    <x v="6"/>
    <d v="2025-06-20T00:00:00"/>
    <m/>
    <s v="Day Off"/>
    <m/>
    <m/>
    <n v="0"/>
    <x v="1"/>
  </r>
  <r>
    <x v="0"/>
    <s v="Egypt"/>
    <x v="2"/>
    <x v="6"/>
    <x v="6"/>
    <d v="2025-06-21T00:00:00"/>
    <m/>
    <s v="Day Off"/>
    <m/>
    <m/>
    <n v="0"/>
    <x v="1"/>
  </r>
  <r>
    <x v="0"/>
    <s v="Egypt"/>
    <x v="2"/>
    <x v="6"/>
    <x v="6"/>
    <d v="2025-06-22T00:00:00"/>
    <d v="1899-12-30T08:15:00"/>
    <s v="Non Telecom"/>
    <d v="1899-12-30T13:00:00"/>
    <d v="1899-12-30T21:15:00"/>
    <n v="29700"/>
    <x v="0"/>
  </r>
  <r>
    <x v="0"/>
    <s v="Egypt"/>
    <x v="2"/>
    <x v="6"/>
    <x v="6"/>
    <m/>
    <m/>
    <s v="Break 15 Morning"/>
    <d v="1899-12-30T14:00:00"/>
    <d v="1899-12-30T14:15:00"/>
    <n v="0"/>
    <x v="1"/>
  </r>
  <r>
    <x v="0"/>
    <s v="Egypt"/>
    <x v="2"/>
    <x v="6"/>
    <x v="6"/>
    <m/>
    <m/>
    <s v="Break 30 Morning"/>
    <d v="1899-12-30T16:30:00"/>
    <d v="1899-12-30T17:00:00"/>
    <n v="0"/>
    <x v="1"/>
  </r>
  <r>
    <x v="0"/>
    <s v="Egypt"/>
    <x v="2"/>
    <x v="6"/>
    <x v="6"/>
    <d v="2025-06-23T00:00:00"/>
    <d v="1899-12-30T08:15:00"/>
    <s v="Non Telecom"/>
    <d v="1899-12-30T13:00:00"/>
    <d v="1899-12-30T21:15:00"/>
    <n v="29700"/>
    <x v="0"/>
  </r>
  <r>
    <x v="0"/>
    <s v="Egypt"/>
    <x v="2"/>
    <x v="6"/>
    <x v="6"/>
    <m/>
    <m/>
    <s v="Break 15 Morning"/>
    <d v="1899-12-30T14:45:00"/>
    <d v="1899-12-30T15:00:00"/>
    <n v="0"/>
    <x v="1"/>
  </r>
  <r>
    <x v="0"/>
    <s v="Egypt"/>
    <x v="2"/>
    <x v="6"/>
    <x v="6"/>
    <m/>
    <m/>
    <s v="Break 30 Morning"/>
    <d v="1899-12-30T17:15:00"/>
    <d v="1899-12-30T17:45:00"/>
    <n v="0"/>
    <x v="1"/>
  </r>
  <r>
    <x v="0"/>
    <s v="Egypt"/>
    <x v="2"/>
    <x v="6"/>
    <x v="6"/>
    <d v="2025-06-24T00:00:00"/>
    <d v="1899-12-30T08:15:00"/>
    <s v="Non Telecom"/>
    <d v="1899-12-30T13:00:00"/>
    <d v="1899-12-30T21:15:00"/>
    <n v="29700"/>
    <x v="0"/>
  </r>
  <r>
    <x v="0"/>
    <s v="Egypt"/>
    <x v="2"/>
    <x v="6"/>
    <x v="6"/>
    <m/>
    <m/>
    <s v="Break 15 Morning"/>
    <d v="1899-12-30T15:15:00"/>
    <d v="1899-12-30T15:30:00"/>
    <n v="0"/>
    <x v="1"/>
  </r>
  <r>
    <x v="0"/>
    <s v="Egypt"/>
    <x v="2"/>
    <x v="6"/>
    <x v="6"/>
    <m/>
    <m/>
    <s v="Break 30 Morning"/>
    <d v="1899-12-30T18:15:00"/>
    <d v="1899-12-30T18:45:00"/>
    <n v="0"/>
    <x v="1"/>
  </r>
  <r>
    <x v="0"/>
    <s v="Egypt"/>
    <x v="2"/>
    <x v="6"/>
    <x v="6"/>
    <d v="2025-06-25T00:00:00"/>
    <d v="1899-12-30T08:15:00"/>
    <s v="Non Telecom"/>
    <d v="1899-12-30T16:15:00"/>
    <s v="+12:30 AM"/>
    <n v="29700"/>
    <x v="0"/>
  </r>
  <r>
    <x v="0"/>
    <s v="Egypt"/>
    <x v="2"/>
    <x v="6"/>
    <x v="6"/>
    <m/>
    <m/>
    <s v="Break 15 Night"/>
    <d v="1899-12-30T18:00:00"/>
    <d v="1899-12-30T18:15:00"/>
    <n v="0"/>
    <x v="1"/>
  </r>
  <r>
    <x v="0"/>
    <s v="Egypt"/>
    <x v="2"/>
    <x v="6"/>
    <x v="6"/>
    <m/>
    <m/>
    <s v="Break 30 Night"/>
    <d v="1899-12-30T20:30:00"/>
    <d v="1899-12-30T21:00:00"/>
    <n v="0"/>
    <x v="1"/>
  </r>
  <r>
    <x v="0"/>
    <s v="Egypt"/>
    <x v="2"/>
    <x v="6"/>
    <x v="6"/>
    <d v="2025-06-26T00:00:00"/>
    <d v="1899-12-30T08:15:00"/>
    <s v="Public holiday"/>
    <m/>
    <m/>
    <n v="29700"/>
    <x v="1"/>
  </r>
  <r>
    <x v="0"/>
    <s v="Egypt"/>
    <x v="2"/>
    <x v="6"/>
    <x v="6"/>
    <d v="2025-06-27T00:00:00"/>
    <m/>
    <s v="Day Off"/>
    <m/>
    <m/>
    <n v="0"/>
    <x v="1"/>
  </r>
  <r>
    <x v="0"/>
    <s v="Egypt"/>
    <x v="2"/>
    <x v="6"/>
    <x v="6"/>
    <d v="2025-06-28T00:00:00"/>
    <m/>
    <s v="Day Off"/>
    <m/>
    <m/>
    <n v="0"/>
    <x v="1"/>
  </r>
  <r>
    <x v="0"/>
    <s v="Egypt"/>
    <x v="2"/>
    <x v="6"/>
    <x v="6"/>
    <d v="2025-06-29T00:00:00"/>
    <d v="1899-12-30T08:15:00"/>
    <s v="Non Telecom"/>
    <d v="1899-12-30T19:15:00"/>
    <s v="+3:30 AM"/>
    <n v="29700"/>
    <x v="0"/>
  </r>
  <r>
    <x v="0"/>
    <s v="Egypt"/>
    <x v="2"/>
    <x v="6"/>
    <x v="6"/>
    <m/>
    <m/>
    <s v="Break 15 Night"/>
    <d v="1899-12-30T21:15:00"/>
    <d v="1899-12-30T21:30:00"/>
    <n v="0"/>
    <x v="1"/>
  </r>
  <r>
    <x v="0"/>
    <s v="Egypt"/>
    <x v="2"/>
    <x v="6"/>
    <x v="6"/>
    <m/>
    <m/>
    <s v="Break 30 Night"/>
    <s v="+12:30 AM"/>
    <s v="+1:00 AM"/>
    <n v="0"/>
    <x v="1"/>
  </r>
  <r>
    <x v="0"/>
    <s v="Egypt"/>
    <x v="2"/>
    <x v="6"/>
    <x v="6"/>
    <d v="2025-06-30T00:00:00"/>
    <d v="1899-12-30T08:15:00"/>
    <s v="Non Telecom"/>
    <d v="1899-12-30T19:15:00"/>
    <s v="+3:30 AM"/>
    <n v="29700"/>
    <x v="0"/>
  </r>
  <r>
    <x v="0"/>
    <s v="Egypt"/>
    <x v="2"/>
    <x v="6"/>
    <x v="6"/>
    <m/>
    <m/>
    <s v="Break 15 Night"/>
    <d v="1899-12-30T21:15:00"/>
    <d v="1899-12-30T21:30:00"/>
    <n v="0"/>
    <x v="1"/>
  </r>
  <r>
    <x v="0"/>
    <s v="Egypt"/>
    <x v="2"/>
    <x v="6"/>
    <x v="6"/>
    <m/>
    <m/>
    <s v="Break 30 Night"/>
    <s v="+12:30 AM"/>
    <s v="+1:00 AM"/>
    <n v="0"/>
    <x v="1"/>
  </r>
  <r>
    <x v="0"/>
    <s v="Egypt"/>
    <x v="2"/>
    <x v="7"/>
    <x v="7"/>
    <d v="2025-06-01T00:00:00"/>
    <m/>
    <s v="Day Off"/>
    <m/>
    <m/>
    <n v="0"/>
    <x v="1"/>
  </r>
  <r>
    <x v="0"/>
    <s v="Egypt"/>
    <x v="2"/>
    <x v="7"/>
    <x v="7"/>
    <d v="2025-06-02T00:00:00"/>
    <m/>
    <s v="Day Off"/>
    <m/>
    <m/>
    <n v="0"/>
    <x v="1"/>
  </r>
  <r>
    <x v="0"/>
    <s v="Egypt"/>
    <x v="2"/>
    <x v="7"/>
    <x v="7"/>
    <d v="2025-06-03T00:00:00"/>
    <d v="1899-12-30T08:15:00"/>
    <s v="No show"/>
    <d v="1899-12-30T19:15:00"/>
    <s v="+3:30 AM"/>
    <n v="29700"/>
    <x v="1"/>
  </r>
  <r>
    <x v="0"/>
    <s v="Egypt"/>
    <x v="2"/>
    <x v="7"/>
    <x v="7"/>
    <d v="2025-06-04T00:00:00"/>
    <d v="1899-12-30T08:15:00"/>
    <s v="No show"/>
    <d v="1899-12-30T19:15:00"/>
    <s v="+3:30 AM"/>
    <n v="29700"/>
    <x v="1"/>
  </r>
  <r>
    <x v="0"/>
    <s v="Egypt"/>
    <x v="2"/>
    <x v="7"/>
    <x v="7"/>
    <d v="2025-06-05T00:00:00"/>
    <d v="1899-12-30T08:15:00"/>
    <s v="Non Telecom"/>
    <d v="1899-12-30T19:15:00"/>
    <s v="+3:30 AM"/>
    <n v="29700"/>
    <x v="0"/>
  </r>
  <r>
    <x v="0"/>
    <s v="Egypt"/>
    <x v="2"/>
    <x v="7"/>
    <x v="7"/>
    <m/>
    <m/>
    <s v="Break 15 Night"/>
    <d v="1899-12-30T21:15:00"/>
    <d v="1899-12-30T21:30:00"/>
    <n v="0"/>
    <x v="1"/>
  </r>
  <r>
    <x v="0"/>
    <s v="Egypt"/>
    <x v="2"/>
    <x v="7"/>
    <x v="7"/>
    <m/>
    <m/>
    <s v="Break 30 Night"/>
    <s v="+12:45 AM"/>
    <s v="+1:15 AM"/>
    <n v="0"/>
    <x v="1"/>
  </r>
  <r>
    <x v="0"/>
    <s v="Egypt"/>
    <x v="2"/>
    <x v="7"/>
    <x v="7"/>
    <d v="2025-06-06T00:00:00"/>
    <d v="1899-12-30T08:15:00"/>
    <s v="Non Telecom"/>
    <d v="1899-12-30T19:15:00"/>
    <s v="+3:30 AM"/>
    <n v="29700"/>
    <x v="0"/>
  </r>
  <r>
    <x v="0"/>
    <s v="Egypt"/>
    <x v="2"/>
    <x v="7"/>
    <x v="7"/>
    <m/>
    <m/>
    <s v="Break 15 Night"/>
    <d v="1899-12-30T20:45:00"/>
    <d v="1899-12-30T21:00:00"/>
    <n v="0"/>
    <x v="1"/>
  </r>
  <r>
    <x v="0"/>
    <s v="Egypt"/>
    <x v="2"/>
    <x v="7"/>
    <x v="7"/>
    <m/>
    <m/>
    <s v="Break 30 Night"/>
    <s v="+12:00 AM"/>
    <s v="+12:30 AM"/>
    <n v="0"/>
    <x v="1"/>
  </r>
  <r>
    <x v="0"/>
    <s v="Egypt"/>
    <x v="2"/>
    <x v="7"/>
    <x v="7"/>
    <d v="2025-06-07T00:00:00"/>
    <d v="1899-12-30T08:15:00"/>
    <s v="Non Telecom"/>
    <d v="1899-12-30T19:15:00"/>
    <s v="+3:30 AM"/>
    <n v="29700"/>
    <x v="0"/>
  </r>
  <r>
    <x v="0"/>
    <s v="Egypt"/>
    <x v="2"/>
    <x v="7"/>
    <x v="7"/>
    <m/>
    <m/>
    <s v="Break 15 Night"/>
    <d v="1899-12-30T20:45:00"/>
    <d v="1899-12-30T21:00:00"/>
    <n v="0"/>
    <x v="1"/>
  </r>
  <r>
    <x v="0"/>
    <s v="Egypt"/>
    <x v="2"/>
    <x v="7"/>
    <x v="7"/>
    <m/>
    <m/>
    <s v="Break 30 Night"/>
    <s v="+12:00 AM"/>
    <s v="+12:30 AM"/>
    <n v="0"/>
    <x v="1"/>
  </r>
  <r>
    <x v="0"/>
    <s v="Egypt"/>
    <x v="2"/>
    <x v="7"/>
    <x v="7"/>
    <d v="2025-06-08T00:00:00"/>
    <m/>
    <s v="Day Off"/>
    <m/>
    <m/>
    <n v="0"/>
    <x v="1"/>
  </r>
  <r>
    <x v="0"/>
    <s v="Egypt"/>
    <x v="2"/>
    <x v="7"/>
    <x v="7"/>
    <d v="2025-06-09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0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1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2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3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4T00:00:00"/>
    <m/>
    <s v="Day Off"/>
    <m/>
    <m/>
    <n v="0"/>
    <x v="1"/>
  </r>
  <r>
    <x v="0"/>
    <s v="Egypt"/>
    <x v="2"/>
    <x v="7"/>
    <x v="7"/>
    <d v="2025-06-15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6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7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8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19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0T00:00:00"/>
    <m/>
    <s v="Day Off"/>
    <m/>
    <m/>
    <n v="0"/>
    <x v="1"/>
  </r>
  <r>
    <x v="0"/>
    <s v="Egypt"/>
    <x v="2"/>
    <x v="7"/>
    <x v="7"/>
    <d v="2025-06-21T00:00:00"/>
    <m/>
    <s v="Day Off"/>
    <m/>
    <m/>
    <n v="0"/>
    <x v="1"/>
  </r>
  <r>
    <x v="0"/>
    <s v="Egypt"/>
    <x v="2"/>
    <x v="7"/>
    <x v="7"/>
    <d v="2025-06-22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3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4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5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6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7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8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29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7"/>
    <x v="7"/>
    <d v="2025-06-30T00:00:00"/>
    <d v="1899-12-30T08:00:00"/>
    <s v="Non Reserved Annual"/>
    <d v="1899-12-30T09:15:00"/>
    <d v="1899-12-30T17:15:00"/>
    <n v="28800"/>
    <x v="1"/>
  </r>
  <r>
    <x v="0"/>
    <s v="Egypt"/>
    <x v="2"/>
    <x v="7"/>
    <x v="7"/>
    <m/>
    <m/>
    <s v="Non Reserved Annual"/>
    <d v="1899-12-30T09:15:00"/>
    <d v="1899-12-30T17:15:00"/>
    <n v="0"/>
    <x v="1"/>
  </r>
  <r>
    <x v="0"/>
    <s v="Egypt"/>
    <x v="2"/>
    <x v="8"/>
    <x v="8"/>
    <d v="2025-06-01T00:00:00"/>
    <m/>
    <s v="Day Off"/>
    <m/>
    <m/>
    <n v="0"/>
    <x v="1"/>
  </r>
  <r>
    <x v="0"/>
    <s v="Egypt"/>
    <x v="2"/>
    <x v="8"/>
    <x v="8"/>
    <d v="2025-06-02T00:00:00"/>
    <m/>
    <s v="Day Off"/>
    <m/>
    <m/>
    <n v="0"/>
    <x v="1"/>
  </r>
  <r>
    <x v="0"/>
    <s v="Egypt"/>
    <x v="2"/>
    <x v="8"/>
    <x v="8"/>
    <d v="2025-06-03T00:00:00"/>
    <d v="1899-12-30T08:15:00"/>
    <s v="Non Telecom"/>
    <d v="1899-12-30T16:15:00"/>
    <s v="+12:30 AM"/>
    <n v="29700"/>
    <x v="0"/>
  </r>
  <r>
    <x v="0"/>
    <s v="Egypt"/>
    <x v="2"/>
    <x v="8"/>
    <x v="8"/>
    <m/>
    <m/>
    <s v="Break 15 Night"/>
    <d v="1899-12-30T17:15:00"/>
    <d v="1899-12-30T17:30:00"/>
    <n v="0"/>
    <x v="1"/>
  </r>
  <r>
    <x v="0"/>
    <s v="Egypt"/>
    <x v="2"/>
    <x v="8"/>
    <x v="8"/>
    <m/>
    <m/>
    <s v="Break 30 Night"/>
    <d v="1899-12-30T20:15:00"/>
    <d v="1899-12-30T20:45:00"/>
    <n v="0"/>
    <x v="1"/>
  </r>
  <r>
    <x v="0"/>
    <s v="Egypt"/>
    <x v="2"/>
    <x v="8"/>
    <x v="8"/>
    <d v="2025-06-04T00:00:00"/>
    <d v="1899-12-30T08:15:00"/>
    <s v="Non Telecom"/>
    <d v="1899-12-30T16:15:00"/>
    <s v="+12:30 AM"/>
    <n v="29700"/>
    <x v="0"/>
  </r>
  <r>
    <x v="0"/>
    <s v="Egypt"/>
    <x v="2"/>
    <x v="8"/>
    <x v="8"/>
    <m/>
    <m/>
    <s v="Break 15 Night"/>
    <d v="1899-12-30T17:15:00"/>
    <d v="1899-12-30T17:30:00"/>
    <n v="0"/>
    <x v="1"/>
  </r>
  <r>
    <x v="0"/>
    <s v="Egypt"/>
    <x v="2"/>
    <x v="8"/>
    <x v="8"/>
    <m/>
    <m/>
    <s v="Break 30 Night"/>
    <d v="1899-12-30T20:15:00"/>
    <d v="1899-12-30T20:45:00"/>
    <n v="0"/>
    <x v="1"/>
  </r>
  <r>
    <x v="0"/>
    <s v="Egypt"/>
    <x v="2"/>
    <x v="8"/>
    <x v="8"/>
    <d v="2025-06-05T00:00:00"/>
    <d v="1899-12-30T08:15:00"/>
    <s v="Non Telecom"/>
    <d v="1899-12-30T16:15:00"/>
    <s v="+12:30 AM"/>
    <n v="29700"/>
    <x v="0"/>
  </r>
  <r>
    <x v="0"/>
    <s v="Egypt"/>
    <x v="2"/>
    <x v="8"/>
    <x v="8"/>
    <m/>
    <m/>
    <s v="Break 15 Night"/>
    <d v="1899-12-30T17:15:00"/>
    <d v="1899-12-30T17:30:00"/>
    <n v="0"/>
    <x v="1"/>
  </r>
  <r>
    <x v="0"/>
    <s v="Egypt"/>
    <x v="2"/>
    <x v="8"/>
    <x v="8"/>
    <m/>
    <m/>
    <s v="Break 30 Night"/>
    <d v="1899-12-30T20:15:00"/>
    <d v="1899-12-30T20:45:00"/>
    <n v="0"/>
    <x v="1"/>
  </r>
  <r>
    <x v="0"/>
    <s v="Egypt"/>
    <x v="2"/>
    <x v="8"/>
    <x v="8"/>
    <d v="2025-06-06T00:00:00"/>
    <d v="1899-12-30T08:15:00"/>
    <s v="Non Telecom"/>
    <d v="1899-12-30T16:15:00"/>
    <s v="+12:30 AM"/>
    <n v="29700"/>
    <x v="0"/>
  </r>
  <r>
    <x v="0"/>
    <s v="Egypt"/>
    <x v="2"/>
    <x v="8"/>
    <x v="8"/>
    <m/>
    <m/>
    <s v="Break 15 Night"/>
    <d v="1899-12-30T17:15:00"/>
    <d v="1899-12-30T17:30:00"/>
    <n v="0"/>
    <x v="1"/>
  </r>
  <r>
    <x v="0"/>
    <s v="Egypt"/>
    <x v="2"/>
    <x v="8"/>
    <x v="8"/>
    <m/>
    <m/>
    <s v="Break 30 Night"/>
    <d v="1899-12-30T20:15:00"/>
    <d v="1899-12-30T20:45:00"/>
    <n v="0"/>
    <x v="1"/>
  </r>
  <r>
    <x v="0"/>
    <s v="Egypt"/>
    <x v="2"/>
    <x v="8"/>
    <x v="8"/>
    <d v="2025-06-07T00:00:00"/>
    <d v="1899-12-30T08:15:00"/>
    <s v="Non Telecom"/>
    <d v="1899-12-30T21:00:00"/>
    <s v="+5:15 AM"/>
    <n v="29700"/>
    <x v="0"/>
  </r>
  <r>
    <x v="0"/>
    <s v="Egypt"/>
    <x v="2"/>
    <x v="8"/>
    <x v="8"/>
    <m/>
    <m/>
    <s v="Break 15 Night"/>
    <d v="1899-12-30T22:00:00"/>
    <d v="1899-12-30T22:15:00"/>
    <n v="0"/>
    <x v="1"/>
  </r>
  <r>
    <x v="0"/>
    <s v="Egypt"/>
    <x v="2"/>
    <x v="8"/>
    <x v="8"/>
    <m/>
    <m/>
    <s v="Break 30 Night"/>
    <s v="+1:00 AM"/>
    <s v="+1:30 AM"/>
    <n v="0"/>
    <x v="1"/>
  </r>
  <r>
    <x v="0"/>
    <s v="Egypt"/>
    <x v="2"/>
    <x v="8"/>
    <x v="8"/>
    <d v="2025-06-08T00:00:00"/>
    <m/>
    <s v="Day Off"/>
    <m/>
    <m/>
    <n v="0"/>
    <x v="1"/>
  </r>
  <r>
    <x v="0"/>
    <s v="Egypt"/>
    <x v="2"/>
    <x v="8"/>
    <x v="8"/>
    <d v="2025-06-09T00:00:00"/>
    <m/>
    <s v="Day Off"/>
    <m/>
    <m/>
    <n v="0"/>
    <x v="1"/>
  </r>
  <r>
    <x v="0"/>
    <s v="Egypt"/>
    <x v="2"/>
    <x v="8"/>
    <x v="8"/>
    <d v="2025-06-10T00:00:00"/>
    <d v="1899-12-30T08:15:00"/>
    <s v="Support Training"/>
    <m/>
    <m/>
    <n v="29700"/>
    <x v="1"/>
  </r>
  <r>
    <x v="0"/>
    <s v="Egypt"/>
    <x v="2"/>
    <x v="8"/>
    <x v="8"/>
    <d v="2025-06-11T00:00:00"/>
    <d v="1899-12-30T08:15:00"/>
    <s v="Support Training"/>
    <m/>
    <m/>
    <n v="29700"/>
    <x v="1"/>
  </r>
  <r>
    <x v="0"/>
    <s v="Egypt"/>
    <x v="2"/>
    <x v="8"/>
    <x v="8"/>
    <d v="2025-06-12T00:00:00"/>
    <d v="1899-12-30T08:15:00"/>
    <s v="Support Training"/>
    <m/>
    <m/>
    <n v="29700"/>
    <x v="1"/>
  </r>
  <r>
    <x v="0"/>
    <s v="Egypt"/>
    <x v="2"/>
    <x v="8"/>
    <x v="8"/>
    <d v="2025-06-13T00:00:00"/>
    <d v="1899-12-30T08:15:00"/>
    <s v="Support Training"/>
    <m/>
    <m/>
    <n v="29700"/>
    <x v="1"/>
  </r>
  <r>
    <x v="0"/>
    <s v="Egypt"/>
    <x v="2"/>
    <x v="8"/>
    <x v="8"/>
    <d v="2025-06-14T00:00:00"/>
    <d v="1899-12-30T08:15:00"/>
    <s v="Support Training"/>
    <m/>
    <m/>
    <n v="29700"/>
    <x v="1"/>
  </r>
  <r>
    <x v="0"/>
    <s v="Egypt"/>
    <x v="2"/>
    <x v="8"/>
    <x v="8"/>
    <d v="2025-06-15T00:00:00"/>
    <d v="1899-12-30T08:15:00"/>
    <s v="Support Training"/>
    <m/>
    <m/>
    <n v="29700"/>
    <x v="1"/>
  </r>
  <r>
    <x v="0"/>
    <s v="Egypt"/>
    <x v="2"/>
    <x v="8"/>
    <x v="8"/>
    <d v="2025-06-16T00:00:00"/>
    <d v="1899-12-30T08:15:00"/>
    <s v="Annual Exception"/>
    <m/>
    <m/>
    <n v="29700"/>
    <x v="1"/>
  </r>
  <r>
    <x v="0"/>
    <s v="Egypt"/>
    <x v="2"/>
    <x v="8"/>
    <x v="8"/>
    <d v="2025-06-17T00:00:00"/>
    <m/>
    <s v="Day Off"/>
    <m/>
    <m/>
    <n v="0"/>
    <x v="1"/>
  </r>
  <r>
    <x v="0"/>
    <s v="Egypt"/>
    <x v="2"/>
    <x v="8"/>
    <x v="8"/>
    <d v="2025-06-18T00:00:00"/>
    <m/>
    <s v="Day Off"/>
    <m/>
    <m/>
    <n v="0"/>
    <x v="1"/>
  </r>
  <r>
    <x v="0"/>
    <s v="Egypt"/>
    <x v="2"/>
    <x v="8"/>
    <x v="8"/>
    <d v="2025-06-19T00:00:00"/>
    <d v="1899-12-30T08:15:00"/>
    <s v="Non Telecom"/>
    <d v="1899-12-30T20:00:00"/>
    <s v="+4:15 AM"/>
    <n v="29700"/>
    <x v="0"/>
  </r>
  <r>
    <x v="0"/>
    <s v="Egypt"/>
    <x v="2"/>
    <x v="8"/>
    <x v="8"/>
    <m/>
    <m/>
    <s v="Break 15 Night"/>
    <d v="1899-12-30T23:00:00"/>
    <d v="1899-12-30T23:15:00"/>
    <n v="0"/>
    <x v="1"/>
  </r>
  <r>
    <x v="0"/>
    <s v="Egypt"/>
    <x v="2"/>
    <x v="8"/>
    <x v="8"/>
    <m/>
    <m/>
    <s v="Break 30 Night"/>
    <s v="+2:00 AM"/>
    <s v="+2:30 AM"/>
    <n v="0"/>
    <x v="1"/>
  </r>
  <r>
    <x v="0"/>
    <s v="Egypt"/>
    <x v="2"/>
    <x v="8"/>
    <x v="8"/>
    <d v="2025-06-20T00:00:00"/>
    <d v="1899-12-30T08:15:00"/>
    <s v="Non Telecom"/>
    <d v="1899-12-30T20:00:00"/>
    <s v="+4:15 AM"/>
    <n v="29700"/>
    <x v="0"/>
  </r>
  <r>
    <x v="0"/>
    <s v="Egypt"/>
    <x v="2"/>
    <x v="8"/>
    <x v="8"/>
    <m/>
    <m/>
    <s v="Break 15 Night"/>
    <d v="1899-12-30T22:45:00"/>
    <d v="1899-12-30T23:00:00"/>
    <n v="0"/>
    <x v="1"/>
  </r>
  <r>
    <x v="0"/>
    <s v="Egypt"/>
    <x v="2"/>
    <x v="8"/>
    <x v="8"/>
    <m/>
    <m/>
    <s v="Break 30 Night"/>
    <s v="+1:15 AM"/>
    <s v="+1:45 AM"/>
    <n v="0"/>
    <x v="1"/>
  </r>
  <r>
    <x v="0"/>
    <s v="Egypt"/>
    <x v="2"/>
    <x v="8"/>
    <x v="8"/>
    <d v="2025-06-21T00:00:00"/>
    <d v="1899-12-30T08:15:00"/>
    <s v="Annual Exception"/>
    <m/>
    <m/>
    <n v="29700"/>
    <x v="1"/>
  </r>
  <r>
    <x v="0"/>
    <s v="Egypt"/>
    <x v="2"/>
    <x v="8"/>
    <x v="8"/>
    <d v="2025-06-22T00:00:00"/>
    <d v="1899-12-30T08:00:00"/>
    <s v="Non Reserved Annual"/>
    <d v="1899-12-30T09:15:00"/>
    <d v="1899-12-30T17:15:00"/>
    <n v="28800"/>
    <x v="1"/>
  </r>
  <r>
    <x v="0"/>
    <s v="Egypt"/>
    <x v="2"/>
    <x v="8"/>
    <x v="8"/>
    <m/>
    <m/>
    <s v="Non Reserved Annual"/>
    <d v="1899-12-30T09:15:00"/>
    <d v="1899-12-30T17:15:00"/>
    <n v="0"/>
    <x v="1"/>
  </r>
  <r>
    <x v="0"/>
    <s v="Egypt"/>
    <x v="2"/>
    <x v="8"/>
    <x v="8"/>
    <d v="2025-06-23T00:00:00"/>
    <m/>
    <s v="Day Off"/>
    <m/>
    <m/>
    <n v="0"/>
    <x v="1"/>
  </r>
  <r>
    <x v="0"/>
    <s v="Egypt"/>
    <x v="2"/>
    <x v="8"/>
    <x v="8"/>
    <d v="2025-06-24T00:00:00"/>
    <m/>
    <s v="Day Off"/>
    <m/>
    <m/>
    <n v="0"/>
    <x v="1"/>
  </r>
  <r>
    <x v="0"/>
    <s v="Egypt"/>
    <x v="2"/>
    <x v="8"/>
    <x v="8"/>
    <d v="2025-06-25T00:00:00"/>
    <d v="1899-12-30T08:00:00"/>
    <s v="Non Reserved Annual"/>
    <d v="1899-12-30T09:15:00"/>
    <d v="1899-12-30T17:15:00"/>
    <n v="28800"/>
    <x v="1"/>
  </r>
  <r>
    <x v="0"/>
    <s v="Egypt"/>
    <x v="2"/>
    <x v="8"/>
    <x v="8"/>
    <m/>
    <m/>
    <s v="Non Reserved Annual"/>
    <d v="1899-12-30T09:15:00"/>
    <d v="1899-12-30T17:15:00"/>
    <n v="0"/>
    <x v="1"/>
  </r>
  <r>
    <x v="0"/>
    <s v="Egypt"/>
    <x v="2"/>
    <x v="8"/>
    <x v="8"/>
    <d v="2025-06-26T00:00:00"/>
    <d v="1899-12-30T08:15:00"/>
    <s v="Non Telecom"/>
    <d v="1899-12-30T19:15:00"/>
    <s v="+3:30 AM"/>
    <n v="29700"/>
    <x v="0"/>
  </r>
  <r>
    <x v="0"/>
    <s v="Egypt"/>
    <x v="2"/>
    <x v="8"/>
    <x v="8"/>
    <m/>
    <m/>
    <s v="Break 15 Night"/>
    <d v="1899-12-30T21:15:00"/>
    <d v="1899-12-30T21:30:00"/>
    <n v="0"/>
    <x v="1"/>
  </r>
  <r>
    <x v="0"/>
    <s v="Egypt"/>
    <x v="2"/>
    <x v="8"/>
    <x v="8"/>
    <m/>
    <m/>
    <s v="Break 30 Night"/>
    <s v="+12:30 AM"/>
    <s v="+1:00 AM"/>
    <n v="0"/>
    <x v="1"/>
  </r>
  <r>
    <x v="0"/>
    <s v="Egypt"/>
    <x v="2"/>
    <x v="8"/>
    <x v="8"/>
    <d v="2025-06-27T00:00:00"/>
    <d v="1899-12-30T08:15:00"/>
    <s v="Non Telecom"/>
    <d v="1899-12-30T19:15:00"/>
    <s v="+3:30 AM"/>
    <n v="29700"/>
    <x v="0"/>
  </r>
  <r>
    <x v="0"/>
    <s v="Egypt"/>
    <x v="2"/>
    <x v="8"/>
    <x v="8"/>
    <m/>
    <m/>
    <s v="Break 15 Night"/>
    <d v="1899-12-30T21:15:00"/>
    <d v="1899-12-30T21:30:00"/>
    <n v="0"/>
    <x v="1"/>
  </r>
  <r>
    <x v="0"/>
    <s v="Egypt"/>
    <x v="2"/>
    <x v="8"/>
    <x v="8"/>
    <m/>
    <m/>
    <s v="Break 30 Night"/>
    <s v="+12:15 AM"/>
    <s v="+12:45 AM"/>
    <n v="0"/>
    <x v="1"/>
  </r>
  <r>
    <x v="0"/>
    <s v="Egypt"/>
    <x v="2"/>
    <x v="8"/>
    <x v="8"/>
    <d v="2025-06-28T00:00:00"/>
    <d v="1899-12-30T08:15:00"/>
    <s v="Annual Exception"/>
    <m/>
    <m/>
    <n v="29700"/>
    <x v="1"/>
  </r>
  <r>
    <x v="0"/>
    <s v="Egypt"/>
    <x v="2"/>
    <x v="8"/>
    <x v="8"/>
    <d v="2025-06-29T00:00:00"/>
    <d v="1899-12-30T08:15:00"/>
    <s v="Support Training"/>
    <m/>
    <m/>
    <n v="29700"/>
    <x v="1"/>
  </r>
  <r>
    <x v="0"/>
    <s v="Egypt"/>
    <x v="2"/>
    <x v="8"/>
    <x v="8"/>
    <d v="2025-06-30T00:00:00"/>
    <d v="1899-12-30T08:15:00"/>
    <s v="Support Training"/>
    <m/>
    <m/>
    <n v="29700"/>
    <x v="1"/>
  </r>
  <r>
    <x v="0"/>
    <s v="Egypt"/>
    <x v="2"/>
    <x v="9"/>
    <x v="9"/>
    <d v="2025-06-01T00:00:00"/>
    <m/>
    <s v="Day Off"/>
    <m/>
    <m/>
    <n v="0"/>
    <x v="1"/>
  </r>
  <r>
    <x v="0"/>
    <s v="Egypt"/>
    <x v="2"/>
    <x v="9"/>
    <x v="9"/>
    <d v="2025-06-02T00:00:00"/>
    <d v="1899-12-30T08:15:00"/>
    <s v="Non Telecom"/>
    <d v="1899-12-30T15:00:00"/>
    <d v="1899-12-30T23:15:00"/>
    <n v="29700"/>
    <x v="0"/>
  </r>
  <r>
    <x v="0"/>
    <s v="Egypt"/>
    <x v="2"/>
    <x v="9"/>
    <x v="9"/>
    <m/>
    <m/>
    <s v="Break 15 Morning"/>
    <d v="1899-12-30T17:00:00"/>
    <d v="1899-12-30T17:15:00"/>
    <n v="0"/>
    <x v="1"/>
  </r>
  <r>
    <x v="0"/>
    <s v="Egypt"/>
    <x v="2"/>
    <x v="9"/>
    <x v="9"/>
    <m/>
    <m/>
    <s v="Break 30 Morning"/>
    <d v="1899-12-30T20:15:00"/>
    <d v="1899-12-30T20:45:00"/>
    <n v="0"/>
    <x v="1"/>
  </r>
  <r>
    <x v="0"/>
    <s v="Egypt"/>
    <x v="2"/>
    <x v="9"/>
    <x v="9"/>
    <d v="2025-06-03T00:00:00"/>
    <d v="1899-12-30T08:15:00"/>
    <s v="Non Telecom"/>
    <d v="1899-12-30T15:00:00"/>
    <d v="1899-12-30T23:15:00"/>
    <n v="29700"/>
    <x v="0"/>
  </r>
  <r>
    <x v="0"/>
    <s v="Egypt"/>
    <x v="2"/>
    <x v="9"/>
    <x v="9"/>
    <m/>
    <m/>
    <s v="Break 15 Morning"/>
    <d v="1899-12-30T17:15:00"/>
    <d v="1899-12-30T17:30:00"/>
    <n v="0"/>
    <x v="1"/>
  </r>
  <r>
    <x v="0"/>
    <s v="Egypt"/>
    <x v="2"/>
    <x v="9"/>
    <x v="9"/>
    <m/>
    <m/>
    <s v="Break 30 Morning"/>
    <d v="1899-12-30T20:15:00"/>
    <d v="1899-12-30T20:45:00"/>
    <n v="0"/>
    <x v="1"/>
  </r>
  <r>
    <x v="0"/>
    <s v="Egypt"/>
    <x v="2"/>
    <x v="9"/>
    <x v="9"/>
    <d v="2025-06-04T00:00:00"/>
    <d v="1899-12-30T08:15:00"/>
    <s v="Non Telecom"/>
    <d v="1899-12-30T15:00:00"/>
    <d v="1899-12-30T23:15:00"/>
    <n v="29700"/>
    <x v="0"/>
  </r>
  <r>
    <x v="0"/>
    <s v="Egypt"/>
    <x v="2"/>
    <x v="9"/>
    <x v="9"/>
    <m/>
    <m/>
    <s v="Break 15 Morning"/>
    <d v="1899-12-30T16:45:00"/>
    <d v="1899-12-30T17:00:00"/>
    <n v="0"/>
    <x v="1"/>
  </r>
  <r>
    <x v="0"/>
    <s v="Egypt"/>
    <x v="2"/>
    <x v="9"/>
    <x v="9"/>
    <m/>
    <m/>
    <s v="Break 30 Morning"/>
    <d v="1899-12-30T20:00:00"/>
    <d v="1899-12-30T20:30:00"/>
    <n v="0"/>
    <x v="1"/>
  </r>
  <r>
    <x v="0"/>
    <s v="Egypt"/>
    <x v="2"/>
    <x v="9"/>
    <x v="9"/>
    <d v="2025-06-05T00:00:00"/>
    <d v="1899-12-30T08:15:00"/>
    <s v="Non Telecom"/>
    <d v="1899-12-30T15:00:00"/>
    <d v="1899-12-30T23:15:00"/>
    <n v="29700"/>
    <x v="0"/>
  </r>
  <r>
    <x v="0"/>
    <s v="Egypt"/>
    <x v="2"/>
    <x v="9"/>
    <x v="9"/>
    <m/>
    <m/>
    <s v="Break 15 Morning"/>
    <d v="1899-12-30T16:30:00"/>
    <d v="1899-12-30T16:45:00"/>
    <n v="0"/>
    <x v="1"/>
  </r>
  <r>
    <x v="0"/>
    <s v="Egypt"/>
    <x v="2"/>
    <x v="9"/>
    <x v="9"/>
    <m/>
    <m/>
    <s v="Break 30 Morning"/>
    <d v="1899-12-30T19:45:00"/>
    <d v="1899-12-30T20:15:00"/>
    <n v="0"/>
    <x v="1"/>
  </r>
  <r>
    <x v="0"/>
    <s v="Egypt"/>
    <x v="2"/>
    <x v="9"/>
    <x v="9"/>
    <d v="2025-06-06T00:00:00"/>
    <d v="1899-12-30T08:15:00"/>
    <s v="Non Telecom"/>
    <d v="1899-12-30T15:00:00"/>
    <d v="1899-12-30T23:15:00"/>
    <n v="29700"/>
    <x v="0"/>
  </r>
  <r>
    <x v="0"/>
    <s v="Egypt"/>
    <x v="2"/>
    <x v="9"/>
    <x v="9"/>
    <m/>
    <m/>
    <s v="Break 15 Morning"/>
    <d v="1899-12-30T15:40:00"/>
    <d v="1899-12-30T15:55:00"/>
    <n v="0"/>
    <x v="1"/>
  </r>
  <r>
    <x v="0"/>
    <s v="Egypt"/>
    <x v="2"/>
    <x v="9"/>
    <x v="9"/>
    <m/>
    <m/>
    <s v="Break 30 Morning"/>
    <d v="1899-12-30T16:30:00"/>
    <d v="1899-12-30T17:00:00"/>
    <n v="0"/>
    <x v="1"/>
  </r>
  <r>
    <x v="0"/>
    <s v="Egypt"/>
    <x v="2"/>
    <x v="9"/>
    <x v="9"/>
    <d v="2025-06-07T00:00:00"/>
    <m/>
    <s v="Day Off"/>
    <m/>
    <m/>
    <n v="0"/>
    <x v="1"/>
  </r>
  <r>
    <x v="0"/>
    <s v="Egypt"/>
    <x v="2"/>
    <x v="9"/>
    <x v="9"/>
    <d v="2025-06-08T00:00:00"/>
    <d v="1899-12-30T08:15:00"/>
    <s v="Annual"/>
    <m/>
    <m/>
    <n v="29700"/>
    <x v="1"/>
  </r>
  <r>
    <x v="0"/>
    <s v="Egypt"/>
    <x v="2"/>
    <x v="9"/>
    <x v="9"/>
    <d v="2025-06-09T00:00:00"/>
    <d v="1899-12-30T08:15:00"/>
    <s v="Annual"/>
    <m/>
    <m/>
    <n v="29700"/>
    <x v="1"/>
  </r>
  <r>
    <x v="0"/>
    <s v="Egypt"/>
    <x v="2"/>
    <x v="9"/>
    <x v="9"/>
    <d v="2025-06-10T00:00:00"/>
    <d v="1899-12-30T08:15:00"/>
    <s v="Annual"/>
    <m/>
    <m/>
    <n v="29700"/>
    <x v="1"/>
  </r>
  <r>
    <x v="0"/>
    <s v="Egypt"/>
    <x v="2"/>
    <x v="9"/>
    <x v="9"/>
    <d v="2025-06-11T00:00:00"/>
    <d v="1899-12-30T08:15:00"/>
    <s v="Annual"/>
    <m/>
    <m/>
    <n v="29700"/>
    <x v="1"/>
  </r>
  <r>
    <x v="0"/>
    <s v="Egypt"/>
    <x v="2"/>
    <x v="9"/>
    <x v="9"/>
    <d v="2025-06-12T00:00:00"/>
    <m/>
    <s v="Day Off"/>
    <m/>
    <m/>
    <n v="0"/>
    <x v="1"/>
  </r>
  <r>
    <x v="0"/>
    <s v="Egypt"/>
    <x v="2"/>
    <x v="9"/>
    <x v="9"/>
    <d v="2025-06-13T00:00:00"/>
    <m/>
    <s v="Day Off"/>
    <m/>
    <m/>
    <n v="0"/>
    <x v="1"/>
  </r>
  <r>
    <x v="0"/>
    <s v="Egypt"/>
    <x v="2"/>
    <x v="9"/>
    <x v="9"/>
    <d v="2025-06-14T00:00:00"/>
    <d v="1899-12-30T08:15:00"/>
    <s v="Non Telecom"/>
    <d v="1899-12-30T18:00:00"/>
    <s v="+2:15 AM"/>
    <n v="29700"/>
    <x v="0"/>
  </r>
  <r>
    <x v="0"/>
    <s v="Egypt"/>
    <x v="2"/>
    <x v="9"/>
    <x v="9"/>
    <m/>
    <m/>
    <s v="Break 15 Night"/>
    <d v="1899-12-30T20:30:00"/>
    <d v="1899-12-30T20:45:00"/>
    <n v="0"/>
    <x v="1"/>
  </r>
  <r>
    <x v="0"/>
    <s v="Egypt"/>
    <x v="2"/>
    <x v="9"/>
    <x v="9"/>
    <m/>
    <m/>
    <s v="Break 30 Night"/>
    <d v="1899-12-30T23:00:00"/>
    <d v="1899-12-30T23:30:00"/>
    <n v="0"/>
    <x v="1"/>
  </r>
  <r>
    <x v="0"/>
    <s v="Egypt"/>
    <x v="2"/>
    <x v="9"/>
    <x v="9"/>
    <d v="2025-06-15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Break 15 Night"/>
    <d v="1899-12-30T23:15:00"/>
    <d v="1899-12-30T23:30:00"/>
    <n v="0"/>
    <x v="1"/>
  </r>
  <r>
    <x v="0"/>
    <s v="Egypt"/>
    <x v="2"/>
    <x v="9"/>
    <x v="9"/>
    <m/>
    <m/>
    <s v="Break 30 Night"/>
    <s v="+2:15 AM"/>
    <s v="+2:45 AM"/>
    <n v="0"/>
    <x v="1"/>
  </r>
  <r>
    <x v="0"/>
    <s v="Egypt"/>
    <x v="2"/>
    <x v="9"/>
    <x v="9"/>
    <d v="2025-06-16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Break 15 Night"/>
    <d v="1899-12-30T23:00:00"/>
    <d v="1899-12-30T23:15:00"/>
    <n v="0"/>
    <x v="1"/>
  </r>
  <r>
    <x v="0"/>
    <s v="Egypt"/>
    <x v="2"/>
    <x v="9"/>
    <x v="9"/>
    <m/>
    <m/>
    <s v="Break 30 Night"/>
    <s v="+2:00 AM"/>
    <s v="+2:30 AM"/>
    <n v="0"/>
    <x v="1"/>
  </r>
  <r>
    <x v="0"/>
    <s v="Egypt"/>
    <x v="2"/>
    <x v="9"/>
    <x v="9"/>
    <d v="2025-06-17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Break 15 Night"/>
    <d v="1899-12-30T23:00:00"/>
    <d v="1899-12-30T23:15:00"/>
    <n v="0"/>
    <x v="1"/>
  </r>
  <r>
    <x v="0"/>
    <s v="Egypt"/>
    <x v="2"/>
    <x v="9"/>
    <x v="9"/>
    <m/>
    <m/>
    <s v="Break 30 Night"/>
    <s v="+2:00 AM"/>
    <s v="+2:30 AM"/>
    <n v="0"/>
    <x v="1"/>
  </r>
  <r>
    <x v="0"/>
    <s v="Egypt"/>
    <x v="2"/>
    <x v="9"/>
    <x v="9"/>
    <d v="2025-06-18T00:00:00"/>
    <m/>
    <s v="Day Off"/>
    <m/>
    <m/>
    <n v="0"/>
    <x v="1"/>
  </r>
  <r>
    <x v="0"/>
    <s v="Egypt"/>
    <x v="2"/>
    <x v="9"/>
    <x v="9"/>
    <d v="2025-06-19T00:00:00"/>
    <d v="1899-12-30T08:15:00"/>
    <s v="Annual Exception"/>
    <m/>
    <m/>
    <n v="29700"/>
    <x v="1"/>
  </r>
  <r>
    <x v="0"/>
    <s v="Egypt"/>
    <x v="2"/>
    <x v="9"/>
    <x v="9"/>
    <d v="2025-06-20T00:00:00"/>
    <m/>
    <s v="Day Off"/>
    <m/>
    <m/>
    <n v="0"/>
    <x v="1"/>
  </r>
  <r>
    <x v="0"/>
    <s v="Egypt"/>
    <x v="2"/>
    <x v="9"/>
    <x v="9"/>
    <d v="2025-06-21T00:00:00"/>
    <d v="1899-12-30T08:15:00"/>
    <s v="Non Telecom"/>
    <d v="1899-12-30T19:00:00"/>
    <s v="+3:15 AM"/>
    <n v="29700"/>
    <x v="0"/>
  </r>
  <r>
    <x v="0"/>
    <s v="Egypt"/>
    <x v="2"/>
    <x v="9"/>
    <x v="9"/>
    <m/>
    <m/>
    <s v="Break 15 Night"/>
    <d v="1899-12-30T21:15:00"/>
    <d v="1899-12-30T21:30:00"/>
    <n v="0"/>
    <x v="1"/>
  </r>
  <r>
    <x v="0"/>
    <s v="Egypt"/>
    <x v="2"/>
    <x v="9"/>
    <x v="9"/>
    <m/>
    <m/>
    <s v="Break 30 Night"/>
    <s v="+12:30 AM"/>
    <s v="+1:00 AM"/>
    <n v="0"/>
    <x v="1"/>
  </r>
  <r>
    <x v="0"/>
    <s v="Egypt"/>
    <x v="2"/>
    <x v="9"/>
    <x v="9"/>
    <d v="2025-06-22T00:00:00"/>
    <d v="1899-12-30T08:15:00"/>
    <s v="Annual Exception"/>
    <m/>
    <m/>
    <n v="29700"/>
    <x v="1"/>
  </r>
  <r>
    <x v="0"/>
    <s v="Egypt"/>
    <x v="2"/>
    <x v="9"/>
    <x v="9"/>
    <d v="2025-06-23T00:00:00"/>
    <d v="1899-12-30T08:15:00"/>
    <s v="Annual Exception"/>
    <m/>
    <m/>
    <n v="29700"/>
    <x v="1"/>
  </r>
  <r>
    <x v="0"/>
    <s v="Egypt"/>
    <x v="2"/>
    <x v="9"/>
    <x v="9"/>
    <d v="2025-06-24T00:00:00"/>
    <m/>
    <s v="Day Off"/>
    <m/>
    <m/>
    <n v="0"/>
    <x v="1"/>
  </r>
  <r>
    <x v="0"/>
    <s v="Egypt"/>
    <x v="2"/>
    <x v="9"/>
    <x v="9"/>
    <d v="2025-06-25T00:00:00"/>
    <m/>
    <s v="Day Off"/>
    <m/>
    <m/>
    <n v="0"/>
    <x v="1"/>
  </r>
  <r>
    <x v="0"/>
    <s v="Egypt"/>
    <x v="2"/>
    <x v="9"/>
    <x v="9"/>
    <d v="2025-06-26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Break 15 Night"/>
    <d v="1899-12-30T23:15:00"/>
    <d v="1899-12-30T23:30:00"/>
    <n v="0"/>
    <x v="1"/>
  </r>
  <r>
    <x v="0"/>
    <s v="Egypt"/>
    <x v="2"/>
    <x v="9"/>
    <x v="9"/>
    <m/>
    <m/>
    <s v="Break 30 Night"/>
    <s v="+2:30 AM"/>
    <s v="+3:00 AM"/>
    <n v="0"/>
    <x v="1"/>
  </r>
  <r>
    <x v="0"/>
    <s v="Egypt"/>
    <x v="2"/>
    <x v="9"/>
    <x v="9"/>
    <d v="2025-06-27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Shift Swap"/>
    <d v="1899-12-30T21:00:00"/>
    <d v="1899-12-30T21:15:00"/>
    <n v="0"/>
    <x v="1"/>
  </r>
  <r>
    <x v="0"/>
    <s v="Egypt"/>
    <x v="2"/>
    <x v="9"/>
    <x v="9"/>
    <m/>
    <m/>
    <s v="Break 15 Night"/>
    <d v="1899-12-30T23:00:00"/>
    <d v="1899-12-30T23:15:00"/>
    <n v="0"/>
    <x v="1"/>
  </r>
  <r>
    <x v="0"/>
    <s v="Egypt"/>
    <x v="2"/>
    <x v="9"/>
    <x v="9"/>
    <m/>
    <m/>
    <s v="Break 30 Night"/>
    <s v="+1:45 AM"/>
    <s v="+2:15 AM"/>
    <n v="0"/>
    <x v="1"/>
  </r>
  <r>
    <x v="0"/>
    <s v="Egypt"/>
    <x v="2"/>
    <x v="9"/>
    <x v="9"/>
    <d v="2025-06-28T00:00:00"/>
    <d v="1899-12-30T08:15:00"/>
    <s v="Non Telecom"/>
    <d v="1899-12-30T21:00:00"/>
    <s v="+5:15 AM"/>
    <n v="29700"/>
    <x v="0"/>
  </r>
  <r>
    <x v="0"/>
    <s v="Egypt"/>
    <x v="2"/>
    <x v="9"/>
    <x v="9"/>
    <m/>
    <m/>
    <s v="Break 15 Night"/>
    <d v="1899-12-30T23:15:00"/>
    <d v="1899-12-30T23:30:00"/>
    <n v="0"/>
    <x v="1"/>
  </r>
  <r>
    <x v="0"/>
    <s v="Egypt"/>
    <x v="2"/>
    <x v="9"/>
    <x v="9"/>
    <m/>
    <m/>
    <s v="Break 30 Night"/>
    <s v="+2:30 AM"/>
    <s v="+3:00 AM"/>
    <n v="0"/>
    <x v="1"/>
  </r>
  <r>
    <x v="0"/>
    <s v="Egypt"/>
    <x v="2"/>
    <x v="9"/>
    <x v="9"/>
    <d v="2025-06-29T00:00:00"/>
    <d v="1899-12-30T08:15:00"/>
    <s v="Planned Task"/>
    <m/>
    <m/>
    <n v="29700"/>
    <x v="1"/>
  </r>
  <r>
    <x v="0"/>
    <s v="Egypt"/>
    <x v="2"/>
    <x v="9"/>
    <x v="9"/>
    <d v="2025-06-30T00:00:00"/>
    <d v="1899-12-30T08:15:00"/>
    <s v="Planned Task"/>
    <m/>
    <m/>
    <n v="29700"/>
    <x v="1"/>
  </r>
  <r>
    <x v="0"/>
    <s v="Egypt"/>
    <x v="2"/>
    <x v="10"/>
    <x v="10"/>
    <d v="2025-06-01T00:00:00"/>
    <d v="1899-12-30T08:15:00"/>
    <s v="Planned Task"/>
    <m/>
    <m/>
    <n v="29700"/>
    <x v="1"/>
  </r>
  <r>
    <x v="0"/>
    <s v="Egypt"/>
    <x v="2"/>
    <x v="10"/>
    <x v="10"/>
    <d v="2025-06-02T00:00:00"/>
    <d v="1899-12-30T08:15:00"/>
    <s v="Planned Task"/>
    <m/>
    <m/>
    <n v="29700"/>
    <x v="1"/>
  </r>
  <r>
    <x v="0"/>
    <s v="Egypt"/>
    <x v="2"/>
    <x v="10"/>
    <x v="10"/>
    <d v="2025-06-03T00:00:00"/>
    <d v="1899-12-30T08:15:00"/>
    <s v="Planned Task"/>
    <m/>
    <m/>
    <n v="29700"/>
    <x v="1"/>
  </r>
  <r>
    <x v="0"/>
    <s v="Egypt"/>
    <x v="2"/>
    <x v="10"/>
    <x v="10"/>
    <d v="2025-06-04T00:00:00"/>
    <d v="1899-12-30T08:15:00"/>
    <s v="Planned Task"/>
    <m/>
    <m/>
    <n v="29700"/>
    <x v="1"/>
  </r>
  <r>
    <x v="0"/>
    <s v="Egypt"/>
    <x v="2"/>
    <x v="10"/>
    <x v="10"/>
    <d v="2025-06-05T00:00:00"/>
    <d v="1899-12-30T08:15:00"/>
    <s v="Planned Task"/>
    <m/>
    <m/>
    <n v="29700"/>
    <x v="1"/>
  </r>
  <r>
    <x v="0"/>
    <s v="Egypt"/>
    <x v="2"/>
    <x v="10"/>
    <x v="10"/>
    <d v="2025-06-06T00:00:00"/>
    <d v="1899-12-30T08:15:00"/>
    <s v="Planned Task"/>
    <m/>
    <m/>
    <n v="29700"/>
    <x v="1"/>
  </r>
  <r>
    <x v="0"/>
    <s v="Egypt"/>
    <x v="2"/>
    <x v="10"/>
    <x v="10"/>
    <d v="2025-06-07T00:00:00"/>
    <d v="1899-12-30T08:15:00"/>
    <s v="Planned Task"/>
    <m/>
    <m/>
    <n v="29700"/>
    <x v="1"/>
  </r>
  <r>
    <x v="0"/>
    <s v="Egypt"/>
    <x v="2"/>
    <x v="10"/>
    <x v="10"/>
    <d v="2025-06-08T00:00:00"/>
    <d v="1899-12-30T08:15:00"/>
    <s v="Planned Task"/>
    <m/>
    <m/>
    <n v="29700"/>
    <x v="1"/>
  </r>
  <r>
    <x v="0"/>
    <s v="Egypt"/>
    <x v="2"/>
    <x v="10"/>
    <x v="10"/>
    <d v="2025-06-09T00:00:00"/>
    <d v="1899-12-30T08:15:00"/>
    <s v="Planned Task"/>
    <m/>
    <m/>
    <n v="29700"/>
    <x v="1"/>
  </r>
  <r>
    <x v="0"/>
    <s v="Egypt"/>
    <x v="2"/>
    <x v="10"/>
    <x v="10"/>
    <d v="2025-06-10T00:00:00"/>
    <d v="1899-12-30T08:15:00"/>
    <s v="Planned Task"/>
    <m/>
    <m/>
    <n v="29700"/>
    <x v="1"/>
  </r>
  <r>
    <x v="0"/>
    <s v="Egypt"/>
    <x v="2"/>
    <x v="10"/>
    <x v="10"/>
    <d v="2025-06-11T00:00:00"/>
    <d v="1899-12-30T08:15:00"/>
    <s v="Planned Task"/>
    <m/>
    <m/>
    <n v="29700"/>
    <x v="1"/>
  </r>
  <r>
    <x v="0"/>
    <s v="Egypt"/>
    <x v="2"/>
    <x v="10"/>
    <x v="10"/>
    <d v="2025-06-12T00:00:00"/>
    <d v="1899-12-30T08:15:00"/>
    <s v="Planned Task"/>
    <m/>
    <m/>
    <n v="29700"/>
    <x v="1"/>
  </r>
  <r>
    <x v="0"/>
    <s v="Egypt"/>
    <x v="2"/>
    <x v="10"/>
    <x v="10"/>
    <d v="2025-06-13T00:00:00"/>
    <d v="1899-12-30T08:15:00"/>
    <s v="Planned Task"/>
    <m/>
    <m/>
    <n v="29700"/>
    <x v="1"/>
  </r>
  <r>
    <x v="0"/>
    <s v="Egypt"/>
    <x v="2"/>
    <x v="10"/>
    <x v="10"/>
    <d v="2025-06-14T00:00:00"/>
    <d v="1899-12-30T08:15:00"/>
    <s v="Planned Task"/>
    <m/>
    <m/>
    <n v="29700"/>
    <x v="1"/>
  </r>
  <r>
    <x v="0"/>
    <s v="Egypt"/>
    <x v="2"/>
    <x v="10"/>
    <x v="10"/>
    <d v="2025-06-15T00:00:00"/>
    <d v="1899-12-30T08:15:00"/>
    <s v="Planned Task"/>
    <m/>
    <m/>
    <n v="29700"/>
    <x v="1"/>
  </r>
  <r>
    <x v="0"/>
    <s v="Egypt"/>
    <x v="2"/>
    <x v="10"/>
    <x v="10"/>
    <d v="2025-06-16T00:00:00"/>
    <d v="1899-12-30T08:15:00"/>
    <s v="Planned Task"/>
    <m/>
    <m/>
    <n v="29700"/>
    <x v="1"/>
  </r>
  <r>
    <x v="0"/>
    <s v="Egypt"/>
    <x v="2"/>
    <x v="10"/>
    <x v="10"/>
    <d v="2025-06-17T00:00:00"/>
    <d v="1899-12-30T08:15:00"/>
    <s v="Planned Task"/>
    <m/>
    <m/>
    <n v="29700"/>
    <x v="1"/>
  </r>
  <r>
    <x v="0"/>
    <s v="Egypt"/>
    <x v="2"/>
    <x v="10"/>
    <x v="10"/>
    <d v="2025-06-18T00:00:00"/>
    <d v="1899-12-30T08:15:00"/>
    <s v="Planned Task"/>
    <m/>
    <m/>
    <n v="29700"/>
    <x v="1"/>
  </r>
  <r>
    <x v="0"/>
    <s v="Egypt"/>
    <x v="2"/>
    <x v="10"/>
    <x v="10"/>
    <d v="2025-06-19T00:00:00"/>
    <d v="1899-12-30T08:15:00"/>
    <s v="Planned Task"/>
    <m/>
    <m/>
    <n v="29700"/>
    <x v="1"/>
  </r>
  <r>
    <x v="0"/>
    <s v="Egypt"/>
    <x v="2"/>
    <x v="10"/>
    <x v="10"/>
    <d v="2025-06-20T00:00:00"/>
    <d v="1899-12-30T08:15:00"/>
    <s v="Planned Task"/>
    <m/>
    <m/>
    <n v="29700"/>
    <x v="1"/>
  </r>
  <r>
    <x v="0"/>
    <s v="Egypt"/>
    <x v="2"/>
    <x v="10"/>
    <x v="10"/>
    <d v="2025-06-21T00:00:00"/>
    <d v="1899-12-30T08:15:00"/>
    <s v="Planned Task"/>
    <m/>
    <m/>
    <n v="29700"/>
    <x v="1"/>
  </r>
  <r>
    <x v="0"/>
    <s v="Egypt"/>
    <x v="2"/>
    <x v="10"/>
    <x v="10"/>
    <d v="2025-06-22T00:00:00"/>
    <d v="1899-12-30T08:15:00"/>
    <s v="Planned Task"/>
    <m/>
    <m/>
    <n v="29700"/>
    <x v="1"/>
  </r>
  <r>
    <x v="0"/>
    <s v="Egypt"/>
    <x v="2"/>
    <x v="10"/>
    <x v="10"/>
    <d v="2025-06-23T00:00:00"/>
    <d v="1899-12-30T08:15:00"/>
    <s v="Planned Task"/>
    <m/>
    <m/>
    <n v="29700"/>
    <x v="1"/>
  </r>
  <r>
    <x v="0"/>
    <s v="Egypt"/>
    <x v="2"/>
    <x v="10"/>
    <x v="10"/>
    <d v="2025-06-24T00:00:00"/>
    <d v="1899-12-30T08:15:00"/>
    <s v="Planned Task"/>
    <m/>
    <m/>
    <n v="29700"/>
    <x v="1"/>
  </r>
  <r>
    <x v="0"/>
    <s v="Egypt"/>
    <x v="2"/>
    <x v="10"/>
    <x v="10"/>
    <d v="2025-06-25T00:00:00"/>
    <d v="1899-12-30T08:15:00"/>
    <s v="Planned Task"/>
    <m/>
    <m/>
    <n v="29700"/>
    <x v="1"/>
  </r>
  <r>
    <x v="0"/>
    <s v="Egypt"/>
    <x v="2"/>
    <x v="10"/>
    <x v="10"/>
    <d v="2025-06-26T00:00:00"/>
    <d v="1899-12-30T08:15:00"/>
    <s v="Planned Task"/>
    <m/>
    <m/>
    <n v="29700"/>
    <x v="1"/>
  </r>
  <r>
    <x v="0"/>
    <s v="Egypt"/>
    <x v="2"/>
    <x v="10"/>
    <x v="10"/>
    <d v="2025-06-27T00:00:00"/>
    <d v="1899-12-30T08:15:00"/>
    <s v="Planned Task"/>
    <m/>
    <m/>
    <n v="29700"/>
    <x v="1"/>
  </r>
  <r>
    <x v="0"/>
    <s v="Egypt"/>
    <x v="2"/>
    <x v="10"/>
    <x v="10"/>
    <d v="2025-06-28T00:00:00"/>
    <d v="1899-12-30T08:15:00"/>
    <s v="Planned Task"/>
    <m/>
    <m/>
    <n v="29700"/>
    <x v="1"/>
  </r>
  <r>
    <x v="0"/>
    <s v="Egypt"/>
    <x v="2"/>
    <x v="10"/>
    <x v="10"/>
    <d v="2025-06-29T00:00:00"/>
    <d v="1899-12-30T08:15:00"/>
    <s v="Planned Task"/>
    <m/>
    <m/>
    <n v="29700"/>
    <x v="1"/>
  </r>
  <r>
    <x v="0"/>
    <s v="Egypt"/>
    <x v="2"/>
    <x v="10"/>
    <x v="10"/>
    <d v="2025-06-30T00:00:00"/>
    <d v="1899-12-30T08:15:00"/>
    <s v="Planned Task"/>
    <m/>
    <m/>
    <n v="29700"/>
    <x v="1"/>
  </r>
  <r>
    <x v="0"/>
    <s v="Egypt"/>
    <x v="2"/>
    <x v="11"/>
    <x v="11"/>
    <d v="2025-06-01T00:00:00"/>
    <d v="1899-12-30T08:15:00"/>
    <s v="Support Training"/>
    <m/>
    <m/>
    <n v="29700"/>
    <x v="1"/>
  </r>
  <r>
    <x v="0"/>
    <s v="Egypt"/>
    <x v="2"/>
    <x v="11"/>
    <x v="11"/>
    <d v="2025-06-02T00:00:00"/>
    <d v="1899-12-30T08:15:00"/>
    <s v="Support Training"/>
    <m/>
    <m/>
    <n v="29700"/>
    <x v="1"/>
  </r>
  <r>
    <x v="0"/>
    <s v="Egypt"/>
    <x v="2"/>
    <x v="11"/>
    <x v="11"/>
    <d v="2025-06-03T00:00:00"/>
    <d v="1899-12-30T08:15:00"/>
    <s v="Support Training"/>
    <m/>
    <m/>
    <n v="29700"/>
    <x v="1"/>
  </r>
  <r>
    <x v="0"/>
    <s v="Egypt"/>
    <x v="2"/>
    <x v="11"/>
    <x v="11"/>
    <d v="2025-06-04T00:00:00"/>
    <d v="1899-12-30T08:15:00"/>
    <s v="Support Training"/>
    <m/>
    <m/>
    <n v="29700"/>
    <x v="1"/>
  </r>
  <r>
    <x v="0"/>
    <s v="Egypt"/>
    <x v="2"/>
    <x v="11"/>
    <x v="11"/>
    <d v="2025-06-05T00:00:00"/>
    <d v="1899-12-30T08:15:00"/>
    <s v="Support Training"/>
    <m/>
    <m/>
    <n v="29700"/>
    <x v="1"/>
  </r>
  <r>
    <x v="0"/>
    <s v="Egypt"/>
    <x v="2"/>
    <x v="11"/>
    <x v="11"/>
    <d v="2025-06-06T00:00:00"/>
    <m/>
    <s v="Day Off"/>
    <m/>
    <m/>
    <n v="0"/>
    <x v="1"/>
  </r>
  <r>
    <x v="0"/>
    <s v="Egypt"/>
    <x v="2"/>
    <x v="11"/>
    <x v="11"/>
    <d v="2025-06-07T00:00:00"/>
    <m/>
    <s v="Day Off"/>
    <m/>
    <m/>
    <n v="0"/>
    <x v="1"/>
  </r>
  <r>
    <x v="0"/>
    <s v="Egypt"/>
    <x v="2"/>
    <x v="11"/>
    <x v="11"/>
    <d v="2025-06-08T00:00:00"/>
    <m/>
    <s v="Day Off"/>
    <m/>
    <m/>
    <n v="0"/>
    <x v="1"/>
  </r>
  <r>
    <x v="0"/>
    <s v="Egypt"/>
    <x v="2"/>
    <x v="11"/>
    <x v="11"/>
    <d v="2025-06-09T00:00:00"/>
    <m/>
    <s v="Day Off"/>
    <m/>
    <m/>
    <n v="0"/>
    <x v="1"/>
  </r>
  <r>
    <x v="0"/>
    <s v="Egypt"/>
    <x v="2"/>
    <x v="11"/>
    <x v="11"/>
    <d v="2025-06-10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1:45:00"/>
    <d v="1899-12-30T22:00:00"/>
    <n v="0"/>
    <x v="1"/>
  </r>
  <r>
    <x v="0"/>
    <s v="Egypt"/>
    <x v="2"/>
    <x v="11"/>
    <x v="11"/>
    <m/>
    <m/>
    <s v="Break 30 Night"/>
    <s v="+1:00 AM"/>
    <s v="+1:30 AM"/>
    <n v="0"/>
    <x v="1"/>
  </r>
  <r>
    <x v="0"/>
    <s v="Egypt"/>
    <x v="2"/>
    <x v="11"/>
    <x v="11"/>
    <d v="2025-06-11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00:00"/>
    <d v="1899-12-30T22:15:00"/>
    <n v="0"/>
    <x v="1"/>
  </r>
  <r>
    <x v="0"/>
    <s v="Egypt"/>
    <x v="2"/>
    <x v="11"/>
    <x v="11"/>
    <m/>
    <m/>
    <s v="Break 30 Night"/>
    <s v="+1:00 AM"/>
    <s v="+1:30 AM"/>
    <n v="0"/>
    <x v="1"/>
  </r>
  <r>
    <x v="0"/>
    <s v="Egypt"/>
    <x v="2"/>
    <x v="11"/>
    <x v="11"/>
    <d v="2025-06-12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30:00"/>
    <d v="1899-12-30T22:45:00"/>
    <n v="0"/>
    <x v="1"/>
  </r>
  <r>
    <x v="0"/>
    <s v="Egypt"/>
    <x v="2"/>
    <x v="11"/>
    <x v="11"/>
    <m/>
    <m/>
    <s v="Break 30 Night"/>
    <s v="+1:00 AM"/>
    <s v="+1:30 AM"/>
    <n v="0"/>
    <x v="1"/>
  </r>
  <r>
    <x v="0"/>
    <s v="Egypt"/>
    <x v="2"/>
    <x v="11"/>
    <x v="11"/>
    <d v="2025-06-13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00:00"/>
    <d v="1899-12-30T22:15:00"/>
    <n v="0"/>
    <x v="1"/>
  </r>
  <r>
    <x v="0"/>
    <s v="Egypt"/>
    <x v="2"/>
    <x v="11"/>
    <x v="11"/>
    <m/>
    <m/>
    <s v="Break 30 Night"/>
    <s v="+1:00 AM"/>
    <s v="+1:30 AM"/>
    <n v="0"/>
    <x v="1"/>
  </r>
  <r>
    <x v="0"/>
    <s v="Egypt"/>
    <x v="2"/>
    <x v="11"/>
    <x v="11"/>
    <m/>
    <m/>
    <s v="Leave Early"/>
    <s v="+1:30 AM"/>
    <s v="+3:30 AM"/>
    <n v="0"/>
    <x v="1"/>
  </r>
  <r>
    <x v="0"/>
    <s v="Egypt"/>
    <x v="2"/>
    <x v="11"/>
    <x v="11"/>
    <d v="2025-06-14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30:00"/>
    <d v="1899-12-30T22:45:00"/>
    <n v="0"/>
    <x v="1"/>
  </r>
  <r>
    <x v="0"/>
    <s v="Egypt"/>
    <x v="2"/>
    <x v="11"/>
    <x v="11"/>
    <m/>
    <m/>
    <s v="Break 30 Night"/>
    <s v="+12:45 AM"/>
    <s v="+1:15 AM"/>
    <n v="0"/>
    <x v="1"/>
  </r>
  <r>
    <x v="0"/>
    <s v="Egypt"/>
    <x v="2"/>
    <x v="11"/>
    <x v="11"/>
    <d v="2025-06-15T00:00:00"/>
    <m/>
    <s v="Day Off"/>
    <m/>
    <m/>
    <n v="0"/>
    <x v="1"/>
  </r>
  <r>
    <x v="0"/>
    <s v="Egypt"/>
    <x v="2"/>
    <x v="11"/>
    <x v="11"/>
    <d v="2025-06-16T00:00:00"/>
    <d v="1899-12-30T08:15:00"/>
    <s v="Non Telecom"/>
    <d v="1899-12-30T13:00:00"/>
    <d v="1899-12-30T21:15:00"/>
    <n v="29700"/>
    <x v="0"/>
  </r>
  <r>
    <x v="0"/>
    <s v="Egypt"/>
    <x v="2"/>
    <x v="11"/>
    <x v="11"/>
    <m/>
    <m/>
    <s v="Break 15 Morning"/>
    <d v="1899-12-30T15:00:00"/>
    <d v="1899-12-30T15:15:00"/>
    <n v="0"/>
    <x v="1"/>
  </r>
  <r>
    <x v="0"/>
    <s v="Egypt"/>
    <x v="2"/>
    <x v="11"/>
    <x v="11"/>
    <m/>
    <m/>
    <s v="Break 30 Morning"/>
    <d v="1899-12-30T18:15:00"/>
    <d v="1899-12-30T18:45:00"/>
    <n v="0"/>
    <x v="1"/>
  </r>
  <r>
    <x v="0"/>
    <s v="Egypt"/>
    <x v="2"/>
    <x v="11"/>
    <x v="11"/>
    <d v="2025-06-17T00:00:00"/>
    <d v="1899-12-30T08:15:00"/>
    <s v="Annual Exception"/>
    <m/>
    <m/>
    <n v="29700"/>
    <x v="1"/>
  </r>
  <r>
    <x v="0"/>
    <s v="Egypt"/>
    <x v="2"/>
    <x v="11"/>
    <x v="11"/>
    <d v="2025-06-18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30:00"/>
    <d v="1899-12-30T22:45:00"/>
    <n v="0"/>
    <x v="1"/>
  </r>
  <r>
    <x v="0"/>
    <s v="Egypt"/>
    <x v="2"/>
    <x v="11"/>
    <x v="11"/>
    <m/>
    <m/>
    <s v="Break 30 Night"/>
    <s v="+1:15 AM"/>
    <s v="+1:45 AM"/>
    <n v="0"/>
    <x v="1"/>
  </r>
  <r>
    <x v="0"/>
    <s v="Egypt"/>
    <x v="2"/>
    <x v="11"/>
    <x v="11"/>
    <d v="2025-06-19T00:00:00"/>
    <d v="1899-12-30T08:15:00"/>
    <s v="Non Telecom"/>
    <d v="1899-12-30T19:15:00"/>
    <s v="+3:30 AM"/>
    <n v="29700"/>
    <x v="0"/>
  </r>
  <r>
    <x v="0"/>
    <s v="Egypt"/>
    <x v="2"/>
    <x v="11"/>
    <x v="11"/>
    <m/>
    <m/>
    <s v="Break 15 Night"/>
    <d v="1899-12-30T22:30:00"/>
    <d v="1899-12-30T22:45:00"/>
    <n v="0"/>
    <x v="1"/>
  </r>
  <r>
    <x v="0"/>
    <s v="Egypt"/>
    <x v="2"/>
    <x v="11"/>
    <x v="11"/>
    <m/>
    <m/>
    <s v="Break 30 Night"/>
    <s v="+1:30 AM"/>
    <s v="+2:00 AM"/>
    <n v="0"/>
    <x v="1"/>
  </r>
  <r>
    <x v="0"/>
    <s v="Egypt"/>
    <x v="2"/>
    <x v="11"/>
    <x v="11"/>
    <d v="2025-06-20T00:00:00"/>
    <d v="1899-12-30T08:00:00"/>
    <s v="Non Reserved Annual"/>
    <d v="1899-12-30T09:15:00"/>
    <d v="1899-12-30T17:15:00"/>
    <n v="28800"/>
    <x v="1"/>
  </r>
  <r>
    <x v="0"/>
    <s v="Egypt"/>
    <x v="2"/>
    <x v="11"/>
    <x v="11"/>
    <m/>
    <m/>
    <s v="Non Reserved Annual"/>
    <d v="1899-12-30T09:15:00"/>
    <d v="1899-12-30T17:15:00"/>
    <n v="0"/>
    <x v="1"/>
  </r>
  <r>
    <x v="0"/>
    <s v="Egypt"/>
    <x v="2"/>
    <x v="11"/>
    <x v="11"/>
    <d v="2025-06-21T00:00:00"/>
    <m/>
    <s v="Day Off"/>
    <m/>
    <m/>
    <n v="0"/>
    <x v="1"/>
  </r>
  <r>
    <x v="0"/>
    <s v="Egypt"/>
    <x v="2"/>
    <x v="11"/>
    <x v="11"/>
    <d v="2025-06-22T00:00:00"/>
    <d v="1899-12-30T08:15:00"/>
    <s v="Support Training"/>
    <m/>
    <m/>
    <n v="29700"/>
    <x v="1"/>
  </r>
  <r>
    <x v="0"/>
    <s v="Egypt"/>
    <x v="2"/>
    <x v="11"/>
    <x v="11"/>
    <d v="2025-06-23T00:00:00"/>
    <d v="1899-12-30T08:15:00"/>
    <s v="Support Training"/>
    <m/>
    <m/>
    <n v="29700"/>
    <x v="1"/>
  </r>
  <r>
    <x v="0"/>
    <s v="Egypt"/>
    <x v="2"/>
    <x v="11"/>
    <x v="11"/>
    <d v="2025-06-24T00:00:00"/>
    <d v="1899-12-30T08:15:00"/>
    <s v="Support Training"/>
    <m/>
    <m/>
    <n v="29700"/>
    <x v="1"/>
  </r>
  <r>
    <x v="0"/>
    <s v="Egypt"/>
    <x v="2"/>
    <x v="11"/>
    <x v="11"/>
    <d v="2025-06-25T00:00:00"/>
    <d v="1899-12-30T08:15:00"/>
    <s v="Support Training"/>
    <m/>
    <m/>
    <n v="29700"/>
    <x v="1"/>
  </r>
  <r>
    <x v="0"/>
    <s v="Egypt"/>
    <x v="2"/>
    <x v="11"/>
    <x v="11"/>
    <d v="2025-06-26T00:00:00"/>
    <d v="1899-12-30T08:15:00"/>
    <s v="Support Training"/>
    <m/>
    <m/>
    <n v="29700"/>
    <x v="1"/>
  </r>
  <r>
    <x v="0"/>
    <s v="Egypt"/>
    <x v="2"/>
    <x v="11"/>
    <x v="11"/>
    <d v="2025-06-27T00:00:00"/>
    <m/>
    <s v="Day Off"/>
    <m/>
    <m/>
    <n v="0"/>
    <x v="1"/>
  </r>
  <r>
    <x v="0"/>
    <s v="Egypt"/>
    <x v="2"/>
    <x v="11"/>
    <x v="11"/>
    <d v="2025-06-28T00:00:00"/>
    <m/>
    <s v="Day Off"/>
    <m/>
    <m/>
    <n v="0"/>
    <x v="1"/>
  </r>
  <r>
    <x v="0"/>
    <s v="Egypt"/>
    <x v="2"/>
    <x v="11"/>
    <x v="11"/>
    <d v="2025-06-29T00:00:00"/>
    <d v="1899-12-30T10:00:00"/>
    <s v="Non Telecom"/>
    <d v="1899-12-30T19:15:00"/>
    <s v="+5:15 AM"/>
    <n v="36000"/>
    <x v="0"/>
  </r>
  <r>
    <x v="0"/>
    <s v="Egypt"/>
    <x v="2"/>
    <x v="11"/>
    <x v="11"/>
    <m/>
    <m/>
    <s v="Break 15 Night"/>
    <d v="1899-12-30T21:00:00"/>
    <d v="1899-12-30T21:15:00"/>
    <n v="0"/>
    <x v="1"/>
  </r>
  <r>
    <x v="0"/>
    <s v="Egypt"/>
    <x v="2"/>
    <x v="11"/>
    <x v="11"/>
    <m/>
    <m/>
    <s v="Break 30 Night"/>
    <s v="+12:00 AM"/>
    <s v="+12:30 AM"/>
    <n v="0"/>
    <x v="1"/>
  </r>
  <r>
    <x v="0"/>
    <s v="Egypt"/>
    <x v="2"/>
    <x v="11"/>
    <x v="11"/>
    <m/>
    <m/>
    <s v="Shift Move"/>
    <s v="+3:30 AM"/>
    <s v="+5:15 AM"/>
    <n v="0"/>
    <x v="1"/>
  </r>
  <r>
    <x v="0"/>
    <s v="Egypt"/>
    <x v="2"/>
    <x v="11"/>
    <x v="11"/>
    <d v="2025-06-30T00:00:00"/>
    <d v="1899-12-30T08:15:00"/>
    <s v="Non Telecom"/>
    <d v="1899-12-30T21:00:00"/>
    <s v="+5:15 AM"/>
    <n v="29700"/>
    <x v="0"/>
  </r>
  <r>
    <x v="0"/>
    <s v="Egypt"/>
    <x v="2"/>
    <x v="11"/>
    <x v="11"/>
    <m/>
    <m/>
    <s v="Break 15 Night"/>
    <d v="1899-12-30T23:45:00"/>
    <s v="+12:00 AM"/>
    <n v="0"/>
    <x v="1"/>
  </r>
  <r>
    <x v="0"/>
    <s v="Egypt"/>
    <x v="2"/>
    <x v="11"/>
    <x v="11"/>
    <m/>
    <m/>
    <s v="Break 30 Night"/>
    <s v="+3:00 AM"/>
    <s v="+3:30 AM"/>
    <n v="0"/>
    <x v="1"/>
  </r>
  <r>
    <x v="0"/>
    <s v="Egypt"/>
    <x v="3"/>
    <x v="12"/>
    <x v="12"/>
    <d v="2025-06-01T00:00:00"/>
    <m/>
    <s v="Day Off"/>
    <m/>
    <m/>
    <n v="0"/>
    <x v="1"/>
  </r>
  <r>
    <x v="0"/>
    <s v="Egypt"/>
    <x v="3"/>
    <x v="12"/>
    <x v="12"/>
    <d v="2025-06-02T00:00:00"/>
    <m/>
    <s v="Day Off"/>
    <m/>
    <m/>
    <n v="0"/>
    <x v="1"/>
  </r>
  <r>
    <x v="0"/>
    <s v="Egypt"/>
    <x v="3"/>
    <x v="12"/>
    <x v="12"/>
    <d v="2025-06-03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30:00"/>
    <d v="1899-12-30T17:45:00"/>
    <n v="0"/>
    <x v="1"/>
  </r>
  <r>
    <x v="0"/>
    <s v="Egypt"/>
    <x v="3"/>
    <x v="12"/>
    <x v="12"/>
    <m/>
    <m/>
    <s v="Break 30 Night"/>
    <d v="1899-12-30T20:45:00"/>
    <d v="1899-12-30T21:15:00"/>
    <n v="0"/>
    <x v="1"/>
  </r>
  <r>
    <x v="0"/>
    <s v="Egypt"/>
    <x v="3"/>
    <x v="12"/>
    <x v="12"/>
    <d v="2025-06-04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15:00"/>
    <d v="1899-12-30T17:30:00"/>
    <n v="0"/>
    <x v="1"/>
  </r>
  <r>
    <x v="0"/>
    <s v="Egypt"/>
    <x v="3"/>
    <x v="12"/>
    <x v="12"/>
    <m/>
    <m/>
    <s v="Break 30 Night"/>
    <d v="1899-12-30T20:30:00"/>
    <d v="1899-12-30T21:00:00"/>
    <n v="0"/>
    <x v="1"/>
  </r>
  <r>
    <x v="0"/>
    <s v="Egypt"/>
    <x v="3"/>
    <x v="12"/>
    <x v="12"/>
    <d v="2025-06-05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15:00"/>
    <d v="1899-12-30T17:30:00"/>
    <n v="0"/>
    <x v="1"/>
  </r>
  <r>
    <x v="0"/>
    <s v="Egypt"/>
    <x v="3"/>
    <x v="12"/>
    <x v="12"/>
    <m/>
    <m/>
    <s v="Break 30 Night"/>
    <d v="1899-12-30T20:45:00"/>
    <d v="1899-12-30T21:15:00"/>
    <n v="0"/>
    <x v="1"/>
  </r>
  <r>
    <x v="0"/>
    <s v="Egypt"/>
    <x v="3"/>
    <x v="12"/>
    <x v="12"/>
    <d v="2025-06-06T00:00:00"/>
    <d v="1899-12-30T08:15:00"/>
    <s v="Public holiday"/>
    <m/>
    <m/>
    <n v="29700"/>
    <x v="1"/>
  </r>
  <r>
    <x v="0"/>
    <s v="Egypt"/>
    <x v="3"/>
    <x v="12"/>
    <x v="12"/>
    <d v="2025-06-07T00:00:00"/>
    <d v="1899-12-30T08:15:00"/>
    <s v="Public holiday"/>
    <m/>
    <m/>
    <n v="29700"/>
    <x v="1"/>
  </r>
  <r>
    <x v="0"/>
    <s v="Egypt"/>
    <x v="3"/>
    <x v="12"/>
    <x v="12"/>
    <d v="2025-06-08T00:00:00"/>
    <m/>
    <s v="Day Off"/>
    <m/>
    <m/>
    <n v="0"/>
    <x v="1"/>
  </r>
  <r>
    <x v="0"/>
    <s v="Egypt"/>
    <x v="3"/>
    <x v="12"/>
    <x v="12"/>
    <d v="2025-06-09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0:15:00"/>
    <d v="1899-12-30T20:30:00"/>
    <n v="0"/>
    <x v="1"/>
  </r>
  <r>
    <x v="0"/>
    <s v="Egypt"/>
    <x v="3"/>
    <x v="12"/>
    <x v="12"/>
    <m/>
    <m/>
    <s v="Break 30 Night"/>
    <d v="1899-12-30T23:30:00"/>
    <s v="+12:00 AM"/>
    <n v="0"/>
    <x v="1"/>
  </r>
  <r>
    <x v="0"/>
    <s v="Egypt"/>
    <x v="3"/>
    <x v="12"/>
    <x v="12"/>
    <d v="2025-06-10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4:30:00"/>
    <d v="1899-12-30T14:45:00"/>
    <n v="0"/>
    <x v="1"/>
  </r>
  <r>
    <x v="0"/>
    <s v="Egypt"/>
    <x v="3"/>
    <x v="12"/>
    <x v="12"/>
    <m/>
    <m/>
    <s v="Break 30 Morning"/>
    <d v="1899-12-30T18:00:00"/>
    <d v="1899-12-30T18:30:00"/>
    <n v="0"/>
    <x v="1"/>
  </r>
  <r>
    <x v="0"/>
    <s v="Egypt"/>
    <x v="3"/>
    <x v="12"/>
    <x v="12"/>
    <d v="2025-06-11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5:00:00"/>
    <d v="1899-12-30T15:15:00"/>
    <n v="0"/>
    <x v="1"/>
  </r>
  <r>
    <x v="0"/>
    <s v="Egypt"/>
    <x v="3"/>
    <x v="12"/>
    <x v="12"/>
    <m/>
    <m/>
    <s v="Break 30 Morning"/>
    <d v="1899-12-30T18:15:00"/>
    <d v="1899-12-30T18:45:00"/>
    <n v="0"/>
    <x v="1"/>
  </r>
  <r>
    <x v="0"/>
    <s v="Egypt"/>
    <x v="3"/>
    <x v="12"/>
    <x v="12"/>
    <d v="2025-06-12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0:45:00"/>
    <d v="1899-12-30T21:00:00"/>
    <n v="0"/>
    <x v="1"/>
  </r>
  <r>
    <x v="0"/>
    <s v="Egypt"/>
    <x v="3"/>
    <x v="12"/>
    <x v="12"/>
    <m/>
    <m/>
    <s v="Break 30 Night"/>
    <d v="1899-12-30T23:30:00"/>
    <s v="+12:00 AM"/>
    <n v="0"/>
    <x v="1"/>
  </r>
  <r>
    <x v="0"/>
    <s v="Egypt"/>
    <x v="3"/>
    <x v="12"/>
    <x v="12"/>
    <d v="2025-06-13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0:15:00"/>
    <d v="1899-12-30T20:30:00"/>
    <n v="0"/>
    <x v="1"/>
  </r>
  <r>
    <x v="0"/>
    <s v="Egypt"/>
    <x v="3"/>
    <x v="12"/>
    <x v="12"/>
    <m/>
    <m/>
    <s v="Break 30 Night"/>
    <d v="1899-12-30T23:30:00"/>
    <s v="+12:00 AM"/>
    <n v="0"/>
    <x v="1"/>
  </r>
  <r>
    <x v="0"/>
    <s v="Egypt"/>
    <x v="3"/>
    <x v="12"/>
    <x v="12"/>
    <d v="2025-06-14T00:00:00"/>
    <m/>
    <s v="Day Off"/>
    <m/>
    <m/>
    <n v="0"/>
    <x v="1"/>
  </r>
  <r>
    <x v="0"/>
    <s v="Egypt"/>
    <x v="3"/>
    <x v="12"/>
    <x v="12"/>
    <d v="2025-06-15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45:00"/>
    <d v="1899-12-30T18:00:00"/>
    <n v="0"/>
    <x v="1"/>
  </r>
  <r>
    <x v="0"/>
    <s v="Egypt"/>
    <x v="3"/>
    <x v="12"/>
    <x v="12"/>
    <m/>
    <m/>
    <s v="Break 30 Night"/>
    <d v="1899-12-30T20:45:00"/>
    <d v="1899-12-30T21:15:00"/>
    <n v="0"/>
    <x v="1"/>
  </r>
  <r>
    <x v="0"/>
    <s v="Egypt"/>
    <x v="3"/>
    <x v="12"/>
    <x v="12"/>
    <d v="2025-06-16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15:00"/>
    <d v="1899-12-30T17:30:00"/>
    <n v="0"/>
    <x v="1"/>
  </r>
  <r>
    <x v="0"/>
    <s v="Egypt"/>
    <x v="3"/>
    <x v="12"/>
    <x v="12"/>
    <m/>
    <m/>
    <s v="Break 30 Night"/>
    <d v="1899-12-30T20:30:00"/>
    <d v="1899-12-30T21:00:00"/>
    <n v="0"/>
    <x v="1"/>
  </r>
  <r>
    <x v="0"/>
    <s v="Egypt"/>
    <x v="3"/>
    <x v="12"/>
    <x v="12"/>
    <d v="2025-06-17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15:00"/>
    <d v="1899-12-30T17:30:00"/>
    <n v="0"/>
    <x v="1"/>
  </r>
  <r>
    <x v="0"/>
    <s v="Egypt"/>
    <x v="3"/>
    <x v="12"/>
    <x v="12"/>
    <m/>
    <m/>
    <s v="Break 30 Night"/>
    <d v="1899-12-30T20:30:00"/>
    <d v="1899-12-30T21:00:00"/>
    <n v="0"/>
    <x v="1"/>
  </r>
  <r>
    <x v="0"/>
    <s v="Egypt"/>
    <x v="3"/>
    <x v="12"/>
    <x v="12"/>
    <d v="2025-06-18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15:00"/>
    <d v="1899-12-30T17:30:00"/>
    <n v="0"/>
    <x v="1"/>
  </r>
  <r>
    <x v="0"/>
    <s v="Egypt"/>
    <x v="3"/>
    <x v="12"/>
    <x v="12"/>
    <m/>
    <m/>
    <s v="Break 30 Night"/>
    <d v="1899-12-30T20:15:00"/>
    <d v="1899-12-30T20:45:00"/>
    <n v="0"/>
    <x v="1"/>
  </r>
  <r>
    <x v="0"/>
    <s v="Egypt"/>
    <x v="3"/>
    <x v="12"/>
    <x v="12"/>
    <d v="2025-06-19T00:00:00"/>
    <d v="1899-12-30T08:15:00"/>
    <s v="Non Telecom"/>
    <d v="1899-12-30T16:15:00"/>
    <s v="+12:30 AM"/>
    <n v="29700"/>
    <x v="0"/>
  </r>
  <r>
    <x v="0"/>
    <s v="Egypt"/>
    <x v="3"/>
    <x v="12"/>
    <x v="12"/>
    <m/>
    <m/>
    <s v="Break 15 Night"/>
    <d v="1899-12-30T17:45:00"/>
    <d v="1899-12-30T18:00:00"/>
    <n v="0"/>
    <x v="1"/>
  </r>
  <r>
    <x v="0"/>
    <s v="Egypt"/>
    <x v="3"/>
    <x v="12"/>
    <x v="12"/>
    <m/>
    <m/>
    <s v="Break 30 Night"/>
    <d v="1899-12-30T20:15:00"/>
    <d v="1899-12-30T20:45:00"/>
    <n v="0"/>
    <x v="1"/>
  </r>
  <r>
    <x v="0"/>
    <s v="Egypt"/>
    <x v="3"/>
    <x v="12"/>
    <x v="12"/>
    <d v="2025-06-20T00:00:00"/>
    <m/>
    <s v="Day Off"/>
    <m/>
    <m/>
    <n v="0"/>
    <x v="1"/>
  </r>
  <r>
    <x v="0"/>
    <s v="Egypt"/>
    <x v="3"/>
    <x v="12"/>
    <x v="12"/>
    <d v="2025-06-21T00:00:00"/>
    <m/>
    <s v="Day Off"/>
    <m/>
    <m/>
    <n v="0"/>
    <x v="1"/>
  </r>
  <r>
    <x v="0"/>
    <s v="Egypt"/>
    <x v="3"/>
    <x v="12"/>
    <x v="12"/>
    <d v="2025-06-22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4:30:00"/>
    <d v="1899-12-30T14:45:00"/>
    <n v="0"/>
    <x v="1"/>
  </r>
  <r>
    <x v="0"/>
    <s v="Egypt"/>
    <x v="3"/>
    <x v="12"/>
    <x v="12"/>
    <m/>
    <m/>
    <s v="Break 30 Morning"/>
    <d v="1899-12-30T17:15:00"/>
    <d v="1899-12-30T17:45:00"/>
    <n v="0"/>
    <x v="1"/>
  </r>
  <r>
    <x v="0"/>
    <s v="Egypt"/>
    <x v="3"/>
    <x v="12"/>
    <x v="12"/>
    <d v="2025-06-23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4:30:00"/>
    <d v="1899-12-30T14:45:00"/>
    <n v="0"/>
    <x v="1"/>
  </r>
  <r>
    <x v="0"/>
    <s v="Egypt"/>
    <x v="3"/>
    <x v="12"/>
    <x v="12"/>
    <m/>
    <m/>
    <s v="Break 30 Morning"/>
    <d v="1899-12-30T17:15:00"/>
    <d v="1899-12-30T17:45:00"/>
    <n v="0"/>
    <x v="1"/>
  </r>
  <r>
    <x v="0"/>
    <s v="Egypt"/>
    <x v="3"/>
    <x v="12"/>
    <x v="12"/>
    <d v="2025-06-24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4:45:00"/>
    <d v="1899-12-30T15:00:00"/>
    <n v="0"/>
    <x v="1"/>
  </r>
  <r>
    <x v="0"/>
    <s v="Egypt"/>
    <x v="3"/>
    <x v="12"/>
    <x v="12"/>
    <m/>
    <m/>
    <s v="Break 30 Morning"/>
    <d v="1899-12-30T17:45:00"/>
    <d v="1899-12-30T18:15:00"/>
    <n v="0"/>
    <x v="1"/>
  </r>
  <r>
    <x v="0"/>
    <s v="Egypt"/>
    <x v="3"/>
    <x v="12"/>
    <x v="12"/>
    <d v="2025-06-25T00:00:00"/>
    <d v="1899-12-30T08:15:00"/>
    <s v="Non Telecom"/>
    <d v="1899-12-30T13:00:00"/>
    <d v="1899-12-30T21:15:00"/>
    <n v="29700"/>
    <x v="0"/>
  </r>
  <r>
    <x v="0"/>
    <s v="Egypt"/>
    <x v="3"/>
    <x v="12"/>
    <x v="12"/>
    <m/>
    <m/>
    <s v="Break 15 Morning"/>
    <d v="1899-12-30T14:45:00"/>
    <d v="1899-12-30T15:00:00"/>
    <n v="0"/>
    <x v="1"/>
  </r>
  <r>
    <x v="0"/>
    <s v="Egypt"/>
    <x v="3"/>
    <x v="12"/>
    <x v="12"/>
    <m/>
    <m/>
    <s v="Break 30 Morning"/>
    <d v="1899-12-30T17:15:00"/>
    <d v="1899-12-30T17:45:00"/>
    <n v="0"/>
    <x v="1"/>
  </r>
  <r>
    <x v="0"/>
    <s v="Egypt"/>
    <x v="3"/>
    <x v="12"/>
    <x v="12"/>
    <d v="2025-06-26T00:00:00"/>
    <m/>
    <s v="Day Off"/>
    <m/>
    <m/>
    <n v="0"/>
    <x v="1"/>
  </r>
  <r>
    <x v="0"/>
    <s v="Egypt"/>
    <x v="3"/>
    <x v="12"/>
    <x v="12"/>
    <d v="2025-06-27T00:00:00"/>
    <m/>
    <s v="Day Off"/>
    <m/>
    <m/>
    <n v="0"/>
    <x v="1"/>
  </r>
  <r>
    <x v="0"/>
    <s v="Egypt"/>
    <x v="3"/>
    <x v="12"/>
    <x v="12"/>
    <d v="2025-06-28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1:00:00"/>
    <d v="1899-12-30T21:15:00"/>
    <n v="0"/>
    <x v="1"/>
  </r>
  <r>
    <x v="0"/>
    <s v="Egypt"/>
    <x v="3"/>
    <x v="12"/>
    <x v="12"/>
    <m/>
    <m/>
    <s v="Break 30 Night"/>
    <s v="+12:00 AM"/>
    <s v="+12:30 AM"/>
    <n v="0"/>
    <x v="1"/>
  </r>
  <r>
    <x v="0"/>
    <s v="Egypt"/>
    <x v="3"/>
    <x v="12"/>
    <x v="12"/>
    <d v="2025-06-29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1:00:00"/>
    <d v="1899-12-30T21:15:00"/>
    <n v="0"/>
    <x v="1"/>
  </r>
  <r>
    <x v="0"/>
    <s v="Egypt"/>
    <x v="3"/>
    <x v="12"/>
    <x v="12"/>
    <m/>
    <m/>
    <s v="Break 30 Night"/>
    <s v="+12:00 AM"/>
    <s v="+12:30 AM"/>
    <n v="0"/>
    <x v="1"/>
  </r>
  <r>
    <x v="0"/>
    <s v="Egypt"/>
    <x v="3"/>
    <x v="12"/>
    <x v="12"/>
    <d v="2025-06-30T00:00:00"/>
    <d v="1899-12-30T08:15:00"/>
    <s v="Non Telecom"/>
    <d v="1899-12-30T19:15:00"/>
    <s v="+3:30 AM"/>
    <n v="29700"/>
    <x v="0"/>
  </r>
  <r>
    <x v="0"/>
    <s v="Egypt"/>
    <x v="3"/>
    <x v="12"/>
    <x v="12"/>
    <m/>
    <m/>
    <s v="Break 15 Night"/>
    <d v="1899-12-30T21:00:00"/>
    <d v="1899-12-30T21:15:00"/>
    <n v="0"/>
    <x v="1"/>
  </r>
  <r>
    <x v="0"/>
    <s v="Egypt"/>
    <x v="3"/>
    <x v="12"/>
    <x v="12"/>
    <m/>
    <m/>
    <s v="Break 30 Night"/>
    <s v="+12:30 AM"/>
    <s v="+1:00 AM"/>
    <n v="0"/>
    <x v="1"/>
  </r>
  <r>
    <x v="0"/>
    <s v="Egypt"/>
    <x v="3"/>
    <x v="13"/>
    <x v="13"/>
    <d v="2025-06-01T00:00:00"/>
    <m/>
    <s v="Day Off"/>
    <m/>
    <m/>
    <n v="0"/>
    <x v="1"/>
  </r>
  <r>
    <x v="0"/>
    <s v="Egypt"/>
    <x v="3"/>
    <x v="13"/>
    <x v="13"/>
    <d v="2025-06-02T00:00:00"/>
    <m/>
    <s v="Day Off"/>
    <m/>
    <m/>
    <n v="0"/>
    <x v="1"/>
  </r>
  <r>
    <x v="0"/>
    <s v="Egypt"/>
    <x v="3"/>
    <x v="13"/>
    <x v="13"/>
    <d v="2025-06-03T00:00:00"/>
    <d v="1899-12-30T08:15:00"/>
    <s v="Sick"/>
    <m/>
    <m/>
    <n v="29700"/>
    <x v="1"/>
  </r>
  <r>
    <x v="0"/>
    <s v="Egypt"/>
    <x v="3"/>
    <x v="13"/>
    <x v="13"/>
    <d v="2025-06-04T00:00:00"/>
    <d v="1899-12-30T08:15:00"/>
    <s v="Sick"/>
    <m/>
    <m/>
    <n v="29700"/>
    <x v="1"/>
  </r>
  <r>
    <x v="0"/>
    <s v="Egypt"/>
    <x v="3"/>
    <x v="13"/>
    <x v="13"/>
    <d v="2025-06-05T00:00:00"/>
    <d v="1899-12-30T08:15:00"/>
    <s v="Uncertified Sick Leave"/>
    <m/>
    <m/>
    <n v="29700"/>
    <x v="1"/>
  </r>
  <r>
    <x v="0"/>
    <s v="Egypt"/>
    <x v="3"/>
    <x v="13"/>
    <x v="13"/>
    <d v="2025-06-06T00:00:00"/>
    <d v="1899-12-30T08:15:00"/>
    <s v="Annual Exception"/>
    <m/>
    <m/>
    <n v="29700"/>
    <x v="1"/>
  </r>
  <r>
    <x v="0"/>
    <s v="Egypt"/>
    <x v="3"/>
    <x v="13"/>
    <x v="13"/>
    <d v="2025-06-07T00:00:00"/>
    <d v="1899-12-30T08:15:00"/>
    <s v="Public holiday"/>
    <m/>
    <m/>
    <n v="29700"/>
    <x v="1"/>
  </r>
  <r>
    <x v="0"/>
    <s v="Egypt"/>
    <x v="3"/>
    <x v="13"/>
    <x v="13"/>
    <d v="2025-06-08T00:00:00"/>
    <m/>
    <s v="Day Off"/>
    <m/>
    <m/>
    <n v="0"/>
    <x v="1"/>
  </r>
  <r>
    <x v="0"/>
    <s v="Egypt"/>
    <x v="3"/>
    <x v="13"/>
    <x v="13"/>
    <d v="2025-06-09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0:30:00"/>
    <d v="1899-12-30T20:45:00"/>
    <n v="0"/>
    <x v="1"/>
  </r>
  <r>
    <x v="0"/>
    <s v="Egypt"/>
    <x v="3"/>
    <x v="13"/>
    <x v="13"/>
    <m/>
    <m/>
    <s v="Break 30 Night"/>
    <d v="1899-12-30T23:45:00"/>
    <s v="+12:15 AM"/>
    <n v="0"/>
    <x v="1"/>
  </r>
  <r>
    <x v="0"/>
    <s v="Egypt"/>
    <x v="3"/>
    <x v="13"/>
    <x v="13"/>
    <d v="2025-06-10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1:00:00"/>
    <d v="1899-12-30T21:15:00"/>
    <n v="0"/>
    <x v="1"/>
  </r>
  <r>
    <x v="0"/>
    <s v="Egypt"/>
    <x v="3"/>
    <x v="13"/>
    <x v="13"/>
    <m/>
    <m/>
    <s v="Break 30 Night"/>
    <s v="+12:00 AM"/>
    <s v="+12:30 AM"/>
    <n v="0"/>
    <x v="1"/>
  </r>
  <r>
    <x v="0"/>
    <s v="Egypt"/>
    <x v="3"/>
    <x v="13"/>
    <x v="13"/>
    <d v="2025-06-11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0:45:00"/>
    <d v="1899-12-30T21:00:00"/>
    <n v="0"/>
    <x v="1"/>
  </r>
  <r>
    <x v="0"/>
    <s v="Egypt"/>
    <x v="3"/>
    <x v="13"/>
    <x v="13"/>
    <m/>
    <m/>
    <s v="Break 30 Night"/>
    <s v="+12:00 AM"/>
    <s v="+12:30 AM"/>
    <n v="0"/>
    <x v="1"/>
  </r>
  <r>
    <x v="0"/>
    <s v="Egypt"/>
    <x v="3"/>
    <x v="13"/>
    <x v="13"/>
    <d v="2025-06-12T00:00:00"/>
    <d v="1899-12-30T08:00:00"/>
    <s v="Non Reserved Annual"/>
    <d v="1899-12-30T09:15:00"/>
    <d v="1899-12-30T17:15:00"/>
    <n v="28800"/>
    <x v="1"/>
  </r>
  <r>
    <x v="0"/>
    <s v="Egypt"/>
    <x v="3"/>
    <x v="13"/>
    <x v="13"/>
    <m/>
    <m/>
    <s v="Non Reserved Annual"/>
    <d v="1899-12-30T09:15:00"/>
    <d v="1899-12-30T17:15:00"/>
    <n v="0"/>
    <x v="1"/>
  </r>
  <r>
    <x v="0"/>
    <s v="Egypt"/>
    <x v="3"/>
    <x v="13"/>
    <x v="13"/>
    <d v="2025-06-13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0:30:00"/>
    <d v="1899-12-30T20:45:00"/>
    <n v="0"/>
    <x v="1"/>
  </r>
  <r>
    <x v="0"/>
    <s v="Egypt"/>
    <x v="3"/>
    <x v="13"/>
    <x v="13"/>
    <m/>
    <m/>
    <s v="Break 30 Night"/>
    <d v="1899-12-30T23:30:00"/>
    <s v="+12:00 AM"/>
    <n v="0"/>
    <x v="1"/>
  </r>
  <r>
    <x v="0"/>
    <s v="Egypt"/>
    <x v="3"/>
    <x v="13"/>
    <x v="13"/>
    <d v="2025-06-14T00:00:00"/>
    <m/>
    <s v="Day Off"/>
    <m/>
    <m/>
    <n v="0"/>
    <x v="1"/>
  </r>
  <r>
    <x v="0"/>
    <s v="Egypt"/>
    <x v="3"/>
    <x v="13"/>
    <x v="13"/>
    <d v="2025-06-15T00:00:00"/>
    <d v="1899-12-30T08:15:00"/>
    <s v="Non Telecom"/>
    <d v="1899-12-30T16:15:00"/>
    <s v="+12:30 AM"/>
    <n v="29700"/>
    <x v="0"/>
  </r>
  <r>
    <x v="0"/>
    <s v="Egypt"/>
    <x v="3"/>
    <x v="13"/>
    <x v="13"/>
    <m/>
    <m/>
    <s v="Break 15 Night"/>
    <d v="1899-12-30T18:00:00"/>
    <d v="1899-12-30T18:15:00"/>
    <n v="0"/>
    <x v="1"/>
  </r>
  <r>
    <x v="0"/>
    <s v="Egypt"/>
    <x v="3"/>
    <x v="13"/>
    <x v="13"/>
    <m/>
    <m/>
    <s v="Break 30 Night"/>
    <d v="1899-12-30T20:45:00"/>
    <d v="1899-12-30T21:15:00"/>
    <n v="0"/>
    <x v="1"/>
  </r>
  <r>
    <x v="0"/>
    <s v="Egypt"/>
    <x v="3"/>
    <x v="13"/>
    <x v="13"/>
    <d v="2025-06-16T00:00:00"/>
    <d v="1899-12-30T08:15:00"/>
    <s v="Non Telecom"/>
    <d v="1899-12-30T16:15:00"/>
    <s v="+12:30 AM"/>
    <n v="29700"/>
    <x v="0"/>
  </r>
  <r>
    <x v="0"/>
    <s v="Egypt"/>
    <x v="3"/>
    <x v="13"/>
    <x v="13"/>
    <m/>
    <m/>
    <s v="Break 15 Night"/>
    <d v="1899-12-30T17:30:00"/>
    <d v="1899-12-30T17:45:00"/>
    <n v="0"/>
    <x v="1"/>
  </r>
  <r>
    <x v="0"/>
    <s v="Egypt"/>
    <x v="3"/>
    <x v="13"/>
    <x v="13"/>
    <m/>
    <m/>
    <s v="Break 30 Night"/>
    <d v="1899-12-30T20:30:00"/>
    <d v="1899-12-30T21:00:00"/>
    <n v="0"/>
    <x v="1"/>
  </r>
  <r>
    <x v="0"/>
    <s v="Egypt"/>
    <x v="3"/>
    <x v="13"/>
    <x v="13"/>
    <d v="2025-06-17T00:00:00"/>
    <d v="1899-12-30T08:15:00"/>
    <s v="Non Telecom"/>
    <d v="1899-12-30T16:15:00"/>
    <s v="+12:30 AM"/>
    <n v="29700"/>
    <x v="0"/>
  </r>
  <r>
    <x v="0"/>
    <s v="Egypt"/>
    <x v="3"/>
    <x v="13"/>
    <x v="13"/>
    <m/>
    <m/>
    <s v="Break 15 Night"/>
    <d v="1899-12-30T17:30:00"/>
    <d v="1899-12-30T17:45:00"/>
    <n v="0"/>
    <x v="1"/>
  </r>
  <r>
    <x v="0"/>
    <s v="Egypt"/>
    <x v="3"/>
    <x v="13"/>
    <x v="13"/>
    <m/>
    <m/>
    <s v="Break 30 Night"/>
    <d v="1899-12-30T20:30:00"/>
    <d v="1899-12-30T21:00:00"/>
    <n v="0"/>
    <x v="1"/>
  </r>
  <r>
    <x v="0"/>
    <s v="Egypt"/>
    <x v="3"/>
    <x v="13"/>
    <x v="13"/>
    <d v="2025-06-18T00:00:00"/>
    <d v="1899-12-30T08:15:00"/>
    <s v="Non Telecom"/>
    <d v="1899-12-30T16:15:00"/>
    <s v="+12:30 AM"/>
    <n v="29700"/>
    <x v="0"/>
  </r>
  <r>
    <x v="0"/>
    <s v="Egypt"/>
    <x v="3"/>
    <x v="13"/>
    <x v="13"/>
    <m/>
    <m/>
    <s v="Break 15 Night"/>
    <d v="1899-12-30T17:30:00"/>
    <d v="1899-12-30T17:45:00"/>
    <n v="0"/>
    <x v="1"/>
  </r>
  <r>
    <x v="0"/>
    <s v="Egypt"/>
    <x v="3"/>
    <x v="13"/>
    <x v="13"/>
    <m/>
    <m/>
    <s v="Break 30 Night"/>
    <d v="1899-12-30T20:15:00"/>
    <d v="1899-12-30T20:45:00"/>
    <n v="0"/>
    <x v="1"/>
  </r>
  <r>
    <x v="0"/>
    <s v="Egypt"/>
    <x v="3"/>
    <x v="13"/>
    <x v="13"/>
    <d v="2025-06-19T00:00:00"/>
    <d v="1899-12-30T08:15:00"/>
    <s v="Non Telecom"/>
    <d v="1899-12-30T16:15:00"/>
    <s v="+12:30 AM"/>
    <n v="29700"/>
    <x v="0"/>
  </r>
  <r>
    <x v="0"/>
    <s v="Egypt"/>
    <x v="3"/>
    <x v="13"/>
    <x v="13"/>
    <m/>
    <m/>
    <s v="Break 15 Night"/>
    <d v="1899-12-30T17:45:00"/>
    <d v="1899-12-30T18:00:00"/>
    <n v="0"/>
    <x v="1"/>
  </r>
  <r>
    <x v="0"/>
    <s v="Egypt"/>
    <x v="3"/>
    <x v="13"/>
    <x v="13"/>
    <m/>
    <m/>
    <s v="Break 30 Night"/>
    <d v="1899-12-30T20:15:00"/>
    <d v="1899-12-30T20:45:00"/>
    <n v="0"/>
    <x v="1"/>
  </r>
  <r>
    <x v="0"/>
    <s v="Egypt"/>
    <x v="3"/>
    <x v="13"/>
    <x v="13"/>
    <d v="2025-06-20T00:00:00"/>
    <m/>
    <s v="Day Off"/>
    <m/>
    <m/>
    <n v="0"/>
    <x v="1"/>
  </r>
  <r>
    <x v="0"/>
    <s v="Egypt"/>
    <x v="3"/>
    <x v="13"/>
    <x v="13"/>
    <d v="2025-06-21T00:00:00"/>
    <m/>
    <s v="Day Off"/>
    <m/>
    <m/>
    <n v="0"/>
    <x v="1"/>
  </r>
  <r>
    <x v="0"/>
    <s v="Egypt"/>
    <x v="3"/>
    <x v="13"/>
    <x v="13"/>
    <d v="2025-06-22T00:00:00"/>
    <d v="1899-12-30T08:15:00"/>
    <s v="Non Telecom"/>
    <d v="1899-12-30T13:00:00"/>
    <d v="1899-12-30T21:15:00"/>
    <n v="29700"/>
    <x v="0"/>
  </r>
  <r>
    <x v="0"/>
    <s v="Egypt"/>
    <x v="3"/>
    <x v="13"/>
    <x v="13"/>
    <m/>
    <m/>
    <s v="Break 15 Morning"/>
    <d v="1899-12-30T14:45:00"/>
    <d v="1899-12-30T15:00:00"/>
    <n v="0"/>
    <x v="1"/>
  </r>
  <r>
    <x v="0"/>
    <s v="Egypt"/>
    <x v="3"/>
    <x v="13"/>
    <x v="13"/>
    <m/>
    <m/>
    <s v="Break 30 Morning"/>
    <d v="1899-12-30T17:15:00"/>
    <d v="1899-12-30T17:45:00"/>
    <n v="0"/>
    <x v="1"/>
  </r>
  <r>
    <x v="0"/>
    <s v="Egypt"/>
    <x v="3"/>
    <x v="13"/>
    <x v="13"/>
    <d v="2025-06-23T00:00:00"/>
    <d v="1899-12-30T08:15:00"/>
    <s v="Non Telecom"/>
    <d v="1899-12-30T13:00:00"/>
    <d v="1899-12-30T21:15:00"/>
    <n v="29700"/>
    <x v="0"/>
  </r>
  <r>
    <x v="0"/>
    <s v="Egypt"/>
    <x v="3"/>
    <x v="13"/>
    <x v="13"/>
    <m/>
    <m/>
    <s v="Break 15 Morning"/>
    <d v="1899-12-30T14:30:00"/>
    <d v="1899-12-30T14:45:00"/>
    <n v="0"/>
    <x v="1"/>
  </r>
  <r>
    <x v="0"/>
    <s v="Egypt"/>
    <x v="3"/>
    <x v="13"/>
    <x v="13"/>
    <m/>
    <m/>
    <s v="Break 30 Morning"/>
    <d v="1899-12-30T17:15:00"/>
    <d v="1899-12-30T17:45:00"/>
    <n v="0"/>
    <x v="1"/>
  </r>
  <r>
    <x v="0"/>
    <s v="Egypt"/>
    <x v="3"/>
    <x v="13"/>
    <x v="13"/>
    <d v="2025-06-24T00:00:00"/>
    <d v="1899-12-30T08:15:00"/>
    <s v="Non Telecom"/>
    <d v="1899-12-30T13:00:00"/>
    <d v="1899-12-30T21:15:00"/>
    <n v="29700"/>
    <x v="0"/>
  </r>
  <r>
    <x v="0"/>
    <s v="Egypt"/>
    <x v="3"/>
    <x v="13"/>
    <x v="13"/>
    <m/>
    <m/>
    <s v="Break 15 Morning"/>
    <d v="1899-12-30T15:00:00"/>
    <d v="1899-12-30T15:15:00"/>
    <n v="0"/>
    <x v="1"/>
  </r>
  <r>
    <x v="0"/>
    <s v="Egypt"/>
    <x v="3"/>
    <x v="13"/>
    <x v="13"/>
    <m/>
    <m/>
    <s v="Break 30 Morning"/>
    <d v="1899-12-30T17:45:00"/>
    <d v="1899-12-30T18:15:00"/>
    <n v="0"/>
    <x v="1"/>
  </r>
  <r>
    <x v="0"/>
    <s v="Egypt"/>
    <x v="3"/>
    <x v="13"/>
    <x v="13"/>
    <d v="2025-06-25T00:00:00"/>
    <d v="1899-12-30T08:15:00"/>
    <s v="Non Telecom"/>
    <d v="1899-12-30T13:00:00"/>
    <d v="1899-12-30T21:15:00"/>
    <n v="29700"/>
    <x v="0"/>
  </r>
  <r>
    <x v="0"/>
    <s v="Egypt"/>
    <x v="3"/>
    <x v="13"/>
    <x v="13"/>
    <m/>
    <m/>
    <s v="Break 15 Morning"/>
    <d v="1899-12-30T15:00:00"/>
    <d v="1899-12-30T15:15:00"/>
    <n v="0"/>
    <x v="1"/>
  </r>
  <r>
    <x v="0"/>
    <s v="Egypt"/>
    <x v="3"/>
    <x v="13"/>
    <x v="13"/>
    <m/>
    <m/>
    <s v="Break 30 Morning"/>
    <d v="1899-12-30T17:15:00"/>
    <d v="1899-12-30T17:45:00"/>
    <n v="0"/>
    <x v="1"/>
  </r>
  <r>
    <x v="0"/>
    <s v="Egypt"/>
    <x v="3"/>
    <x v="13"/>
    <x v="13"/>
    <d v="2025-06-26T00:00:00"/>
    <m/>
    <s v="Day Off"/>
    <m/>
    <m/>
    <n v="0"/>
    <x v="1"/>
  </r>
  <r>
    <x v="0"/>
    <s v="Egypt"/>
    <x v="3"/>
    <x v="13"/>
    <x v="13"/>
    <d v="2025-06-27T00:00:00"/>
    <m/>
    <s v="Day Off"/>
    <m/>
    <m/>
    <n v="0"/>
    <x v="1"/>
  </r>
  <r>
    <x v="0"/>
    <s v="Egypt"/>
    <x v="3"/>
    <x v="13"/>
    <x v="13"/>
    <d v="2025-06-28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1:00:00"/>
    <d v="1899-12-30T21:15:00"/>
    <n v="0"/>
    <x v="1"/>
  </r>
  <r>
    <x v="0"/>
    <s v="Egypt"/>
    <x v="3"/>
    <x v="13"/>
    <x v="13"/>
    <m/>
    <m/>
    <s v="Break 30 Night"/>
    <s v="+12:30 AM"/>
    <s v="+1:00 AM"/>
    <n v="0"/>
    <x v="1"/>
  </r>
  <r>
    <x v="0"/>
    <s v="Egypt"/>
    <x v="3"/>
    <x v="13"/>
    <x v="13"/>
    <d v="2025-06-29T00:00:00"/>
    <d v="1899-12-30T08:15:00"/>
    <s v="Non Telecom"/>
    <d v="1899-12-30T19:15:00"/>
    <s v="+3:30 AM"/>
    <n v="29700"/>
    <x v="0"/>
  </r>
  <r>
    <x v="0"/>
    <s v="Egypt"/>
    <x v="3"/>
    <x v="13"/>
    <x v="13"/>
    <m/>
    <m/>
    <s v="Break 15 Night"/>
    <d v="1899-12-30T21:15:00"/>
    <d v="1899-12-30T21:30:00"/>
    <n v="0"/>
    <x v="1"/>
  </r>
  <r>
    <x v="0"/>
    <s v="Egypt"/>
    <x v="3"/>
    <x v="13"/>
    <x v="13"/>
    <m/>
    <m/>
    <s v="Break 30 Night"/>
    <s v="+12:30 AM"/>
    <s v="+1:00 AM"/>
    <n v="0"/>
    <x v="1"/>
  </r>
  <r>
    <x v="0"/>
    <s v="Egypt"/>
    <x v="3"/>
    <x v="13"/>
    <x v="13"/>
    <d v="2025-06-30T00:00:00"/>
    <d v="1899-12-30T08:15:00"/>
    <s v="Annual Exception"/>
    <m/>
    <m/>
    <n v="29700"/>
    <x v="1"/>
  </r>
  <r>
    <x v="0"/>
    <s v="Egypt"/>
    <x v="3"/>
    <x v="14"/>
    <x v="14"/>
    <d v="2025-06-01T00:00:00"/>
    <m/>
    <s v="Day Off"/>
    <m/>
    <m/>
    <n v="0"/>
    <x v="1"/>
  </r>
  <r>
    <x v="0"/>
    <s v="Egypt"/>
    <x v="3"/>
    <x v="14"/>
    <x v="14"/>
    <d v="2025-06-02T00:00:00"/>
    <m/>
    <s v="Day Off"/>
    <m/>
    <m/>
    <n v="0"/>
    <x v="1"/>
  </r>
  <r>
    <x v="0"/>
    <s v="Egypt"/>
    <x v="3"/>
    <x v="14"/>
    <x v="14"/>
    <d v="2025-06-03T00:00:00"/>
    <d v="1899-12-30T09:15:00"/>
    <s v="Non Telecom"/>
    <d v="1899-12-30T16:15:00"/>
    <s v="+1:30 AM"/>
    <n v="33300"/>
    <x v="0"/>
  </r>
  <r>
    <x v="0"/>
    <s v="Egypt"/>
    <x v="3"/>
    <x v="14"/>
    <x v="14"/>
    <m/>
    <m/>
    <s v="Break 15 Night"/>
    <d v="1899-12-30T19:15:00"/>
    <d v="1899-12-30T19:30:00"/>
    <n v="0"/>
    <x v="1"/>
  </r>
  <r>
    <x v="0"/>
    <s v="Egypt"/>
    <x v="3"/>
    <x v="14"/>
    <x v="14"/>
    <m/>
    <m/>
    <s v="Break 30 Night"/>
    <d v="1899-12-30T22:15:00"/>
    <d v="1899-12-30T22:45:00"/>
    <n v="0"/>
    <x v="1"/>
  </r>
  <r>
    <x v="0"/>
    <s v="Egypt"/>
    <x v="3"/>
    <x v="14"/>
    <x v="14"/>
    <m/>
    <m/>
    <s v="Shift Move"/>
    <s v="+12:30 AM"/>
    <s v="+1:30 AM"/>
    <n v="0"/>
    <x v="1"/>
  </r>
  <r>
    <x v="0"/>
    <s v="Egypt"/>
    <x v="3"/>
    <x v="14"/>
    <x v="14"/>
    <d v="2025-06-04T00:00:00"/>
    <d v="1899-12-30T09:15:00"/>
    <s v="Non Telecom"/>
    <d v="1899-12-30T16:15:00"/>
    <s v="+1:30 AM"/>
    <n v="33300"/>
    <x v="0"/>
  </r>
  <r>
    <x v="0"/>
    <s v="Egypt"/>
    <x v="3"/>
    <x v="14"/>
    <x v="14"/>
    <m/>
    <m/>
    <s v="Break 15 Night"/>
    <d v="1899-12-30T18:45:00"/>
    <d v="1899-12-30T19:00:00"/>
    <n v="0"/>
    <x v="1"/>
  </r>
  <r>
    <x v="0"/>
    <s v="Egypt"/>
    <x v="3"/>
    <x v="14"/>
    <x v="14"/>
    <m/>
    <m/>
    <s v="Break 30 Night"/>
    <d v="1899-12-30T22:00:00"/>
    <d v="1899-12-30T22:30:00"/>
    <n v="0"/>
    <x v="1"/>
  </r>
  <r>
    <x v="0"/>
    <s v="Egypt"/>
    <x v="3"/>
    <x v="14"/>
    <x v="14"/>
    <m/>
    <m/>
    <s v="Shift Move"/>
    <s v="+12:30 AM"/>
    <s v="+1:30 AM"/>
    <n v="0"/>
    <x v="1"/>
  </r>
  <r>
    <x v="0"/>
    <s v="Egypt"/>
    <x v="3"/>
    <x v="14"/>
    <x v="14"/>
    <d v="2025-06-05T00:00:00"/>
    <d v="1899-12-30T08:15:00"/>
    <s v="Non Telecom"/>
    <d v="1899-12-30T17:15:00"/>
    <s v="+1:30 AM"/>
    <n v="29700"/>
    <x v="0"/>
  </r>
  <r>
    <x v="0"/>
    <s v="Egypt"/>
    <x v="3"/>
    <x v="14"/>
    <x v="14"/>
    <m/>
    <m/>
    <s v="Break 15 Night"/>
    <d v="1899-12-30T19:00:00"/>
    <d v="1899-12-30T19:15:00"/>
    <n v="0"/>
    <x v="1"/>
  </r>
  <r>
    <x v="0"/>
    <s v="Egypt"/>
    <x v="3"/>
    <x v="14"/>
    <x v="14"/>
    <m/>
    <m/>
    <s v="Break 30 Night"/>
    <d v="1899-12-30T22:15:00"/>
    <d v="1899-12-30T22:45:00"/>
    <n v="0"/>
    <x v="1"/>
  </r>
  <r>
    <x v="0"/>
    <s v="Egypt"/>
    <x v="3"/>
    <x v="14"/>
    <x v="14"/>
    <d v="2025-06-06T00:00:00"/>
    <d v="1899-12-30T09:15:00"/>
    <s v="Non Telecom"/>
    <d v="1899-12-30T16:15:00"/>
    <s v="+1:30 AM"/>
    <n v="33300"/>
    <x v="0"/>
  </r>
  <r>
    <x v="0"/>
    <s v="Egypt"/>
    <x v="3"/>
    <x v="14"/>
    <x v="14"/>
    <m/>
    <m/>
    <s v="Break 15 Night"/>
    <d v="1899-12-30T19:00:00"/>
    <d v="1899-12-30T19:15:00"/>
    <n v="0"/>
    <x v="1"/>
  </r>
  <r>
    <x v="0"/>
    <s v="Egypt"/>
    <x v="3"/>
    <x v="14"/>
    <x v="14"/>
    <m/>
    <m/>
    <s v="Break 30 Night"/>
    <d v="1899-12-30T22:00:00"/>
    <d v="1899-12-30T22:30:00"/>
    <n v="0"/>
    <x v="1"/>
  </r>
  <r>
    <x v="0"/>
    <s v="Egypt"/>
    <x v="3"/>
    <x v="14"/>
    <x v="14"/>
    <m/>
    <m/>
    <s v="Shift Move"/>
    <s v="+12:30 AM"/>
    <s v="+1:30 AM"/>
    <n v="0"/>
    <x v="1"/>
  </r>
  <r>
    <x v="0"/>
    <s v="Egypt"/>
    <x v="3"/>
    <x v="14"/>
    <x v="14"/>
    <d v="2025-06-07T00:00:00"/>
    <d v="1899-12-30T08:15:00"/>
    <s v="Public holiday"/>
    <m/>
    <m/>
    <n v="29700"/>
    <x v="1"/>
  </r>
  <r>
    <x v="0"/>
    <s v="Egypt"/>
    <x v="3"/>
    <x v="14"/>
    <x v="14"/>
    <d v="2025-06-08T00:00:00"/>
    <m/>
    <s v="Day Off"/>
    <m/>
    <m/>
    <n v="0"/>
    <x v="1"/>
  </r>
  <r>
    <x v="0"/>
    <s v="Egypt"/>
    <x v="3"/>
    <x v="14"/>
    <x v="14"/>
    <d v="2025-06-09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00:00"/>
    <d v="1899-12-30T18:15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4"/>
    <x v="14"/>
    <d v="2025-06-10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00:00"/>
    <d v="1899-12-30T18:15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4"/>
    <x v="14"/>
    <d v="2025-06-11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15:00"/>
    <d v="1899-12-30T18:30:00"/>
    <n v="0"/>
    <x v="1"/>
  </r>
  <r>
    <x v="0"/>
    <s v="Egypt"/>
    <x v="3"/>
    <x v="14"/>
    <x v="14"/>
    <m/>
    <m/>
    <s v="Break 30 Night"/>
    <d v="1899-12-30T21:30:00"/>
    <d v="1899-12-30T22:00:00"/>
    <n v="0"/>
    <x v="1"/>
  </r>
  <r>
    <x v="0"/>
    <s v="Egypt"/>
    <x v="3"/>
    <x v="14"/>
    <x v="14"/>
    <d v="2025-06-12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45:00"/>
    <d v="1899-12-30T18:00:00"/>
    <n v="0"/>
    <x v="1"/>
  </r>
  <r>
    <x v="0"/>
    <s v="Egypt"/>
    <x v="3"/>
    <x v="14"/>
    <x v="14"/>
    <m/>
    <m/>
    <s v="Break 30 Night"/>
    <d v="1899-12-30T20:30:00"/>
    <d v="1899-12-30T21:00:00"/>
    <n v="0"/>
    <x v="1"/>
  </r>
  <r>
    <x v="0"/>
    <s v="Egypt"/>
    <x v="3"/>
    <x v="14"/>
    <x v="14"/>
    <d v="2025-06-13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15:00"/>
    <d v="1899-12-30T18:30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4"/>
    <x v="14"/>
    <d v="2025-06-14T00:00:00"/>
    <m/>
    <s v="Day Off"/>
    <m/>
    <m/>
    <n v="0"/>
    <x v="1"/>
  </r>
  <r>
    <x v="0"/>
    <s v="Egypt"/>
    <x v="3"/>
    <x v="14"/>
    <x v="14"/>
    <d v="2025-06-15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00:00"/>
    <d v="1899-12-30T18:15:00"/>
    <n v="0"/>
    <x v="1"/>
  </r>
  <r>
    <x v="0"/>
    <s v="Egypt"/>
    <x v="3"/>
    <x v="14"/>
    <x v="14"/>
    <m/>
    <m/>
    <s v="Break 30 Night"/>
    <d v="1899-12-30T20:45:00"/>
    <d v="1899-12-30T21:15:00"/>
    <n v="0"/>
    <x v="1"/>
  </r>
  <r>
    <x v="0"/>
    <s v="Egypt"/>
    <x v="3"/>
    <x v="14"/>
    <x v="14"/>
    <d v="2025-06-16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45:00"/>
    <d v="1899-12-30T18:00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4"/>
    <x v="14"/>
    <d v="2025-06-17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45:00"/>
    <d v="1899-12-30T18:00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4"/>
    <x v="14"/>
    <d v="2025-06-18T00:00:00"/>
    <d v="1899-12-30T09:15:00"/>
    <s v="Non Telecom"/>
    <d v="1899-12-30T16:15:00"/>
    <s v="+1:30 AM"/>
    <n v="33300"/>
    <x v="0"/>
  </r>
  <r>
    <x v="0"/>
    <s v="Egypt"/>
    <x v="3"/>
    <x v="14"/>
    <x v="14"/>
    <m/>
    <m/>
    <s v="Shift Move"/>
    <d v="1899-12-30T16:15:00"/>
    <d v="1899-12-30T17:15:00"/>
    <n v="0"/>
    <x v="1"/>
  </r>
  <r>
    <x v="0"/>
    <s v="Egypt"/>
    <x v="3"/>
    <x v="14"/>
    <x v="14"/>
    <m/>
    <m/>
    <s v="Break 15 Night"/>
    <d v="1899-12-30T17:45:00"/>
    <d v="1899-12-30T18:00:00"/>
    <n v="0"/>
    <x v="1"/>
  </r>
  <r>
    <x v="0"/>
    <s v="Egypt"/>
    <x v="3"/>
    <x v="14"/>
    <x v="14"/>
    <m/>
    <m/>
    <s v="Break 30 Night"/>
    <d v="1899-12-30T20:45:00"/>
    <d v="1899-12-30T21:15:00"/>
    <n v="0"/>
    <x v="1"/>
  </r>
  <r>
    <x v="0"/>
    <s v="Egypt"/>
    <x v="3"/>
    <x v="14"/>
    <x v="14"/>
    <d v="2025-06-19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00:00"/>
    <d v="1899-12-30T18:15:00"/>
    <n v="0"/>
    <x v="1"/>
  </r>
  <r>
    <x v="0"/>
    <s v="Egypt"/>
    <x v="3"/>
    <x v="14"/>
    <x v="14"/>
    <m/>
    <m/>
    <s v="Break 30 Night"/>
    <d v="1899-12-30T20:15:00"/>
    <d v="1899-12-30T20:45:00"/>
    <n v="0"/>
    <x v="1"/>
  </r>
  <r>
    <x v="0"/>
    <s v="Egypt"/>
    <x v="3"/>
    <x v="14"/>
    <x v="14"/>
    <d v="2025-06-20T00:00:00"/>
    <m/>
    <s v="Day Off"/>
    <m/>
    <m/>
    <n v="0"/>
    <x v="1"/>
  </r>
  <r>
    <x v="0"/>
    <s v="Egypt"/>
    <x v="3"/>
    <x v="14"/>
    <x v="14"/>
    <d v="2025-06-21T00:00:00"/>
    <m/>
    <s v="Day Off"/>
    <m/>
    <m/>
    <n v="0"/>
    <x v="1"/>
  </r>
  <r>
    <x v="0"/>
    <s v="Egypt"/>
    <x v="3"/>
    <x v="14"/>
    <x v="14"/>
    <d v="2025-06-22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15:00"/>
    <d v="1899-12-30T18:30:00"/>
    <n v="0"/>
    <x v="1"/>
  </r>
  <r>
    <x v="0"/>
    <s v="Egypt"/>
    <x v="3"/>
    <x v="14"/>
    <x v="14"/>
    <m/>
    <m/>
    <s v="Break 30 Night"/>
    <d v="1899-12-30T20:45:00"/>
    <d v="1899-12-30T21:15:00"/>
    <n v="0"/>
    <x v="1"/>
  </r>
  <r>
    <x v="0"/>
    <s v="Egypt"/>
    <x v="3"/>
    <x v="14"/>
    <x v="14"/>
    <d v="2025-06-23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8:15:00"/>
    <d v="1899-12-30T18:30:00"/>
    <n v="0"/>
    <x v="1"/>
  </r>
  <r>
    <x v="0"/>
    <s v="Egypt"/>
    <x v="3"/>
    <x v="14"/>
    <x v="14"/>
    <m/>
    <m/>
    <s v="Break 30 Night"/>
    <d v="1899-12-30T20:30:00"/>
    <d v="1899-12-30T21:00:00"/>
    <n v="0"/>
    <x v="1"/>
  </r>
  <r>
    <x v="0"/>
    <s v="Egypt"/>
    <x v="3"/>
    <x v="14"/>
    <x v="14"/>
    <d v="2025-06-24T00:00:00"/>
    <d v="1899-12-30T08:15:00"/>
    <s v="Non Telecom"/>
    <d v="1899-12-30T13:00:00"/>
    <d v="1899-12-30T21:15:00"/>
    <n v="29700"/>
    <x v="0"/>
  </r>
  <r>
    <x v="0"/>
    <s v="Egypt"/>
    <x v="3"/>
    <x v="14"/>
    <x v="14"/>
    <m/>
    <m/>
    <s v="Break 15 Morning"/>
    <d v="1899-12-30T15:00:00"/>
    <d v="1899-12-30T15:15:00"/>
    <n v="0"/>
    <x v="1"/>
  </r>
  <r>
    <x v="0"/>
    <s v="Egypt"/>
    <x v="3"/>
    <x v="14"/>
    <x v="14"/>
    <m/>
    <m/>
    <s v="Break 30 Morning"/>
    <d v="1899-12-30T18:15:00"/>
    <d v="1899-12-30T18:45:00"/>
    <n v="0"/>
    <x v="1"/>
  </r>
  <r>
    <x v="0"/>
    <s v="Egypt"/>
    <x v="3"/>
    <x v="14"/>
    <x v="14"/>
    <d v="2025-06-25T00:00:00"/>
    <d v="1899-12-30T08:15:00"/>
    <s v="Non Telecom"/>
    <d v="1899-12-30T13:00:00"/>
    <d v="1899-12-30T21:15:00"/>
    <n v="29700"/>
    <x v="0"/>
  </r>
  <r>
    <x v="0"/>
    <s v="Egypt"/>
    <x v="3"/>
    <x v="14"/>
    <x v="14"/>
    <m/>
    <m/>
    <s v="Break 15 Morning"/>
    <d v="1899-12-30T15:00:00"/>
    <d v="1899-12-30T15:15:00"/>
    <n v="0"/>
    <x v="1"/>
  </r>
  <r>
    <x v="0"/>
    <s v="Egypt"/>
    <x v="3"/>
    <x v="14"/>
    <x v="14"/>
    <m/>
    <m/>
    <s v="Break 30 Morning"/>
    <d v="1899-12-30T17:45:00"/>
    <d v="1899-12-30T18:15:00"/>
    <n v="0"/>
    <x v="1"/>
  </r>
  <r>
    <x v="0"/>
    <s v="Egypt"/>
    <x v="3"/>
    <x v="14"/>
    <x v="14"/>
    <d v="2025-06-26T00:00:00"/>
    <m/>
    <s v="Day Off"/>
    <m/>
    <m/>
    <n v="0"/>
    <x v="1"/>
  </r>
  <r>
    <x v="0"/>
    <s v="Egypt"/>
    <x v="3"/>
    <x v="14"/>
    <x v="14"/>
    <d v="2025-06-27T00:00:00"/>
    <m/>
    <s v="Day Off"/>
    <m/>
    <m/>
    <n v="0"/>
    <x v="1"/>
  </r>
  <r>
    <x v="0"/>
    <s v="Egypt"/>
    <x v="3"/>
    <x v="14"/>
    <x v="14"/>
    <d v="2025-06-28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30:00"/>
    <d v="1899-12-30T17:45:00"/>
    <n v="0"/>
    <x v="1"/>
  </r>
  <r>
    <x v="0"/>
    <s v="Egypt"/>
    <x v="3"/>
    <x v="14"/>
    <x v="14"/>
    <m/>
    <m/>
    <s v="Break 30 Night"/>
    <d v="1899-12-30T20:30:00"/>
    <d v="1899-12-30T21:00:00"/>
    <n v="0"/>
    <x v="1"/>
  </r>
  <r>
    <x v="0"/>
    <s v="Egypt"/>
    <x v="3"/>
    <x v="14"/>
    <x v="14"/>
    <d v="2025-06-29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15:00"/>
    <d v="1899-12-30T17:30:00"/>
    <n v="0"/>
    <x v="1"/>
  </r>
  <r>
    <x v="0"/>
    <s v="Egypt"/>
    <x v="3"/>
    <x v="14"/>
    <x v="14"/>
    <m/>
    <m/>
    <s v="Break 30 Night"/>
    <d v="1899-12-30T20:30:00"/>
    <d v="1899-12-30T21:00:00"/>
    <n v="0"/>
    <x v="1"/>
  </r>
  <r>
    <x v="0"/>
    <s v="Egypt"/>
    <x v="3"/>
    <x v="14"/>
    <x v="14"/>
    <d v="2025-06-30T00:00:00"/>
    <d v="1899-12-30T08:15:00"/>
    <s v="Non Telecom"/>
    <d v="1899-12-30T16:15:00"/>
    <s v="+12:30 AM"/>
    <n v="29700"/>
    <x v="0"/>
  </r>
  <r>
    <x v="0"/>
    <s v="Egypt"/>
    <x v="3"/>
    <x v="14"/>
    <x v="14"/>
    <m/>
    <m/>
    <s v="Break 15 Night"/>
    <d v="1899-12-30T17:45:00"/>
    <d v="1899-12-30T18:00:00"/>
    <n v="0"/>
    <x v="1"/>
  </r>
  <r>
    <x v="0"/>
    <s v="Egypt"/>
    <x v="3"/>
    <x v="14"/>
    <x v="14"/>
    <m/>
    <m/>
    <s v="Break 30 Night"/>
    <d v="1899-12-30T21:00:00"/>
    <d v="1899-12-30T21:30:00"/>
    <n v="0"/>
    <x v="1"/>
  </r>
  <r>
    <x v="0"/>
    <s v="Egypt"/>
    <x v="3"/>
    <x v="15"/>
    <x v="15"/>
    <d v="2025-06-01T00:00:00"/>
    <m/>
    <s v="Day Off"/>
    <m/>
    <m/>
    <n v="0"/>
    <x v="1"/>
  </r>
  <r>
    <x v="0"/>
    <s v="Egypt"/>
    <x v="3"/>
    <x v="15"/>
    <x v="15"/>
    <d v="2025-06-02T00:00:00"/>
    <m/>
    <s v="Day Off"/>
    <m/>
    <m/>
    <n v="0"/>
    <x v="1"/>
  </r>
  <r>
    <x v="0"/>
    <s v="Egypt"/>
    <x v="3"/>
    <x v="15"/>
    <x v="15"/>
    <d v="2025-06-03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30:00"/>
    <d v="1899-12-30T19:45:00"/>
    <n v="0"/>
    <x v="1"/>
  </r>
  <r>
    <x v="0"/>
    <s v="Egypt"/>
    <x v="3"/>
    <x v="15"/>
    <x v="15"/>
    <m/>
    <m/>
    <s v="Break 30 Night"/>
    <d v="1899-12-30T22:15:00"/>
    <d v="1899-12-30T22:45:00"/>
    <n v="0"/>
    <x v="1"/>
  </r>
  <r>
    <x v="0"/>
    <s v="Egypt"/>
    <x v="3"/>
    <x v="15"/>
    <x v="15"/>
    <d v="2025-06-04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00:00"/>
    <d v="1899-12-30T19:15:00"/>
    <n v="0"/>
    <x v="1"/>
  </r>
  <r>
    <x v="0"/>
    <s v="Egypt"/>
    <x v="3"/>
    <x v="15"/>
    <x v="15"/>
    <m/>
    <m/>
    <s v="Break 30 Night"/>
    <d v="1899-12-30T22:00:00"/>
    <d v="1899-12-30T22:30:00"/>
    <n v="0"/>
    <x v="1"/>
  </r>
  <r>
    <x v="0"/>
    <s v="Egypt"/>
    <x v="3"/>
    <x v="15"/>
    <x v="15"/>
    <d v="2025-06-05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15:00"/>
    <d v="1899-12-30T19:30:00"/>
    <n v="0"/>
    <x v="1"/>
  </r>
  <r>
    <x v="0"/>
    <s v="Egypt"/>
    <x v="3"/>
    <x v="15"/>
    <x v="15"/>
    <m/>
    <m/>
    <s v="Break 30 Night"/>
    <d v="1899-12-30T22:45:00"/>
    <d v="1899-12-30T23:15:00"/>
    <n v="0"/>
    <x v="1"/>
  </r>
  <r>
    <x v="0"/>
    <s v="Egypt"/>
    <x v="3"/>
    <x v="15"/>
    <x v="15"/>
    <d v="2025-06-06T00:00:00"/>
    <d v="1899-12-30T08:15:00"/>
    <s v="Public holiday"/>
    <m/>
    <m/>
    <n v="29700"/>
    <x v="1"/>
  </r>
  <r>
    <x v="0"/>
    <s v="Egypt"/>
    <x v="3"/>
    <x v="15"/>
    <x v="15"/>
    <d v="2025-06-07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7:45:00"/>
    <d v="1899-12-30T18:00:00"/>
    <n v="0"/>
    <x v="1"/>
  </r>
  <r>
    <x v="0"/>
    <s v="Egypt"/>
    <x v="3"/>
    <x v="15"/>
    <x v="15"/>
    <m/>
    <m/>
    <s v="Break 30 Night"/>
    <d v="1899-12-30T20:30:00"/>
    <d v="1899-12-30T21:00:00"/>
    <n v="0"/>
    <x v="1"/>
  </r>
  <r>
    <x v="0"/>
    <s v="Egypt"/>
    <x v="3"/>
    <x v="15"/>
    <x v="15"/>
    <d v="2025-06-08T00:00:00"/>
    <m/>
    <s v="Day Off"/>
    <m/>
    <m/>
    <n v="0"/>
    <x v="1"/>
  </r>
  <r>
    <x v="0"/>
    <s v="Egypt"/>
    <x v="3"/>
    <x v="15"/>
    <x v="15"/>
    <d v="2025-06-09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00:00"/>
    <d v="1899-12-30T19:15:00"/>
    <n v="0"/>
    <x v="1"/>
  </r>
  <r>
    <x v="0"/>
    <s v="Egypt"/>
    <x v="3"/>
    <x v="15"/>
    <x v="15"/>
    <m/>
    <m/>
    <s v="Break 30 Night"/>
    <d v="1899-12-30T22:00:00"/>
    <d v="1899-12-30T22:30:00"/>
    <n v="0"/>
    <x v="1"/>
  </r>
  <r>
    <x v="0"/>
    <s v="Egypt"/>
    <x v="3"/>
    <x v="15"/>
    <x v="15"/>
    <d v="2025-06-10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15:00"/>
    <d v="1899-12-30T19:30:00"/>
    <n v="0"/>
    <x v="1"/>
  </r>
  <r>
    <x v="0"/>
    <s v="Egypt"/>
    <x v="3"/>
    <x v="15"/>
    <x v="15"/>
    <m/>
    <m/>
    <s v="Break 30 Night"/>
    <d v="1899-12-30T22:30:00"/>
    <d v="1899-12-30T23:00:00"/>
    <n v="0"/>
    <x v="1"/>
  </r>
  <r>
    <x v="0"/>
    <s v="Egypt"/>
    <x v="3"/>
    <x v="15"/>
    <x v="15"/>
    <d v="2025-06-11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30:00"/>
    <d v="1899-12-30T19:45:00"/>
    <n v="0"/>
    <x v="1"/>
  </r>
  <r>
    <x v="0"/>
    <s v="Egypt"/>
    <x v="3"/>
    <x v="15"/>
    <x v="15"/>
    <m/>
    <m/>
    <s v="Break 30 Night"/>
    <d v="1899-12-30T22:30:00"/>
    <d v="1899-12-30T23:00:00"/>
    <n v="0"/>
    <x v="1"/>
  </r>
  <r>
    <x v="0"/>
    <s v="Egypt"/>
    <x v="3"/>
    <x v="15"/>
    <x v="15"/>
    <d v="2025-06-12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45:00"/>
    <d v="1899-12-30T20:00:00"/>
    <n v="0"/>
    <x v="1"/>
  </r>
  <r>
    <x v="0"/>
    <s v="Egypt"/>
    <x v="3"/>
    <x v="15"/>
    <x v="15"/>
    <m/>
    <m/>
    <s v="Break 30 Night"/>
    <d v="1899-12-30T22:30:00"/>
    <d v="1899-12-30T23:00:00"/>
    <n v="0"/>
    <x v="1"/>
  </r>
  <r>
    <x v="0"/>
    <s v="Egypt"/>
    <x v="3"/>
    <x v="15"/>
    <x v="15"/>
    <d v="2025-06-13T00:00:00"/>
    <d v="1899-12-30T08:15:00"/>
    <s v="Non Telecom"/>
    <d v="1899-12-30T17:15:00"/>
    <s v="+1:30 AM"/>
    <n v="29700"/>
    <x v="0"/>
  </r>
  <r>
    <x v="0"/>
    <s v="Egypt"/>
    <x v="3"/>
    <x v="15"/>
    <x v="15"/>
    <m/>
    <m/>
    <s v="Break 15 Night"/>
    <d v="1899-12-30T19:15:00"/>
    <d v="1899-12-30T19:30:00"/>
    <n v="0"/>
    <x v="1"/>
  </r>
  <r>
    <x v="0"/>
    <s v="Egypt"/>
    <x v="3"/>
    <x v="15"/>
    <x v="15"/>
    <m/>
    <m/>
    <s v="Break 30 Night"/>
    <d v="1899-12-30T22:00:00"/>
    <d v="1899-12-30T22:30:00"/>
    <n v="0"/>
    <x v="1"/>
  </r>
  <r>
    <x v="0"/>
    <s v="Egypt"/>
    <x v="3"/>
    <x v="15"/>
    <x v="15"/>
    <d v="2025-06-14T00:00:00"/>
    <m/>
    <s v="Day Off"/>
    <m/>
    <m/>
    <n v="0"/>
    <x v="1"/>
  </r>
  <r>
    <x v="0"/>
    <s v="Egypt"/>
    <x v="3"/>
    <x v="15"/>
    <x v="15"/>
    <d v="2025-06-15T00:00:00"/>
    <d v="1899-12-30T08:15:00"/>
    <s v="Annual Exception"/>
    <m/>
    <m/>
    <n v="29700"/>
    <x v="1"/>
  </r>
  <r>
    <x v="0"/>
    <s v="Egypt"/>
    <x v="3"/>
    <x v="15"/>
    <x v="15"/>
    <d v="2025-06-16T00:00:00"/>
    <d v="1899-12-30T08:15:00"/>
    <s v="Annual Exception"/>
    <m/>
    <m/>
    <n v="29700"/>
    <x v="1"/>
  </r>
  <r>
    <x v="0"/>
    <s v="Egypt"/>
    <x v="3"/>
    <x v="15"/>
    <x v="15"/>
    <d v="2025-06-17T00:00:00"/>
    <d v="1899-12-30T08:00:00"/>
    <s v="Non Reserved Annual"/>
    <d v="1899-12-30T09:15:00"/>
    <d v="1899-12-30T17:15:00"/>
    <n v="28800"/>
    <x v="1"/>
  </r>
  <r>
    <x v="0"/>
    <s v="Egypt"/>
    <x v="3"/>
    <x v="15"/>
    <x v="15"/>
    <m/>
    <m/>
    <s v="Non Reserved Annual"/>
    <d v="1899-12-30T09:15:00"/>
    <d v="1899-12-30T17:15:00"/>
    <n v="0"/>
    <x v="1"/>
  </r>
  <r>
    <x v="0"/>
    <s v="Egypt"/>
    <x v="3"/>
    <x v="15"/>
    <x v="15"/>
    <d v="2025-06-18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8:00:00"/>
    <d v="1899-12-30T18:15:00"/>
    <n v="0"/>
    <x v="1"/>
  </r>
  <r>
    <x v="0"/>
    <s v="Egypt"/>
    <x v="3"/>
    <x v="15"/>
    <x v="15"/>
    <m/>
    <m/>
    <s v="Break 30 Night"/>
    <d v="1899-12-30T20:45:00"/>
    <d v="1899-12-30T21:15:00"/>
    <n v="0"/>
    <x v="1"/>
  </r>
  <r>
    <x v="0"/>
    <s v="Egypt"/>
    <x v="3"/>
    <x v="15"/>
    <x v="15"/>
    <d v="2025-06-19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8:15:00"/>
    <d v="1899-12-30T18:30:00"/>
    <n v="0"/>
    <x v="1"/>
  </r>
  <r>
    <x v="0"/>
    <s v="Egypt"/>
    <x v="3"/>
    <x v="15"/>
    <x v="15"/>
    <m/>
    <m/>
    <s v="Break 30 Night"/>
    <d v="1899-12-30T20:45:00"/>
    <d v="1899-12-30T21:15:00"/>
    <n v="0"/>
    <x v="1"/>
  </r>
  <r>
    <x v="0"/>
    <s v="Egypt"/>
    <x v="3"/>
    <x v="15"/>
    <x v="15"/>
    <d v="2025-06-20T00:00:00"/>
    <m/>
    <s v="Day Off"/>
    <m/>
    <m/>
    <n v="0"/>
    <x v="1"/>
  </r>
  <r>
    <x v="0"/>
    <s v="Egypt"/>
    <x v="3"/>
    <x v="15"/>
    <x v="15"/>
    <d v="2025-06-21T00:00:00"/>
    <m/>
    <s v="Day Off"/>
    <m/>
    <m/>
    <n v="0"/>
    <x v="1"/>
  </r>
  <r>
    <x v="0"/>
    <s v="Egypt"/>
    <x v="3"/>
    <x v="15"/>
    <x v="15"/>
    <d v="2025-06-22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9:15:00"/>
    <d v="1899-12-30T19:30:00"/>
    <n v="0"/>
    <x v="1"/>
  </r>
  <r>
    <x v="0"/>
    <s v="Egypt"/>
    <x v="3"/>
    <x v="15"/>
    <x v="15"/>
    <m/>
    <m/>
    <s v="Break 30 Night"/>
    <d v="1899-12-30T21:45:00"/>
    <d v="1899-12-30T22:15:00"/>
    <n v="0"/>
    <x v="1"/>
  </r>
  <r>
    <x v="0"/>
    <s v="Egypt"/>
    <x v="3"/>
    <x v="15"/>
    <x v="15"/>
    <d v="2025-06-23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9:15:00"/>
    <d v="1899-12-30T19:30:00"/>
    <n v="0"/>
    <x v="1"/>
  </r>
  <r>
    <x v="0"/>
    <s v="Egypt"/>
    <x v="3"/>
    <x v="15"/>
    <x v="15"/>
    <m/>
    <m/>
    <s v="Break 30 Night"/>
    <d v="1899-12-30T21:30:00"/>
    <d v="1899-12-30T22:00:00"/>
    <n v="0"/>
    <x v="1"/>
  </r>
  <r>
    <x v="0"/>
    <s v="Egypt"/>
    <x v="3"/>
    <x v="15"/>
    <x v="15"/>
    <d v="2025-06-24T00:00:00"/>
    <d v="1899-12-30T08:15:00"/>
    <s v="Non Telecom"/>
    <d v="1899-12-30T19:15:00"/>
    <s v="+3:30 AM"/>
    <n v="29700"/>
    <x v="0"/>
  </r>
  <r>
    <x v="0"/>
    <s v="Egypt"/>
    <x v="3"/>
    <x v="15"/>
    <x v="15"/>
    <m/>
    <m/>
    <s v="Break 15 Night"/>
    <d v="1899-12-30T21:00:00"/>
    <d v="1899-12-30T21:15:00"/>
    <n v="0"/>
    <x v="1"/>
  </r>
  <r>
    <x v="0"/>
    <s v="Egypt"/>
    <x v="3"/>
    <x v="15"/>
    <x v="15"/>
    <m/>
    <m/>
    <s v="Break 30 Night"/>
    <d v="1899-12-30T23:30:00"/>
    <s v="+12:00 AM"/>
    <n v="0"/>
    <x v="1"/>
  </r>
  <r>
    <x v="0"/>
    <s v="Egypt"/>
    <x v="3"/>
    <x v="15"/>
    <x v="15"/>
    <d v="2025-06-25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8:15:00"/>
    <d v="1899-12-30T18:30:00"/>
    <n v="0"/>
    <x v="1"/>
  </r>
  <r>
    <x v="0"/>
    <s v="Egypt"/>
    <x v="3"/>
    <x v="15"/>
    <x v="15"/>
    <m/>
    <m/>
    <s v="Break 30 Night"/>
    <d v="1899-12-30T21:00:00"/>
    <d v="1899-12-30T21:30:00"/>
    <n v="0"/>
    <x v="1"/>
  </r>
  <r>
    <x v="0"/>
    <s v="Egypt"/>
    <x v="3"/>
    <x v="15"/>
    <x v="15"/>
    <d v="2025-06-26T00:00:00"/>
    <d v="1899-12-30T08:15:00"/>
    <s v="Non Telecom"/>
    <d v="1899-12-30T16:15:00"/>
    <s v="+12:30 AM"/>
    <n v="29700"/>
    <x v="0"/>
  </r>
  <r>
    <x v="0"/>
    <s v="Egypt"/>
    <x v="3"/>
    <x v="15"/>
    <x v="15"/>
    <m/>
    <m/>
    <s v="Break 15 Night"/>
    <d v="1899-12-30T18:00:00"/>
    <d v="1899-12-30T18:15:00"/>
    <n v="0"/>
    <x v="1"/>
  </r>
  <r>
    <x v="0"/>
    <s v="Egypt"/>
    <x v="3"/>
    <x v="15"/>
    <x v="15"/>
    <m/>
    <m/>
    <s v="Break 30 Night"/>
    <d v="1899-12-30T21:00:00"/>
    <d v="1899-12-30T21:30:00"/>
    <n v="0"/>
    <x v="1"/>
  </r>
  <r>
    <x v="0"/>
    <s v="Egypt"/>
    <x v="3"/>
    <x v="15"/>
    <x v="15"/>
    <d v="2025-06-27T00:00:00"/>
    <m/>
    <s v="Day Off"/>
    <m/>
    <m/>
    <n v="0"/>
    <x v="1"/>
  </r>
  <r>
    <x v="0"/>
    <s v="Egypt"/>
    <x v="3"/>
    <x v="15"/>
    <x v="15"/>
    <d v="2025-06-28T00:00:00"/>
    <m/>
    <s v="Day Off"/>
    <m/>
    <m/>
    <n v="0"/>
    <x v="1"/>
  </r>
  <r>
    <x v="0"/>
    <s v="Egypt"/>
    <x v="3"/>
    <x v="15"/>
    <x v="15"/>
    <d v="2025-06-29T00:00:00"/>
    <d v="1899-12-30T08:15:00"/>
    <s v="Non Telecom"/>
    <d v="1899-12-30T19:15:00"/>
    <s v="+3:30 AM"/>
    <n v="29700"/>
    <x v="0"/>
  </r>
  <r>
    <x v="0"/>
    <s v="Egypt"/>
    <x v="3"/>
    <x v="15"/>
    <x v="15"/>
    <m/>
    <m/>
    <s v="Break 15 Night"/>
    <d v="1899-12-30T22:00:00"/>
    <d v="1899-12-30T22:15:00"/>
    <n v="0"/>
    <x v="1"/>
  </r>
  <r>
    <x v="0"/>
    <s v="Egypt"/>
    <x v="3"/>
    <x v="15"/>
    <x v="15"/>
    <m/>
    <m/>
    <s v="Break 30 Night"/>
    <s v="+1:00 AM"/>
    <s v="+1:30 AM"/>
    <n v="0"/>
    <x v="1"/>
  </r>
  <r>
    <x v="0"/>
    <s v="Egypt"/>
    <x v="3"/>
    <x v="15"/>
    <x v="15"/>
    <d v="2025-06-30T00:00:00"/>
    <d v="1899-12-30T08:15:00"/>
    <s v="Annual Exception"/>
    <m/>
    <m/>
    <n v="29700"/>
    <x v="1"/>
  </r>
  <r>
    <x v="0"/>
    <s v="Egypt"/>
    <x v="3"/>
    <x v="16"/>
    <x v="16"/>
    <d v="2025-06-01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00:00"/>
    <d v="1899-12-30T18:15:00"/>
    <n v="0"/>
    <x v="1"/>
  </r>
  <r>
    <x v="0"/>
    <s v="Egypt"/>
    <x v="3"/>
    <x v="16"/>
    <x v="16"/>
    <m/>
    <m/>
    <s v="Break 30 Night"/>
    <d v="1899-12-30T21:15:00"/>
    <d v="1899-12-30T21:45:00"/>
    <n v="0"/>
    <x v="1"/>
  </r>
  <r>
    <x v="0"/>
    <s v="Egypt"/>
    <x v="3"/>
    <x v="16"/>
    <x v="16"/>
    <d v="2025-06-02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7:30:00"/>
    <d v="1899-12-30T17:45:00"/>
    <n v="0"/>
    <x v="1"/>
  </r>
  <r>
    <x v="0"/>
    <s v="Egypt"/>
    <x v="3"/>
    <x v="16"/>
    <x v="16"/>
    <m/>
    <m/>
    <s v="Break 30 Night"/>
    <d v="1899-12-30T21:15:00"/>
    <d v="1899-12-30T21:45:00"/>
    <n v="0"/>
    <x v="1"/>
  </r>
  <r>
    <x v="0"/>
    <s v="Egypt"/>
    <x v="3"/>
    <x v="16"/>
    <x v="16"/>
    <d v="2025-06-03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00:00"/>
    <d v="1899-12-30T18:15:00"/>
    <n v="0"/>
    <x v="1"/>
  </r>
  <r>
    <x v="0"/>
    <s v="Egypt"/>
    <x v="3"/>
    <x v="16"/>
    <x v="16"/>
    <m/>
    <m/>
    <s v="Break 30 Night"/>
    <d v="1899-12-30T21:15:00"/>
    <d v="1899-12-30T21:45:00"/>
    <n v="0"/>
    <x v="1"/>
  </r>
  <r>
    <x v="0"/>
    <s v="Egypt"/>
    <x v="3"/>
    <x v="16"/>
    <x v="16"/>
    <d v="2025-06-04T00:00:00"/>
    <m/>
    <s v="Day Off"/>
    <m/>
    <m/>
    <n v="0"/>
    <x v="1"/>
  </r>
  <r>
    <x v="0"/>
    <s v="Egypt"/>
    <x v="3"/>
    <x v="16"/>
    <x v="16"/>
    <d v="2025-06-05T00:00:00"/>
    <d v="1899-12-30T08:15:00"/>
    <s v="Non Telecom"/>
    <d v="1899-12-30T19:15:00"/>
    <s v="+3:30 AM"/>
    <n v="29700"/>
    <x v="0"/>
  </r>
  <r>
    <x v="0"/>
    <s v="Egypt"/>
    <x v="3"/>
    <x v="16"/>
    <x v="16"/>
    <m/>
    <m/>
    <s v="Break 15 Night"/>
    <d v="1899-12-30T21:30:00"/>
    <d v="1899-12-30T21:45:00"/>
    <n v="0"/>
    <x v="1"/>
  </r>
  <r>
    <x v="0"/>
    <s v="Egypt"/>
    <x v="3"/>
    <x v="16"/>
    <x v="16"/>
    <m/>
    <m/>
    <s v="Break 30 Night"/>
    <s v="+12:45 AM"/>
    <s v="+1:15 AM"/>
    <n v="0"/>
    <x v="1"/>
  </r>
  <r>
    <x v="0"/>
    <s v="Egypt"/>
    <x v="3"/>
    <x v="16"/>
    <x v="16"/>
    <d v="2025-06-06T00:00:00"/>
    <d v="1899-12-30T08:15:00"/>
    <s v="Public holiday"/>
    <m/>
    <m/>
    <n v="29700"/>
    <x v="1"/>
  </r>
  <r>
    <x v="0"/>
    <s v="Egypt"/>
    <x v="3"/>
    <x v="16"/>
    <x v="16"/>
    <d v="2025-06-07T00:00:00"/>
    <m/>
    <s v="Day Off"/>
    <m/>
    <m/>
    <n v="0"/>
    <x v="1"/>
  </r>
  <r>
    <x v="0"/>
    <s v="Egypt"/>
    <x v="3"/>
    <x v="16"/>
    <x v="16"/>
    <d v="2025-06-08T00:00:00"/>
    <m/>
    <s v="Day Off"/>
    <m/>
    <m/>
    <n v="0"/>
    <x v="1"/>
  </r>
  <r>
    <x v="0"/>
    <s v="Egypt"/>
    <x v="3"/>
    <x v="16"/>
    <x v="16"/>
    <d v="2025-06-09T00:00:00"/>
    <d v="1899-12-30T08:15:00"/>
    <s v="Non Telecom"/>
    <d v="1899-12-30T13:00:00"/>
    <d v="1899-12-30T21:15:00"/>
    <n v="29700"/>
    <x v="0"/>
  </r>
  <r>
    <x v="0"/>
    <s v="Egypt"/>
    <x v="3"/>
    <x v="16"/>
    <x v="16"/>
    <m/>
    <m/>
    <s v="Break 15 Morning"/>
    <d v="1899-12-30T14:15:00"/>
    <d v="1899-12-30T14:30:00"/>
    <n v="0"/>
    <x v="1"/>
  </r>
  <r>
    <x v="0"/>
    <s v="Egypt"/>
    <x v="3"/>
    <x v="16"/>
    <x v="16"/>
    <m/>
    <m/>
    <s v="Break 30 Morning"/>
    <d v="1899-12-30T17:30:00"/>
    <d v="1899-12-30T18:00:00"/>
    <n v="0"/>
    <x v="1"/>
  </r>
  <r>
    <x v="0"/>
    <s v="Egypt"/>
    <x v="3"/>
    <x v="16"/>
    <x v="16"/>
    <d v="2025-06-10T00:00:00"/>
    <d v="1899-12-30T08:15:00"/>
    <s v="Non Telecom"/>
    <d v="1899-12-30T13:00:00"/>
    <d v="1899-12-30T21:15:00"/>
    <n v="29700"/>
    <x v="0"/>
  </r>
  <r>
    <x v="0"/>
    <s v="Egypt"/>
    <x v="3"/>
    <x v="16"/>
    <x v="16"/>
    <m/>
    <m/>
    <s v="Break 15 Morning"/>
    <d v="1899-12-30T14:00:00"/>
    <d v="1899-12-30T14:15:00"/>
    <n v="0"/>
    <x v="1"/>
  </r>
  <r>
    <x v="0"/>
    <s v="Egypt"/>
    <x v="3"/>
    <x v="16"/>
    <x v="16"/>
    <m/>
    <m/>
    <s v="Break 30 Morning"/>
    <d v="1899-12-30T17:30:00"/>
    <d v="1899-12-30T18:00:00"/>
    <n v="0"/>
    <x v="1"/>
  </r>
  <r>
    <x v="0"/>
    <s v="Egypt"/>
    <x v="3"/>
    <x v="16"/>
    <x v="16"/>
    <d v="2025-06-11T00:00:00"/>
    <d v="1899-12-30T08:15:00"/>
    <s v="Non Telecom"/>
    <d v="1899-12-30T13:00:00"/>
    <d v="1899-12-30T21:15:00"/>
    <n v="29700"/>
    <x v="0"/>
  </r>
  <r>
    <x v="0"/>
    <s v="Egypt"/>
    <x v="3"/>
    <x v="16"/>
    <x v="16"/>
    <m/>
    <m/>
    <s v="Break 15 Morning"/>
    <d v="1899-12-30T14:45:00"/>
    <d v="1899-12-30T15:00:00"/>
    <n v="0"/>
    <x v="1"/>
  </r>
  <r>
    <x v="0"/>
    <s v="Egypt"/>
    <x v="3"/>
    <x v="16"/>
    <x v="16"/>
    <m/>
    <m/>
    <s v="Break 30 Morning"/>
    <d v="1899-12-30T18:15:00"/>
    <d v="1899-12-30T18:45:00"/>
    <n v="0"/>
    <x v="1"/>
  </r>
  <r>
    <x v="0"/>
    <s v="Egypt"/>
    <x v="3"/>
    <x v="16"/>
    <x v="16"/>
    <d v="2025-06-12T00:00:00"/>
    <d v="1899-12-30T08:15:00"/>
    <s v="Non Telecom"/>
    <d v="1899-12-30T19:15:00"/>
    <s v="+3:30 AM"/>
    <n v="29700"/>
    <x v="0"/>
  </r>
  <r>
    <x v="0"/>
    <s v="Egypt"/>
    <x v="3"/>
    <x v="16"/>
    <x v="16"/>
    <m/>
    <m/>
    <s v="Break 15 Night"/>
    <d v="1899-12-30T21:45:00"/>
    <d v="1899-12-30T22:00:00"/>
    <n v="0"/>
    <x v="1"/>
  </r>
  <r>
    <x v="0"/>
    <s v="Egypt"/>
    <x v="3"/>
    <x v="16"/>
    <x v="16"/>
    <m/>
    <m/>
    <s v="Break 30 Night"/>
    <s v="+12:30 AM"/>
    <s v="+1:00 AM"/>
    <n v="0"/>
    <x v="1"/>
  </r>
  <r>
    <x v="0"/>
    <s v="Egypt"/>
    <x v="3"/>
    <x v="16"/>
    <x v="16"/>
    <d v="2025-06-13T00:00:00"/>
    <d v="1899-12-30T08:15:00"/>
    <s v="Non Telecom"/>
    <d v="1899-12-30T19:15:00"/>
    <s v="+3:30 AM"/>
    <n v="29700"/>
    <x v="0"/>
  </r>
  <r>
    <x v="0"/>
    <s v="Egypt"/>
    <x v="3"/>
    <x v="16"/>
    <x v="16"/>
    <m/>
    <m/>
    <s v="Break 15 Night"/>
    <d v="1899-12-30T21:30:00"/>
    <d v="1899-12-30T21:45:00"/>
    <n v="0"/>
    <x v="1"/>
  </r>
  <r>
    <x v="0"/>
    <s v="Egypt"/>
    <x v="3"/>
    <x v="16"/>
    <x v="16"/>
    <m/>
    <m/>
    <s v="Break 30 Night"/>
    <s v="+12:30 AM"/>
    <s v="+1:00 AM"/>
    <n v="0"/>
    <x v="1"/>
  </r>
  <r>
    <x v="0"/>
    <s v="Egypt"/>
    <x v="3"/>
    <x v="16"/>
    <x v="16"/>
    <d v="2025-06-14T00:00:00"/>
    <m/>
    <s v="Day Off"/>
    <m/>
    <m/>
    <n v="0"/>
    <x v="1"/>
  </r>
  <r>
    <x v="0"/>
    <s v="Egypt"/>
    <x v="3"/>
    <x v="16"/>
    <x v="16"/>
    <d v="2025-06-15T00:00:00"/>
    <d v="1899-12-30T08:15:00"/>
    <s v="Non Telecom"/>
    <d v="1899-12-30T13:00:00"/>
    <d v="1899-12-30T21:15:00"/>
    <n v="29700"/>
    <x v="0"/>
  </r>
  <r>
    <x v="0"/>
    <s v="Egypt"/>
    <x v="3"/>
    <x v="16"/>
    <x v="16"/>
    <m/>
    <m/>
    <s v="Break 15 Morning"/>
    <d v="1899-12-30T15:00:00"/>
    <d v="1899-12-30T15:15:00"/>
    <n v="0"/>
    <x v="1"/>
  </r>
  <r>
    <x v="0"/>
    <s v="Egypt"/>
    <x v="3"/>
    <x v="16"/>
    <x v="16"/>
    <m/>
    <m/>
    <s v="Break 30 Morning"/>
    <d v="1899-12-30T18:15:00"/>
    <d v="1899-12-30T18:45:00"/>
    <n v="0"/>
    <x v="1"/>
  </r>
  <r>
    <x v="0"/>
    <s v="Egypt"/>
    <x v="3"/>
    <x v="16"/>
    <x v="16"/>
    <d v="2025-06-16T00:00:00"/>
    <d v="1899-12-30T08:15:00"/>
    <s v="Non Telecom"/>
    <d v="1899-12-30T08:00:00"/>
    <d v="1899-12-30T16:15:00"/>
    <n v="29700"/>
    <x v="0"/>
  </r>
  <r>
    <x v="0"/>
    <s v="Egypt"/>
    <x v="3"/>
    <x v="16"/>
    <x v="16"/>
    <m/>
    <m/>
    <s v="Break 15 Morning"/>
    <d v="1899-12-30T10:00:00"/>
    <d v="1899-12-30T10:15:00"/>
    <n v="0"/>
    <x v="1"/>
  </r>
  <r>
    <x v="0"/>
    <s v="Egypt"/>
    <x v="3"/>
    <x v="16"/>
    <x v="16"/>
    <m/>
    <m/>
    <s v="Break 30 Morning"/>
    <d v="1899-12-30T12:45:00"/>
    <d v="1899-12-30T13:15:00"/>
    <n v="0"/>
    <x v="1"/>
  </r>
  <r>
    <x v="0"/>
    <s v="Egypt"/>
    <x v="3"/>
    <x v="16"/>
    <x v="16"/>
    <d v="2025-06-17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15:00"/>
    <d v="1899-12-30T18:30:00"/>
    <n v="0"/>
    <x v="1"/>
  </r>
  <r>
    <x v="0"/>
    <s v="Egypt"/>
    <x v="3"/>
    <x v="16"/>
    <x v="16"/>
    <m/>
    <m/>
    <s v="Break 30 Night"/>
    <d v="1899-12-30T21:30:00"/>
    <d v="1899-12-30T22:00:00"/>
    <n v="0"/>
    <x v="1"/>
  </r>
  <r>
    <x v="0"/>
    <s v="Egypt"/>
    <x v="3"/>
    <x v="16"/>
    <x v="16"/>
    <d v="2025-06-18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00:00"/>
    <d v="1899-12-30T18:15:00"/>
    <n v="0"/>
    <x v="1"/>
  </r>
  <r>
    <x v="0"/>
    <s v="Egypt"/>
    <x v="3"/>
    <x v="16"/>
    <x v="16"/>
    <m/>
    <m/>
    <s v="Break 30 Night"/>
    <d v="1899-12-30T20:45:00"/>
    <d v="1899-12-30T21:15:00"/>
    <n v="0"/>
    <x v="1"/>
  </r>
  <r>
    <x v="0"/>
    <s v="Egypt"/>
    <x v="3"/>
    <x v="16"/>
    <x v="16"/>
    <d v="2025-06-19T00:00:00"/>
    <m/>
    <s v="Day Off"/>
    <m/>
    <m/>
    <n v="0"/>
    <x v="1"/>
  </r>
  <r>
    <x v="0"/>
    <s v="Egypt"/>
    <x v="3"/>
    <x v="16"/>
    <x v="16"/>
    <d v="2025-06-20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9:00:00"/>
    <d v="1899-12-30T19:15:00"/>
    <n v="0"/>
    <x v="1"/>
  </r>
  <r>
    <x v="0"/>
    <s v="Egypt"/>
    <x v="3"/>
    <x v="16"/>
    <x v="16"/>
    <m/>
    <m/>
    <s v="Break 30 Night"/>
    <d v="1899-12-30T21:45:00"/>
    <d v="1899-12-30T22:15:00"/>
    <n v="0"/>
    <x v="1"/>
  </r>
  <r>
    <x v="0"/>
    <s v="Egypt"/>
    <x v="3"/>
    <x v="16"/>
    <x v="16"/>
    <d v="2025-06-21T00:00:00"/>
    <m/>
    <s v="Day Off"/>
    <m/>
    <m/>
    <n v="0"/>
    <x v="1"/>
  </r>
  <r>
    <x v="0"/>
    <s v="Egypt"/>
    <x v="3"/>
    <x v="16"/>
    <x v="16"/>
    <d v="2025-06-22T00:00:00"/>
    <d v="1899-12-30T08:15:00"/>
    <s v="Non Telecom"/>
    <d v="1899-12-30T11:00:00"/>
    <d v="1899-12-30T19:15:00"/>
    <n v="29700"/>
    <x v="0"/>
  </r>
  <r>
    <x v="0"/>
    <s v="Egypt"/>
    <x v="3"/>
    <x v="16"/>
    <x v="16"/>
    <m/>
    <m/>
    <s v="Break 15 Morning"/>
    <d v="1899-12-30T12:45:00"/>
    <d v="1899-12-30T13:00:00"/>
    <n v="0"/>
    <x v="1"/>
  </r>
  <r>
    <x v="0"/>
    <s v="Egypt"/>
    <x v="3"/>
    <x v="16"/>
    <x v="16"/>
    <m/>
    <m/>
    <s v="Break 30 Morning"/>
    <d v="1899-12-30T15:45:00"/>
    <d v="1899-12-30T16:15:00"/>
    <n v="0"/>
    <x v="1"/>
  </r>
  <r>
    <x v="0"/>
    <s v="Egypt"/>
    <x v="3"/>
    <x v="16"/>
    <x v="16"/>
    <d v="2025-06-23T00:00:00"/>
    <d v="1899-12-30T08:15:00"/>
    <s v="Non Telecom"/>
    <d v="1899-12-30T11:00:00"/>
    <d v="1899-12-30T19:15:00"/>
    <n v="29700"/>
    <x v="0"/>
  </r>
  <r>
    <x v="0"/>
    <s v="Egypt"/>
    <x v="3"/>
    <x v="16"/>
    <x v="16"/>
    <m/>
    <m/>
    <s v="Break 15 Morning"/>
    <d v="1899-12-30T12:45:00"/>
    <d v="1899-12-30T13:00:00"/>
    <n v="0"/>
    <x v="1"/>
  </r>
  <r>
    <x v="0"/>
    <s v="Egypt"/>
    <x v="3"/>
    <x v="16"/>
    <x v="16"/>
    <m/>
    <m/>
    <s v="Break 30 Morning"/>
    <d v="1899-12-30T15:15:00"/>
    <d v="1899-12-30T15:45:00"/>
    <n v="0"/>
    <x v="1"/>
  </r>
  <r>
    <x v="0"/>
    <s v="Egypt"/>
    <x v="3"/>
    <x v="16"/>
    <x v="16"/>
    <d v="2025-06-24T00:00:00"/>
    <d v="1899-12-30T08:15:00"/>
    <s v="Non Telecom"/>
    <d v="1899-12-30T11:00:00"/>
    <d v="1899-12-30T19:15:00"/>
    <n v="29700"/>
    <x v="0"/>
  </r>
  <r>
    <x v="0"/>
    <s v="Egypt"/>
    <x v="3"/>
    <x v="16"/>
    <x v="16"/>
    <m/>
    <m/>
    <s v="Break 15 Morning"/>
    <d v="1899-12-30T12:45:00"/>
    <d v="1899-12-30T13:00:00"/>
    <n v="0"/>
    <x v="1"/>
  </r>
  <r>
    <x v="0"/>
    <s v="Egypt"/>
    <x v="3"/>
    <x v="16"/>
    <x v="16"/>
    <m/>
    <m/>
    <s v="Break 30 Morning"/>
    <d v="1899-12-30T15:45:00"/>
    <d v="1899-12-30T16:15:00"/>
    <n v="0"/>
    <x v="1"/>
  </r>
  <r>
    <x v="0"/>
    <s v="Egypt"/>
    <x v="3"/>
    <x v="16"/>
    <x v="16"/>
    <d v="2025-06-25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30:00"/>
    <d v="1899-12-30T18:45:00"/>
    <n v="0"/>
    <x v="1"/>
  </r>
  <r>
    <x v="0"/>
    <s v="Egypt"/>
    <x v="3"/>
    <x v="16"/>
    <x v="16"/>
    <m/>
    <m/>
    <s v="Break 30 Night"/>
    <d v="1899-12-30T21:00:00"/>
    <d v="1899-12-30T21:30:00"/>
    <n v="0"/>
    <x v="1"/>
  </r>
  <r>
    <x v="0"/>
    <s v="Egypt"/>
    <x v="3"/>
    <x v="16"/>
    <x v="16"/>
    <d v="2025-06-26T00:00:00"/>
    <d v="1899-12-30T08:15:00"/>
    <s v="Non Telecom"/>
    <d v="1899-12-30T16:15:00"/>
    <s v="+12:30 AM"/>
    <n v="29700"/>
    <x v="0"/>
  </r>
  <r>
    <x v="0"/>
    <s v="Egypt"/>
    <x v="3"/>
    <x v="16"/>
    <x v="16"/>
    <m/>
    <m/>
    <s v="Break 15 Night"/>
    <d v="1899-12-30T18:00:00"/>
    <d v="1899-12-30T18:15:00"/>
    <n v="0"/>
    <x v="1"/>
  </r>
  <r>
    <x v="0"/>
    <s v="Egypt"/>
    <x v="3"/>
    <x v="16"/>
    <x v="16"/>
    <m/>
    <m/>
    <s v="Break 30 Night"/>
    <d v="1899-12-30T21:00:00"/>
    <d v="1899-12-30T21:30:00"/>
    <n v="0"/>
    <x v="1"/>
  </r>
  <r>
    <x v="0"/>
    <s v="Egypt"/>
    <x v="3"/>
    <x v="16"/>
    <x v="16"/>
    <d v="2025-06-27T00:00:00"/>
    <m/>
    <s v="Day Off"/>
    <m/>
    <m/>
    <n v="0"/>
    <x v="1"/>
  </r>
  <r>
    <x v="0"/>
    <s v="Egypt"/>
    <x v="3"/>
    <x v="16"/>
    <x v="16"/>
    <d v="2025-06-28T00:00:00"/>
    <m/>
    <s v="Day Off"/>
    <m/>
    <m/>
    <n v="0"/>
    <x v="1"/>
  </r>
  <r>
    <x v="0"/>
    <s v="Egypt"/>
    <x v="3"/>
    <x v="16"/>
    <x v="16"/>
    <d v="2025-06-29T00:00:00"/>
    <d v="1899-12-30T08:15:00"/>
    <s v="Non Telecom"/>
    <d v="1899-12-30T19:15:00"/>
    <s v="+3:30 AM"/>
    <n v="29700"/>
    <x v="0"/>
  </r>
  <r>
    <x v="0"/>
    <s v="Egypt"/>
    <x v="3"/>
    <x v="16"/>
    <x v="16"/>
    <m/>
    <m/>
    <s v="Break 15 Night"/>
    <d v="1899-12-30T22:15:00"/>
    <d v="1899-12-30T22:30:00"/>
    <n v="0"/>
    <x v="1"/>
  </r>
  <r>
    <x v="0"/>
    <s v="Egypt"/>
    <x v="3"/>
    <x v="16"/>
    <x v="16"/>
    <m/>
    <m/>
    <s v="Break 30 Night"/>
    <s v="+1:30 AM"/>
    <s v="+2:00 AM"/>
    <n v="0"/>
    <x v="1"/>
  </r>
  <r>
    <x v="0"/>
    <s v="Egypt"/>
    <x v="3"/>
    <x v="16"/>
    <x v="16"/>
    <d v="2025-06-30T00:00:00"/>
    <d v="1899-12-30T08:15:00"/>
    <s v="Non Telecom"/>
    <d v="1899-12-30T19:15:00"/>
    <s v="+3:30 AM"/>
    <n v="29700"/>
    <x v="0"/>
  </r>
  <r>
    <x v="0"/>
    <s v="Egypt"/>
    <x v="3"/>
    <x v="16"/>
    <x v="16"/>
    <m/>
    <m/>
    <s v="Shift Swap"/>
    <d v="1899-12-30T19:15:00"/>
    <d v="1899-12-30T19:30:00"/>
    <n v="0"/>
    <x v="1"/>
  </r>
  <r>
    <x v="0"/>
    <s v="Egypt"/>
    <x v="3"/>
    <x v="16"/>
    <x v="16"/>
    <m/>
    <m/>
    <s v="Break 15 Night"/>
    <d v="1899-12-30T20:15:00"/>
    <d v="1899-12-30T20:30:00"/>
    <n v="0"/>
    <x v="1"/>
  </r>
  <r>
    <x v="0"/>
    <s v="Egypt"/>
    <x v="3"/>
    <x v="16"/>
    <x v="16"/>
    <m/>
    <m/>
    <s v="Break 30 Night"/>
    <d v="1899-12-30T23:15:00"/>
    <d v="1899-12-30T23:45:00"/>
    <n v="0"/>
    <x v="1"/>
  </r>
  <r>
    <x v="0"/>
    <s v="Egypt"/>
    <x v="3"/>
    <x v="17"/>
    <x v="17"/>
    <d v="2025-06-01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Break 15 Night"/>
    <d v="1899-12-30T17:45:00"/>
    <d v="1899-12-30T18:00:00"/>
    <n v="0"/>
    <x v="1"/>
  </r>
  <r>
    <x v="0"/>
    <s v="Egypt"/>
    <x v="3"/>
    <x v="17"/>
    <x v="17"/>
    <m/>
    <m/>
    <s v="Break 30 Night"/>
    <d v="1899-12-30T21:15:00"/>
    <d v="1899-12-30T21:45:00"/>
    <n v="0"/>
    <x v="1"/>
  </r>
  <r>
    <x v="0"/>
    <s v="Egypt"/>
    <x v="3"/>
    <x v="17"/>
    <x v="17"/>
    <d v="2025-06-02T00:00:00"/>
    <d v="1899-12-30T08:15:00"/>
    <s v="Non Telecom"/>
    <d v="1899-12-30T19:15:00"/>
    <s v="+3:30 AM"/>
    <n v="29700"/>
    <x v="0"/>
  </r>
  <r>
    <x v="0"/>
    <s v="Egypt"/>
    <x v="3"/>
    <x v="17"/>
    <x v="17"/>
    <m/>
    <m/>
    <s v="Break 15 Night"/>
    <d v="1899-12-30T21:45:00"/>
    <d v="1899-12-30T22:00:00"/>
    <n v="0"/>
    <x v="1"/>
  </r>
  <r>
    <x v="0"/>
    <s v="Egypt"/>
    <x v="3"/>
    <x v="17"/>
    <x v="17"/>
    <m/>
    <m/>
    <s v="Break 30 Night"/>
    <s v="+1:15 AM"/>
    <s v="+1:45 AM"/>
    <n v="0"/>
    <x v="1"/>
  </r>
  <r>
    <x v="0"/>
    <s v="Egypt"/>
    <x v="3"/>
    <x v="17"/>
    <x v="17"/>
    <d v="2025-06-03T00:00:00"/>
    <d v="1899-12-30T08:15:00"/>
    <s v="Planned Training"/>
    <m/>
    <m/>
    <n v="29700"/>
    <x v="1"/>
  </r>
  <r>
    <x v="0"/>
    <s v="Egypt"/>
    <x v="3"/>
    <x v="17"/>
    <x v="17"/>
    <d v="2025-06-04T00:00:00"/>
    <d v="1899-12-30T08:15:00"/>
    <s v="Planned Training"/>
    <m/>
    <m/>
    <n v="29700"/>
    <x v="1"/>
  </r>
  <r>
    <x v="0"/>
    <s v="Egypt"/>
    <x v="3"/>
    <x v="17"/>
    <x v="17"/>
    <d v="2025-06-05T00:00:00"/>
    <d v="1899-12-30T00:00:00"/>
    <s v="&lt;Exception&gt; -1"/>
    <m/>
    <m/>
    <n v="0"/>
    <x v="1"/>
  </r>
  <r>
    <x v="0"/>
    <s v="Egypt"/>
    <x v="3"/>
    <x v="17"/>
    <x v="17"/>
    <d v="2025-06-06T00:00:00"/>
    <d v="1899-12-30T08:15:00"/>
    <s v="Public holiday"/>
    <m/>
    <m/>
    <n v="29700"/>
    <x v="1"/>
  </r>
  <r>
    <x v="0"/>
    <s v="Egypt"/>
    <x v="3"/>
    <x v="17"/>
    <x v="17"/>
    <d v="2025-06-07T00:00:00"/>
    <d v="1899-12-30T08:15:00"/>
    <s v="Public holiday"/>
    <m/>
    <m/>
    <n v="29700"/>
    <x v="1"/>
  </r>
  <r>
    <x v="0"/>
    <s v="Egypt"/>
    <x v="3"/>
    <x v="17"/>
    <x v="17"/>
    <d v="2025-06-08T00:00:00"/>
    <d v="1899-12-30T08:15:00"/>
    <s v="Planned Training"/>
    <m/>
    <m/>
    <n v="29700"/>
    <x v="1"/>
  </r>
  <r>
    <x v="0"/>
    <s v="Egypt"/>
    <x v="3"/>
    <x v="17"/>
    <x v="17"/>
    <d v="2025-06-09T00:00:00"/>
    <d v="1899-12-30T08:15:00"/>
    <s v="Planned Training"/>
    <m/>
    <m/>
    <n v="29700"/>
    <x v="1"/>
  </r>
  <r>
    <x v="0"/>
    <s v="Egypt"/>
    <x v="3"/>
    <x v="17"/>
    <x v="17"/>
    <d v="2025-06-10T00:00:00"/>
    <d v="1899-12-30T08:15:00"/>
    <s v="Planned Training"/>
    <m/>
    <m/>
    <n v="29700"/>
    <x v="1"/>
  </r>
  <r>
    <x v="0"/>
    <s v="Egypt"/>
    <x v="3"/>
    <x v="17"/>
    <x v="17"/>
    <d v="2025-06-11T00:00:00"/>
    <d v="1899-12-30T08:15:00"/>
    <s v="Planned Training"/>
    <m/>
    <m/>
    <n v="29700"/>
    <x v="1"/>
  </r>
  <r>
    <x v="0"/>
    <s v="Egypt"/>
    <x v="3"/>
    <x v="17"/>
    <x v="17"/>
    <d v="2025-06-12T00:00:00"/>
    <d v="1899-12-30T08:15:00"/>
    <s v="Planned Training"/>
    <m/>
    <m/>
    <n v="29700"/>
    <x v="1"/>
  </r>
  <r>
    <x v="0"/>
    <s v="Egypt"/>
    <x v="3"/>
    <x v="17"/>
    <x v="17"/>
    <d v="2025-06-13T00:00:00"/>
    <m/>
    <s v="Day Off"/>
    <m/>
    <m/>
    <n v="0"/>
    <x v="1"/>
  </r>
  <r>
    <x v="0"/>
    <s v="Egypt"/>
    <x v="3"/>
    <x v="17"/>
    <x v="17"/>
    <d v="2025-06-14T00:00:00"/>
    <m/>
    <s v="Day Off"/>
    <m/>
    <m/>
    <n v="0"/>
    <x v="1"/>
  </r>
  <r>
    <x v="0"/>
    <s v="Egypt"/>
    <x v="3"/>
    <x v="17"/>
    <x v="17"/>
    <d v="2025-06-15T00:00:00"/>
    <d v="1899-12-30T08:15:00"/>
    <s v="Non Telecom"/>
    <d v="1899-12-30T13:00:00"/>
    <d v="1899-12-30T21:15:00"/>
    <n v="29700"/>
    <x v="0"/>
  </r>
  <r>
    <x v="0"/>
    <s v="Egypt"/>
    <x v="3"/>
    <x v="17"/>
    <x v="17"/>
    <m/>
    <m/>
    <s v="No Swap"/>
    <d v="1899-12-30T13:00:00"/>
    <d v="1899-12-30T13:15:00"/>
    <n v="0"/>
    <x v="1"/>
  </r>
  <r>
    <x v="0"/>
    <s v="Egypt"/>
    <x v="3"/>
    <x v="17"/>
    <x v="17"/>
    <m/>
    <m/>
    <s v="Break 15 Morning"/>
    <d v="1899-12-30T15:30:00"/>
    <d v="1899-12-30T15:45:00"/>
    <n v="0"/>
    <x v="1"/>
  </r>
  <r>
    <x v="0"/>
    <s v="Egypt"/>
    <x v="3"/>
    <x v="17"/>
    <x v="17"/>
    <m/>
    <m/>
    <s v="Break 30 Morning"/>
    <d v="1899-12-30T18:45:00"/>
    <d v="1899-12-30T19:15:00"/>
    <n v="0"/>
    <x v="1"/>
  </r>
  <r>
    <x v="0"/>
    <s v="Egypt"/>
    <x v="3"/>
    <x v="17"/>
    <x v="17"/>
    <d v="2025-06-16T00:00:00"/>
    <d v="1899-12-30T08:15:00"/>
    <s v="Non Telecom"/>
    <d v="1899-12-30T13:00:00"/>
    <d v="1899-12-30T21:15:00"/>
    <n v="29700"/>
    <x v="0"/>
  </r>
  <r>
    <x v="0"/>
    <s v="Egypt"/>
    <x v="3"/>
    <x v="17"/>
    <x v="17"/>
    <m/>
    <m/>
    <s v="No Swap"/>
    <d v="1899-12-30T13:00:00"/>
    <d v="1899-12-30T13:15:00"/>
    <n v="0"/>
    <x v="1"/>
  </r>
  <r>
    <x v="0"/>
    <s v="Egypt"/>
    <x v="3"/>
    <x v="17"/>
    <x v="17"/>
    <m/>
    <m/>
    <s v="Break 15 Morning"/>
    <d v="1899-12-30T15:00:00"/>
    <d v="1899-12-30T15:15:00"/>
    <n v="0"/>
    <x v="1"/>
  </r>
  <r>
    <x v="0"/>
    <s v="Egypt"/>
    <x v="3"/>
    <x v="17"/>
    <x v="17"/>
    <m/>
    <m/>
    <s v="Break 30 Morning"/>
    <d v="1899-12-30T18:00:00"/>
    <d v="1899-12-30T18:30:00"/>
    <n v="0"/>
    <x v="1"/>
  </r>
  <r>
    <x v="0"/>
    <s v="Egypt"/>
    <x v="3"/>
    <x v="17"/>
    <x v="17"/>
    <d v="2025-06-17T00:00:00"/>
    <m/>
    <s v="Day Off"/>
    <m/>
    <m/>
    <n v="0"/>
    <x v="1"/>
  </r>
  <r>
    <x v="0"/>
    <s v="Egypt"/>
    <x v="3"/>
    <x v="17"/>
    <x v="17"/>
    <d v="2025-06-18T00:00:00"/>
    <m/>
    <s v="Day Off"/>
    <m/>
    <m/>
    <n v="0"/>
    <x v="1"/>
  </r>
  <r>
    <x v="0"/>
    <s v="Egypt"/>
    <x v="3"/>
    <x v="17"/>
    <x v="17"/>
    <d v="2025-06-19T00:00:00"/>
    <d v="1899-12-30T08:15:00"/>
    <s v="Non Telecom"/>
    <d v="1899-12-30T13:00:00"/>
    <d v="1899-12-30T21:15:00"/>
    <n v="29700"/>
    <x v="0"/>
  </r>
  <r>
    <x v="0"/>
    <s v="Egypt"/>
    <x v="3"/>
    <x v="17"/>
    <x v="17"/>
    <m/>
    <m/>
    <s v="No Swap"/>
    <d v="1899-12-30T13:00:00"/>
    <d v="1899-12-30T13:15:00"/>
    <n v="0"/>
    <x v="1"/>
  </r>
  <r>
    <x v="0"/>
    <s v="Egypt"/>
    <x v="3"/>
    <x v="17"/>
    <x v="17"/>
    <m/>
    <m/>
    <s v="Break 15 Morning"/>
    <d v="1899-12-30T15:00:00"/>
    <d v="1899-12-30T15:15:00"/>
    <n v="0"/>
    <x v="1"/>
  </r>
  <r>
    <x v="0"/>
    <s v="Egypt"/>
    <x v="3"/>
    <x v="17"/>
    <x v="17"/>
    <m/>
    <m/>
    <s v="Break 30 Morning"/>
    <d v="1899-12-30T17:45:00"/>
    <d v="1899-12-30T18:15:00"/>
    <n v="0"/>
    <x v="1"/>
  </r>
  <r>
    <x v="0"/>
    <s v="Egypt"/>
    <x v="3"/>
    <x v="17"/>
    <x v="17"/>
    <d v="2025-06-20T00:00:00"/>
    <d v="1899-12-30T08:15:00"/>
    <s v="Non Telecom"/>
    <d v="1899-12-30T13:00:00"/>
    <d v="1899-12-30T21:15:00"/>
    <n v="29700"/>
    <x v="0"/>
  </r>
  <r>
    <x v="0"/>
    <s v="Egypt"/>
    <x v="3"/>
    <x v="17"/>
    <x v="17"/>
    <m/>
    <m/>
    <s v="Leave Exception"/>
    <d v="1899-12-30T13:00:00"/>
    <d v="1899-12-30T13:40:00"/>
    <n v="0"/>
    <x v="1"/>
  </r>
  <r>
    <x v="0"/>
    <s v="Egypt"/>
    <x v="3"/>
    <x v="17"/>
    <x v="17"/>
    <m/>
    <m/>
    <s v="Break 15 Morning"/>
    <d v="1899-12-30T14:45:00"/>
    <d v="1899-12-30T15:00:00"/>
    <n v="0"/>
    <x v="1"/>
  </r>
  <r>
    <x v="0"/>
    <s v="Egypt"/>
    <x v="3"/>
    <x v="17"/>
    <x v="17"/>
    <m/>
    <m/>
    <s v="No Swap"/>
    <d v="1899-12-30T15:15:00"/>
    <d v="1899-12-30T15:30:00"/>
    <n v="0"/>
    <x v="1"/>
  </r>
  <r>
    <x v="0"/>
    <s v="Egypt"/>
    <x v="3"/>
    <x v="17"/>
    <x v="17"/>
    <m/>
    <m/>
    <s v="Break 30 Morning"/>
    <d v="1899-12-30T17:45:00"/>
    <d v="1899-12-30T18:15:00"/>
    <n v="0"/>
    <x v="1"/>
  </r>
  <r>
    <x v="0"/>
    <s v="Egypt"/>
    <x v="3"/>
    <x v="17"/>
    <x v="17"/>
    <d v="2025-06-21T00:00:00"/>
    <d v="1899-12-30T08:15:00"/>
    <s v="Non Telecom"/>
    <d v="1899-12-30T13:00:00"/>
    <d v="1899-12-30T21:15:00"/>
    <n v="29700"/>
    <x v="0"/>
  </r>
  <r>
    <x v="0"/>
    <s v="Egypt"/>
    <x v="3"/>
    <x v="17"/>
    <x v="17"/>
    <m/>
    <m/>
    <s v="No Swap"/>
    <d v="1899-12-30T13:00:00"/>
    <d v="1899-12-30T13:15:00"/>
    <n v="0"/>
    <x v="1"/>
  </r>
  <r>
    <x v="0"/>
    <s v="Egypt"/>
    <x v="3"/>
    <x v="17"/>
    <x v="17"/>
    <m/>
    <m/>
    <s v="Break 15 Morning"/>
    <d v="1899-12-30T15:00:00"/>
    <d v="1899-12-30T15:15:00"/>
    <n v="0"/>
    <x v="1"/>
  </r>
  <r>
    <x v="0"/>
    <s v="Egypt"/>
    <x v="3"/>
    <x v="17"/>
    <x v="17"/>
    <m/>
    <m/>
    <s v="Break 30 Morning"/>
    <d v="1899-12-30T18:00:00"/>
    <d v="1899-12-30T18:30:00"/>
    <n v="0"/>
    <x v="1"/>
  </r>
  <r>
    <x v="0"/>
    <s v="Egypt"/>
    <x v="3"/>
    <x v="17"/>
    <x v="17"/>
    <d v="2025-06-22T00:00:00"/>
    <m/>
    <s v="Day Off"/>
    <m/>
    <m/>
    <n v="0"/>
    <x v="1"/>
  </r>
  <r>
    <x v="0"/>
    <s v="Egypt"/>
    <x v="3"/>
    <x v="17"/>
    <x v="17"/>
    <d v="2025-06-23T00:00:00"/>
    <m/>
    <s v="Day Off"/>
    <m/>
    <m/>
    <n v="0"/>
    <x v="1"/>
  </r>
  <r>
    <x v="0"/>
    <s v="Egypt"/>
    <x v="3"/>
    <x v="17"/>
    <x v="17"/>
    <d v="2025-06-24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No Swap"/>
    <d v="1899-12-30T17:15:00"/>
    <d v="1899-12-30T17:30:00"/>
    <n v="0"/>
    <x v="1"/>
  </r>
  <r>
    <x v="0"/>
    <s v="Egypt"/>
    <x v="3"/>
    <x v="17"/>
    <x v="17"/>
    <m/>
    <m/>
    <s v="Break 15 Night"/>
    <d v="1899-12-30T19:00:00"/>
    <d v="1899-12-30T19:15:00"/>
    <n v="0"/>
    <x v="1"/>
  </r>
  <r>
    <x v="0"/>
    <s v="Egypt"/>
    <x v="3"/>
    <x v="17"/>
    <x v="17"/>
    <m/>
    <m/>
    <s v="Break 30 Night"/>
    <d v="1899-12-30T21:15:00"/>
    <d v="1899-12-30T21:45:00"/>
    <n v="0"/>
    <x v="1"/>
  </r>
  <r>
    <x v="0"/>
    <s v="Egypt"/>
    <x v="3"/>
    <x v="17"/>
    <x v="17"/>
    <d v="2025-06-25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No Swap"/>
    <d v="1899-12-30T16:30:00"/>
    <d v="1899-12-30T16:45:00"/>
    <n v="0"/>
    <x v="1"/>
  </r>
  <r>
    <x v="0"/>
    <s v="Egypt"/>
    <x v="3"/>
    <x v="17"/>
    <x v="17"/>
    <m/>
    <m/>
    <s v="Break 15 Night"/>
    <d v="1899-12-30T19:00:00"/>
    <d v="1899-12-30T19:15:00"/>
    <n v="0"/>
    <x v="1"/>
  </r>
  <r>
    <x v="0"/>
    <s v="Egypt"/>
    <x v="3"/>
    <x v="17"/>
    <x v="17"/>
    <m/>
    <m/>
    <s v="Break 30 Night"/>
    <d v="1899-12-30T21:30:00"/>
    <d v="1899-12-30T22:00:00"/>
    <n v="0"/>
    <x v="1"/>
  </r>
  <r>
    <x v="0"/>
    <s v="Egypt"/>
    <x v="3"/>
    <x v="17"/>
    <x v="17"/>
    <d v="2025-06-26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No Swap"/>
    <d v="1899-12-30T16:30:00"/>
    <d v="1899-12-30T16:45:00"/>
    <n v="0"/>
    <x v="1"/>
  </r>
  <r>
    <x v="0"/>
    <s v="Egypt"/>
    <x v="3"/>
    <x v="17"/>
    <x v="17"/>
    <m/>
    <m/>
    <s v="Break 15 Night"/>
    <d v="1899-12-30T18:45:00"/>
    <d v="1899-12-30T19:00:00"/>
    <n v="0"/>
    <x v="1"/>
  </r>
  <r>
    <x v="0"/>
    <s v="Egypt"/>
    <x v="3"/>
    <x v="17"/>
    <x v="17"/>
    <m/>
    <m/>
    <s v="Break 30 Night"/>
    <d v="1899-12-30T21:30:00"/>
    <d v="1899-12-30T22:00:00"/>
    <n v="0"/>
    <x v="1"/>
  </r>
  <r>
    <x v="0"/>
    <s v="Egypt"/>
    <x v="3"/>
    <x v="17"/>
    <x v="17"/>
    <d v="2025-06-27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No Swap"/>
    <d v="1899-12-30T16:30:00"/>
    <d v="1899-12-30T16:45:00"/>
    <n v="0"/>
    <x v="1"/>
  </r>
  <r>
    <x v="0"/>
    <s v="Egypt"/>
    <x v="3"/>
    <x v="17"/>
    <x v="17"/>
    <m/>
    <m/>
    <s v="Break 15 Night"/>
    <d v="1899-12-30T18:45:00"/>
    <d v="1899-12-30T19:00:00"/>
    <n v="0"/>
    <x v="1"/>
  </r>
  <r>
    <x v="0"/>
    <s v="Egypt"/>
    <x v="3"/>
    <x v="17"/>
    <x v="17"/>
    <m/>
    <m/>
    <s v="Break 30 Night"/>
    <d v="1899-12-30T21:45:00"/>
    <d v="1899-12-30T22:15:00"/>
    <n v="0"/>
    <x v="1"/>
  </r>
  <r>
    <x v="0"/>
    <s v="Egypt"/>
    <x v="3"/>
    <x v="17"/>
    <x v="17"/>
    <d v="2025-06-28T00:00:00"/>
    <d v="1899-12-30T08:15:00"/>
    <s v="Non Telecom"/>
    <d v="1899-12-30T16:15:00"/>
    <s v="+12:30 AM"/>
    <n v="29700"/>
    <x v="0"/>
  </r>
  <r>
    <x v="0"/>
    <s v="Egypt"/>
    <x v="3"/>
    <x v="17"/>
    <x v="17"/>
    <m/>
    <m/>
    <s v="No Swap"/>
    <d v="1899-12-30T16:15:00"/>
    <d v="1899-12-30T16:30:00"/>
    <n v="0"/>
    <x v="1"/>
  </r>
  <r>
    <x v="0"/>
    <s v="Egypt"/>
    <x v="3"/>
    <x v="17"/>
    <x v="17"/>
    <m/>
    <m/>
    <s v="Break 15 Night"/>
    <d v="1899-12-30T18:30:00"/>
    <d v="1899-12-30T18:45:00"/>
    <n v="0"/>
    <x v="1"/>
  </r>
  <r>
    <x v="0"/>
    <s v="Egypt"/>
    <x v="3"/>
    <x v="17"/>
    <x v="17"/>
    <m/>
    <m/>
    <s v="Break 30 Night"/>
    <d v="1899-12-30T21:30:00"/>
    <d v="1899-12-30T22:00:00"/>
    <n v="0"/>
    <x v="1"/>
  </r>
  <r>
    <x v="0"/>
    <s v="Egypt"/>
    <x v="3"/>
    <x v="17"/>
    <x v="17"/>
    <d v="2025-06-29T00:00:00"/>
    <d v="1899-12-30T08:15:00"/>
    <s v="Annual Exception"/>
    <m/>
    <m/>
    <n v="29700"/>
    <x v="1"/>
  </r>
  <r>
    <x v="0"/>
    <s v="Egypt"/>
    <x v="3"/>
    <x v="17"/>
    <x v="17"/>
    <d v="2025-06-30T00:00:00"/>
    <d v="1899-12-30T08:15:00"/>
    <s v="Non Telecom"/>
    <d v="1899-12-30T19:15:00"/>
    <s v="+3:30 AM"/>
    <n v="29700"/>
    <x v="0"/>
  </r>
  <r>
    <x v="0"/>
    <s v="Egypt"/>
    <x v="3"/>
    <x v="17"/>
    <x v="17"/>
    <m/>
    <m/>
    <s v="Break 15 Night"/>
    <d v="1899-12-30T22:30:00"/>
    <d v="1899-12-30T22:45:00"/>
    <n v="0"/>
    <x v="1"/>
  </r>
  <r>
    <x v="0"/>
    <s v="Egypt"/>
    <x v="3"/>
    <x v="17"/>
    <x v="17"/>
    <m/>
    <m/>
    <s v="Break 30 Night"/>
    <s v="+1:30 AM"/>
    <s v="+2:00 AM"/>
    <n v="0"/>
    <x v="1"/>
  </r>
  <r>
    <x v="0"/>
    <s v="Egypt"/>
    <x v="3"/>
    <x v="18"/>
    <x v="18"/>
    <d v="2025-06-01T00:00:00"/>
    <d v="1899-12-30T08:15:00"/>
    <s v="Support Training"/>
    <m/>
    <m/>
    <n v="29700"/>
    <x v="1"/>
  </r>
  <r>
    <x v="0"/>
    <s v="Egypt"/>
    <x v="3"/>
    <x v="18"/>
    <x v="18"/>
    <d v="2025-06-02T00:00:00"/>
    <m/>
    <s v="Day Off"/>
    <m/>
    <m/>
    <n v="0"/>
    <x v="1"/>
  </r>
  <r>
    <x v="0"/>
    <s v="Egypt"/>
    <x v="3"/>
    <x v="18"/>
    <x v="18"/>
    <d v="2025-06-03T00:00:00"/>
    <m/>
    <s v="Day Off"/>
    <m/>
    <m/>
    <n v="0"/>
    <x v="1"/>
  </r>
  <r>
    <x v="0"/>
    <s v="Egypt"/>
    <x v="3"/>
    <x v="18"/>
    <x v="18"/>
    <d v="2025-06-04T00:00:00"/>
    <d v="1899-12-30T08:15:00"/>
    <s v="Support Training"/>
    <m/>
    <m/>
    <n v="29700"/>
    <x v="1"/>
  </r>
  <r>
    <x v="0"/>
    <s v="Egypt"/>
    <x v="3"/>
    <x v="18"/>
    <x v="18"/>
    <d v="2025-06-05T00:00:00"/>
    <d v="1899-12-30T08:15:00"/>
    <s v="Support Training"/>
    <m/>
    <m/>
    <n v="29700"/>
    <x v="1"/>
  </r>
  <r>
    <x v="0"/>
    <s v="Egypt"/>
    <x v="3"/>
    <x v="18"/>
    <x v="18"/>
    <d v="2025-06-06T00:00:00"/>
    <d v="1899-12-30T08:15:00"/>
    <s v="Support Training"/>
    <m/>
    <m/>
    <n v="29700"/>
    <x v="1"/>
  </r>
  <r>
    <x v="0"/>
    <s v="Egypt"/>
    <x v="3"/>
    <x v="18"/>
    <x v="18"/>
    <d v="2025-06-07T00:00:00"/>
    <d v="1899-12-30T08:15:00"/>
    <s v="Support Training"/>
    <m/>
    <m/>
    <n v="29700"/>
    <x v="1"/>
  </r>
  <r>
    <x v="0"/>
    <s v="Egypt"/>
    <x v="3"/>
    <x v="18"/>
    <x v="18"/>
    <d v="2025-06-08T00:00:00"/>
    <m/>
    <s v="Day Off"/>
    <m/>
    <m/>
    <n v="0"/>
    <x v="1"/>
  </r>
  <r>
    <x v="0"/>
    <s v="Egypt"/>
    <x v="3"/>
    <x v="18"/>
    <x v="18"/>
    <d v="2025-06-09T00:00:00"/>
    <d v="1899-12-30T08:15:00"/>
    <s v="Support Training"/>
    <m/>
    <m/>
    <n v="29700"/>
    <x v="1"/>
  </r>
  <r>
    <x v="0"/>
    <s v="Egypt"/>
    <x v="3"/>
    <x v="18"/>
    <x v="18"/>
    <d v="2025-06-10T00:00:00"/>
    <d v="1899-12-30T08:15:00"/>
    <s v="Support Training"/>
    <m/>
    <m/>
    <n v="29700"/>
    <x v="1"/>
  </r>
  <r>
    <x v="0"/>
    <s v="Egypt"/>
    <x v="3"/>
    <x v="18"/>
    <x v="18"/>
    <d v="2025-06-11T00:00:00"/>
    <d v="1899-12-30T08:15:00"/>
    <s v="Support Training"/>
    <m/>
    <m/>
    <n v="29700"/>
    <x v="1"/>
  </r>
  <r>
    <x v="0"/>
    <s v="Egypt"/>
    <x v="3"/>
    <x v="18"/>
    <x v="18"/>
    <d v="2025-06-12T00:00:00"/>
    <d v="1899-12-30T08:15:00"/>
    <s v="Support Training"/>
    <m/>
    <m/>
    <n v="29700"/>
    <x v="1"/>
  </r>
  <r>
    <x v="0"/>
    <s v="Egypt"/>
    <x v="3"/>
    <x v="18"/>
    <x v="18"/>
    <d v="2025-06-13T00:00:00"/>
    <d v="1899-12-30T08:15:00"/>
    <s v="Support Training"/>
    <m/>
    <m/>
    <n v="29700"/>
    <x v="1"/>
  </r>
  <r>
    <x v="0"/>
    <s v="Egypt"/>
    <x v="3"/>
    <x v="18"/>
    <x v="18"/>
    <d v="2025-06-14T00:00:00"/>
    <m/>
    <s v="Day Off"/>
    <m/>
    <m/>
    <n v="0"/>
    <x v="1"/>
  </r>
  <r>
    <x v="0"/>
    <s v="Egypt"/>
    <x v="3"/>
    <x v="18"/>
    <x v="18"/>
    <d v="2025-06-15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9:00:00"/>
    <d v="1899-12-30T19:15:00"/>
    <n v="0"/>
    <x v="1"/>
  </r>
  <r>
    <x v="0"/>
    <s v="Egypt"/>
    <x v="3"/>
    <x v="18"/>
    <x v="18"/>
    <m/>
    <m/>
    <s v="Break 30 Night"/>
    <d v="1899-12-30T21:45:00"/>
    <d v="1899-12-30T22:15:00"/>
    <n v="0"/>
    <x v="1"/>
  </r>
  <r>
    <x v="0"/>
    <s v="Egypt"/>
    <x v="3"/>
    <x v="18"/>
    <x v="18"/>
    <d v="2025-06-16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45:00"/>
    <d v="1899-12-30T19:00:00"/>
    <n v="0"/>
    <x v="1"/>
  </r>
  <r>
    <x v="0"/>
    <s v="Egypt"/>
    <x v="3"/>
    <x v="18"/>
    <x v="18"/>
    <m/>
    <m/>
    <s v="Break 30 Night"/>
    <d v="1899-12-30T21:30:00"/>
    <d v="1899-12-30T22:00:00"/>
    <n v="0"/>
    <x v="1"/>
  </r>
  <r>
    <x v="0"/>
    <s v="Egypt"/>
    <x v="3"/>
    <x v="18"/>
    <x v="18"/>
    <d v="2025-06-17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30:00"/>
    <d v="1899-12-30T18:45:00"/>
    <n v="0"/>
    <x v="1"/>
  </r>
  <r>
    <x v="0"/>
    <s v="Egypt"/>
    <x v="3"/>
    <x v="18"/>
    <x v="18"/>
    <m/>
    <m/>
    <s v="Break 30 Night"/>
    <d v="1899-12-30T21:30:00"/>
    <d v="1899-12-30T22:00:00"/>
    <n v="0"/>
    <x v="1"/>
  </r>
  <r>
    <x v="0"/>
    <s v="Egypt"/>
    <x v="3"/>
    <x v="18"/>
    <x v="18"/>
    <d v="2025-06-18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15:00"/>
    <d v="1899-12-30T18:30:00"/>
    <n v="0"/>
    <x v="1"/>
  </r>
  <r>
    <x v="0"/>
    <s v="Egypt"/>
    <x v="3"/>
    <x v="18"/>
    <x v="18"/>
    <m/>
    <m/>
    <s v="Break 30 Night"/>
    <d v="1899-12-30T21:15:00"/>
    <d v="1899-12-30T21:45:00"/>
    <n v="0"/>
    <x v="1"/>
  </r>
  <r>
    <x v="0"/>
    <s v="Egypt"/>
    <x v="3"/>
    <x v="18"/>
    <x v="18"/>
    <d v="2025-06-19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30:00"/>
    <d v="1899-12-30T18:45:00"/>
    <n v="0"/>
    <x v="1"/>
  </r>
  <r>
    <x v="0"/>
    <s v="Egypt"/>
    <x v="3"/>
    <x v="18"/>
    <x v="18"/>
    <m/>
    <m/>
    <s v="Break 30 Night"/>
    <d v="1899-12-30T21:15:00"/>
    <d v="1899-12-30T21:45:00"/>
    <n v="0"/>
    <x v="1"/>
  </r>
  <r>
    <x v="0"/>
    <s v="Egypt"/>
    <x v="3"/>
    <x v="18"/>
    <x v="18"/>
    <d v="2025-06-20T00:00:00"/>
    <m/>
    <s v="Day Off"/>
    <m/>
    <m/>
    <n v="0"/>
    <x v="1"/>
  </r>
  <r>
    <x v="0"/>
    <s v="Egypt"/>
    <x v="3"/>
    <x v="18"/>
    <x v="18"/>
    <d v="2025-06-21T00:00:00"/>
    <m/>
    <s v="Day Off"/>
    <m/>
    <m/>
    <n v="0"/>
    <x v="1"/>
  </r>
  <r>
    <x v="0"/>
    <s v="Egypt"/>
    <x v="3"/>
    <x v="18"/>
    <x v="18"/>
    <d v="2025-06-22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9:30:00"/>
    <d v="1899-12-30T19:45:00"/>
    <n v="0"/>
    <x v="1"/>
  </r>
  <r>
    <x v="0"/>
    <s v="Egypt"/>
    <x v="3"/>
    <x v="18"/>
    <x v="18"/>
    <m/>
    <m/>
    <s v="Break 30 Night"/>
    <d v="1899-12-30T21:45:00"/>
    <d v="1899-12-30T22:15:00"/>
    <n v="0"/>
    <x v="1"/>
  </r>
  <r>
    <x v="0"/>
    <s v="Egypt"/>
    <x v="3"/>
    <x v="18"/>
    <x v="18"/>
    <d v="2025-06-23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9:30:00"/>
    <d v="1899-12-30T19:45:00"/>
    <n v="0"/>
    <x v="1"/>
  </r>
  <r>
    <x v="0"/>
    <s v="Egypt"/>
    <x v="3"/>
    <x v="18"/>
    <x v="18"/>
    <m/>
    <m/>
    <s v="Break 30 Night"/>
    <d v="1899-12-30T21:45:00"/>
    <d v="1899-12-30T22:15:00"/>
    <n v="0"/>
    <x v="1"/>
  </r>
  <r>
    <x v="0"/>
    <s v="Egypt"/>
    <x v="3"/>
    <x v="18"/>
    <x v="18"/>
    <d v="2025-06-24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9:15:00"/>
    <d v="1899-12-30T19:30:00"/>
    <n v="0"/>
    <x v="1"/>
  </r>
  <r>
    <x v="0"/>
    <s v="Egypt"/>
    <x v="3"/>
    <x v="18"/>
    <x v="18"/>
    <m/>
    <m/>
    <s v="Break 30 Night"/>
    <d v="1899-12-30T21:45:00"/>
    <d v="1899-12-30T22:15:00"/>
    <n v="0"/>
    <x v="1"/>
  </r>
  <r>
    <x v="0"/>
    <s v="Egypt"/>
    <x v="3"/>
    <x v="18"/>
    <x v="18"/>
    <d v="2025-06-25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9:15:00"/>
    <d v="1899-12-30T19:30:00"/>
    <n v="0"/>
    <x v="1"/>
  </r>
  <r>
    <x v="0"/>
    <s v="Egypt"/>
    <x v="3"/>
    <x v="18"/>
    <x v="18"/>
    <m/>
    <m/>
    <s v="Break 30 Night"/>
    <d v="1899-12-30T22:00:00"/>
    <d v="1899-12-30T22:30:00"/>
    <n v="0"/>
    <x v="1"/>
  </r>
  <r>
    <x v="0"/>
    <s v="Egypt"/>
    <x v="3"/>
    <x v="18"/>
    <x v="18"/>
    <d v="2025-06-26T00:00:00"/>
    <d v="1899-12-30T08:15:00"/>
    <s v="Public holiday"/>
    <m/>
    <m/>
    <n v="29700"/>
    <x v="1"/>
  </r>
  <r>
    <x v="0"/>
    <s v="Egypt"/>
    <x v="3"/>
    <x v="18"/>
    <x v="18"/>
    <d v="2025-06-27T00:00:00"/>
    <m/>
    <s v="Day Off"/>
    <m/>
    <m/>
    <n v="0"/>
    <x v="1"/>
  </r>
  <r>
    <x v="0"/>
    <s v="Egypt"/>
    <x v="3"/>
    <x v="18"/>
    <x v="18"/>
    <d v="2025-06-28T00:00:00"/>
    <m/>
    <s v="Day Off"/>
    <m/>
    <m/>
    <n v="0"/>
    <x v="1"/>
  </r>
  <r>
    <x v="0"/>
    <s v="Egypt"/>
    <x v="3"/>
    <x v="18"/>
    <x v="18"/>
    <d v="2025-06-29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15:00"/>
    <d v="1899-12-30T18:30:00"/>
    <n v="0"/>
    <x v="1"/>
  </r>
  <r>
    <x v="0"/>
    <s v="Egypt"/>
    <x v="3"/>
    <x v="18"/>
    <x v="18"/>
    <m/>
    <m/>
    <s v="Break 30 Night"/>
    <d v="1899-12-30T21:30:00"/>
    <d v="1899-12-30T22:00:00"/>
    <n v="0"/>
    <x v="1"/>
  </r>
  <r>
    <x v="0"/>
    <s v="Egypt"/>
    <x v="3"/>
    <x v="18"/>
    <x v="18"/>
    <d v="2025-06-30T00:00:00"/>
    <d v="1899-12-30T08:15:00"/>
    <s v="Non Telecom"/>
    <d v="1899-12-30T16:15:00"/>
    <s v="+12:30 AM"/>
    <n v="29700"/>
    <x v="0"/>
  </r>
  <r>
    <x v="0"/>
    <s v="Egypt"/>
    <x v="3"/>
    <x v="18"/>
    <x v="18"/>
    <m/>
    <m/>
    <s v="Break 15 Night"/>
    <d v="1899-12-30T18:00:00"/>
    <d v="1899-12-30T18:15:00"/>
    <n v="0"/>
    <x v="1"/>
  </r>
  <r>
    <x v="0"/>
    <s v="Egypt"/>
    <x v="3"/>
    <x v="18"/>
    <x v="18"/>
    <m/>
    <m/>
    <s v="Break 30 Night"/>
    <d v="1899-12-30T21:00:00"/>
    <d v="1899-12-30T21:30:00"/>
    <n v="0"/>
    <x v="1"/>
  </r>
  <r>
    <x v="0"/>
    <s v="Egypt"/>
    <x v="3"/>
    <x v="19"/>
    <x v="19"/>
    <d v="2025-06-01T00:00:00"/>
    <d v="1899-12-30T08:15:00"/>
    <s v="Non Telecom"/>
    <d v="1899-12-30T19:15:00"/>
    <s v="+3:30 AM"/>
    <n v="29700"/>
    <x v="0"/>
  </r>
  <r>
    <x v="0"/>
    <s v="Egypt"/>
    <x v="3"/>
    <x v="19"/>
    <x v="19"/>
    <m/>
    <m/>
    <s v="Break 15 Night"/>
    <d v="1899-12-30T21:00:00"/>
    <d v="1899-12-30T21:15:00"/>
    <n v="0"/>
    <x v="1"/>
  </r>
  <r>
    <x v="0"/>
    <s v="Egypt"/>
    <x v="3"/>
    <x v="19"/>
    <x v="19"/>
    <m/>
    <m/>
    <s v="Break 30 Night"/>
    <s v="+12:15 AM"/>
    <s v="+12:45 AM"/>
    <n v="0"/>
    <x v="1"/>
  </r>
  <r>
    <x v="0"/>
    <s v="Egypt"/>
    <x v="3"/>
    <x v="19"/>
    <x v="19"/>
    <d v="2025-06-02T00:00:00"/>
    <m/>
    <s v="Day Off"/>
    <m/>
    <m/>
    <n v="0"/>
    <x v="1"/>
  </r>
  <r>
    <x v="0"/>
    <s v="Egypt"/>
    <x v="3"/>
    <x v="19"/>
    <x v="19"/>
    <d v="2025-06-03T00:00:00"/>
    <d v="1899-12-30T08:15:00"/>
    <s v="Planned Training"/>
    <m/>
    <m/>
    <n v="29700"/>
    <x v="1"/>
  </r>
  <r>
    <x v="0"/>
    <s v="Egypt"/>
    <x v="3"/>
    <x v="19"/>
    <x v="19"/>
    <d v="2025-06-04T00:00:00"/>
    <d v="1899-12-30T08:15:00"/>
    <s v="Planned Training"/>
    <m/>
    <m/>
    <n v="29700"/>
    <x v="1"/>
  </r>
  <r>
    <x v="0"/>
    <s v="Egypt"/>
    <x v="3"/>
    <x v="19"/>
    <x v="19"/>
    <d v="2025-06-05T00:00:00"/>
    <d v="1899-12-30T08:15:00"/>
    <s v="Planned Training"/>
    <m/>
    <m/>
    <n v="29700"/>
    <x v="1"/>
  </r>
  <r>
    <x v="0"/>
    <s v="Egypt"/>
    <x v="3"/>
    <x v="19"/>
    <x v="19"/>
    <d v="2025-06-06T00:00:00"/>
    <m/>
    <s v="Day Off"/>
    <m/>
    <m/>
    <n v="0"/>
    <x v="1"/>
  </r>
  <r>
    <x v="0"/>
    <s v="Egypt"/>
    <x v="3"/>
    <x v="19"/>
    <x v="19"/>
    <d v="2025-06-07T00:00:00"/>
    <d v="1899-12-30T08:15:00"/>
    <s v="Public holiday"/>
    <m/>
    <m/>
    <n v="29700"/>
    <x v="1"/>
  </r>
  <r>
    <x v="0"/>
    <s v="Egypt"/>
    <x v="3"/>
    <x v="19"/>
    <x v="19"/>
    <d v="2025-06-08T00:00:00"/>
    <d v="1899-12-30T08:15:00"/>
    <s v="Sick"/>
    <m/>
    <m/>
    <n v="29700"/>
    <x v="1"/>
  </r>
  <r>
    <x v="0"/>
    <s v="Egypt"/>
    <x v="3"/>
    <x v="19"/>
    <x v="19"/>
    <d v="2025-06-09T00:00:00"/>
    <d v="1899-12-30T08:15:00"/>
    <s v="Planned Training"/>
    <m/>
    <m/>
    <n v="29700"/>
    <x v="1"/>
  </r>
  <r>
    <x v="0"/>
    <s v="Egypt"/>
    <x v="3"/>
    <x v="19"/>
    <x v="19"/>
    <d v="2025-06-10T00:00:00"/>
    <d v="1899-12-30T08:15:00"/>
    <s v="Planned Training"/>
    <m/>
    <m/>
    <n v="29700"/>
    <x v="1"/>
  </r>
  <r>
    <x v="0"/>
    <s v="Egypt"/>
    <x v="3"/>
    <x v="19"/>
    <x v="19"/>
    <d v="2025-06-11T00:00:00"/>
    <d v="1899-12-30T08:15:00"/>
    <s v="Planned Training"/>
    <m/>
    <m/>
    <n v="29700"/>
    <x v="1"/>
  </r>
  <r>
    <x v="0"/>
    <s v="Egypt"/>
    <x v="3"/>
    <x v="19"/>
    <x v="19"/>
    <d v="2025-06-12T00:00:00"/>
    <d v="1899-12-30T08:15:00"/>
    <s v="Planned Training"/>
    <m/>
    <m/>
    <n v="29700"/>
    <x v="1"/>
  </r>
  <r>
    <x v="0"/>
    <s v="Egypt"/>
    <x v="3"/>
    <x v="19"/>
    <x v="19"/>
    <d v="2025-06-13T00:00:00"/>
    <m/>
    <s v="Day Off"/>
    <m/>
    <m/>
    <n v="0"/>
    <x v="1"/>
  </r>
  <r>
    <x v="0"/>
    <s v="Egypt"/>
    <x v="3"/>
    <x v="19"/>
    <x v="19"/>
    <d v="2025-06-14T00:00:00"/>
    <m/>
    <s v="Day Off"/>
    <m/>
    <m/>
    <n v="0"/>
    <x v="1"/>
  </r>
  <r>
    <x v="0"/>
    <s v="Egypt"/>
    <x v="3"/>
    <x v="19"/>
    <x v="19"/>
    <d v="2025-06-15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No Swap"/>
    <d v="1899-12-30T13:00:00"/>
    <d v="1899-12-30T13:15:00"/>
    <n v="0"/>
    <x v="1"/>
  </r>
  <r>
    <x v="0"/>
    <s v="Egypt"/>
    <x v="3"/>
    <x v="19"/>
    <x v="19"/>
    <m/>
    <m/>
    <s v="Break 15 Morning"/>
    <d v="1899-12-30T16:00:00"/>
    <d v="1899-12-30T16:15:00"/>
    <n v="0"/>
    <x v="1"/>
  </r>
  <r>
    <x v="0"/>
    <s v="Egypt"/>
    <x v="3"/>
    <x v="19"/>
    <x v="19"/>
    <m/>
    <m/>
    <s v="Break 30 Morning"/>
    <d v="1899-12-30T19:15:00"/>
    <d v="1899-12-30T19:45:00"/>
    <n v="0"/>
    <x v="1"/>
  </r>
  <r>
    <x v="0"/>
    <s v="Egypt"/>
    <x v="3"/>
    <x v="19"/>
    <x v="19"/>
    <d v="2025-06-16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No Swap"/>
    <d v="1899-12-30T13:00:00"/>
    <d v="1899-12-30T13:15:00"/>
    <n v="0"/>
    <x v="1"/>
  </r>
  <r>
    <x v="0"/>
    <s v="Egypt"/>
    <x v="3"/>
    <x v="19"/>
    <x v="19"/>
    <m/>
    <m/>
    <s v="Break 15 Morning"/>
    <d v="1899-12-30T15:15:00"/>
    <d v="1899-12-30T15:30:00"/>
    <n v="0"/>
    <x v="1"/>
  </r>
  <r>
    <x v="0"/>
    <s v="Egypt"/>
    <x v="3"/>
    <x v="19"/>
    <x v="19"/>
    <m/>
    <m/>
    <s v="Break 30 Morning"/>
    <d v="1899-12-30T18:30:00"/>
    <d v="1899-12-30T19:00:00"/>
    <n v="0"/>
    <x v="1"/>
  </r>
  <r>
    <x v="0"/>
    <s v="Egypt"/>
    <x v="3"/>
    <x v="19"/>
    <x v="19"/>
    <d v="2025-06-17T00:00:00"/>
    <m/>
    <s v="Day Off"/>
    <m/>
    <m/>
    <n v="0"/>
    <x v="1"/>
  </r>
  <r>
    <x v="0"/>
    <s v="Egypt"/>
    <x v="3"/>
    <x v="19"/>
    <x v="19"/>
    <d v="2025-06-18T00:00:00"/>
    <m/>
    <s v="Day Off"/>
    <m/>
    <m/>
    <n v="0"/>
    <x v="1"/>
  </r>
  <r>
    <x v="0"/>
    <s v="Egypt"/>
    <x v="3"/>
    <x v="19"/>
    <x v="19"/>
    <d v="2025-06-19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No Swap"/>
    <d v="1899-12-30T13:00:00"/>
    <d v="1899-12-30T13:15:00"/>
    <n v="0"/>
    <x v="1"/>
  </r>
  <r>
    <x v="0"/>
    <s v="Egypt"/>
    <x v="3"/>
    <x v="19"/>
    <x v="19"/>
    <m/>
    <m/>
    <s v="Break 15 Morning"/>
    <d v="1899-12-30T15:15:00"/>
    <d v="1899-12-30T15:30:00"/>
    <n v="0"/>
    <x v="1"/>
  </r>
  <r>
    <x v="0"/>
    <s v="Egypt"/>
    <x v="3"/>
    <x v="19"/>
    <x v="19"/>
    <m/>
    <m/>
    <s v="Break 30 Morning"/>
    <d v="1899-12-30T17:45:00"/>
    <d v="1899-12-30T18:15:00"/>
    <n v="0"/>
    <x v="1"/>
  </r>
  <r>
    <x v="0"/>
    <s v="Egypt"/>
    <x v="3"/>
    <x v="19"/>
    <x v="19"/>
    <d v="2025-06-20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Leave Exception"/>
    <d v="1899-12-30T13:00:00"/>
    <d v="1899-12-30T13:40:00"/>
    <n v="0"/>
    <x v="1"/>
  </r>
  <r>
    <x v="0"/>
    <s v="Egypt"/>
    <x v="3"/>
    <x v="19"/>
    <x v="19"/>
    <m/>
    <m/>
    <s v="Break 15 Morning"/>
    <d v="1899-12-30T15:00:00"/>
    <d v="1899-12-30T15:15:00"/>
    <n v="0"/>
    <x v="1"/>
  </r>
  <r>
    <x v="0"/>
    <s v="Egypt"/>
    <x v="3"/>
    <x v="19"/>
    <x v="19"/>
    <m/>
    <m/>
    <s v="No Swap"/>
    <d v="1899-12-30T15:15:00"/>
    <d v="1899-12-30T15:30:00"/>
    <n v="0"/>
    <x v="1"/>
  </r>
  <r>
    <x v="0"/>
    <s v="Egypt"/>
    <x v="3"/>
    <x v="19"/>
    <x v="19"/>
    <m/>
    <m/>
    <s v="Break 30 Morning"/>
    <d v="1899-12-30T18:15:00"/>
    <d v="1899-12-30T18:45:00"/>
    <n v="0"/>
    <x v="1"/>
  </r>
  <r>
    <x v="0"/>
    <s v="Egypt"/>
    <x v="3"/>
    <x v="19"/>
    <x v="19"/>
    <d v="2025-06-21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No Swap"/>
    <d v="1899-12-30T13:00:00"/>
    <d v="1899-12-30T13:15:00"/>
    <n v="0"/>
    <x v="1"/>
  </r>
  <r>
    <x v="0"/>
    <s v="Egypt"/>
    <x v="3"/>
    <x v="19"/>
    <x v="19"/>
    <m/>
    <m/>
    <s v="Break 15 Morning"/>
    <d v="1899-12-30T15:15:00"/>
    <d v="1899-12-30T15:30:00"/>
    <n v="0"/>
    <x v="1"/>
  </r>
  <r>
    <x v="0"/>
    <s v="Egypt"/>
    <x v="3"/>
    <x v="19"/>
    <x v="19"/>
    <m/>
    <m/>
    <s v="Break 30 Morning"/>
    <d v="1899-12-30T18:00:00"/>
    <d v="1899-12-30T18:30:00"/>
    <n v="0"/>
    <x v="1"/>
  </r>
  <r>
    <x v="0"/>
    <s v="Egypt"/>
    <x v="3"/>
    <x v="19"/>
    <x v="19"/>
    <d v="2025-06-22T00:00:00"/>
    <m/>
    <s v="Day Off"/>
    <m/>
    <m/>
    <n v="0"/>
    <x v="1"/>
  </r>
  <r>
    <x v="0"/>
    <s v="Egypt"/>
    <x v="3"/>
    <x v="19"/>
    <x v="19"/>
    <d v="2025-06-23T00:00:00"/>
    <m/>
    <s v="Day Off"/>
    <m/>
    <m/>
    <n v="0"/>
    <x v="1"/>
  </r>
  <r>
    <x v="0"/>
    <s v="Egypt"/>
    <x v="3"/>
    <x v="19"/>
    <x v="19"/>
    <d v="2025-06-24T00:00:00"/>
    <d v="1899-12-30T08:15:00"/>
    <s v="Non Telecom"/>
    <d v="1899-12-30T16:15:00"/>
    <s v="+12:30 AM"/>
    <n v="29700"/>
    <x v="0"/>
  </r>
  <r>
    <x v="0"/>
    <s v="Egypt"/>
    <x v="3"/>
    <x v="19"/>
    <x v="19"/>
    <m/>
    <m/>
    <s v="No Swap"/>
    <d v="1899-12-30T17:15:00"/>
    <d v="1899-12-30T17:30:00"/>
    <n v="0"/>
    <x v="1"/>
  </r>
  <r>
    <x v="0"/>
    <s v="Egypt"/>
    <x v="3"/>
    <x v="19"/>
    <x v="19"/>
    <m/>
    <m/>
    <s v="Break 15 Night"/>
    <d v="1899-12-30T19:30:00"/>
    <d v="1899-12-30T19:45:00"/>
    <n v="0"/>
    <x v="1"/>
  </r>
  <r>
    <x v="0"/>
    <s v="Egypt"/>
    <x v="3"/>
    <x v="19"/>
    <x v="19"/>
    <m/>
    <m/>
    <s v="Break 30 Night"/>
    <d v="1899-12-30T21:45:00"/>
    <d v="1899-12-30T22:15:00"/>
    <n v="0"/>
    <x v="1"/>
  </r>
  <r>
    <x v="0"/>
    <s v="Egypt"/>
    <x v="3"/>
    <x v="19"/>
    <x v="19"/>
    <d v="2025-06-25T00:00:00"/>
    <d v="1899-12-30T08:15:00"/>
    <s v="Non Telecom"/>
    <d v="1899-12-30T16:15:00"/>
    <s v="+12:30 AM"/>
    <n v="29700"/>
    <x v="0"/>
  </r>
  <r>
    <x v="0"/>
    <s v="Egypt"/>
    <x v="3"/>
    <x v="19"/>
    <x v="19"/>
    <m/>
    <m/>
    <s v="No Swap"/>
    <d v="1899-12-30T16:45:00"/>
    <d v="1899-12-30T17:00:00"/>
    <n v="0"/>
    <x v="1"/>
  </r>
  <r>
    <x v="0"/>
    <s v="Egypt"/>
    <x v="3"/>
    <x v="19"/>
    <x v="19"/>
    <m/>
    <m/>
    <s v="Break 15 Night"/>
    <d v="1899-12-30T19:15:00"/>
    <d v="1899-12-30T19:30:00"/>
    <n v="0"/>
    <x v="1"/>
  </r>
  <r>
    <x v="0"/>
    <s v="Egypt"/>
    <x v="3"/>
    <x v="19"/>
    <x v="19"/>
    <m/>
    <m/>
    <s v="Break 30 Night"/>
    <d v="1899-12-30T22:00:00"/>
    <d v="1899-12-30T22:30:00"/>
    <n v="0"/>
    <x v="1"/>
  </r>
  <r>
    <x v="0"/>
    <s v="Egypt"/>
    <x v="3"/>
    <x v="19"/>
    <x v="19"/>
    <d v="2025-06-26T00:00:00"/>
    <d v="1899-12-30T08:15:00"/>
    <s v="Non Telecom"/>
    <d v="1899-12-30T16:15:00"/>
    <s v="+12:30 AM"/>
    <n v="29700"/>
    <x v="0"/>
  </r>
  <r>
    <x v="0"/>
    <s v="Egypt"/>
    <x v="3"/>
    <x v="19"/>
    <x v="19"/>
    <m/>
    <m/>
    <s v="No Swap"/>
    <d v="1899-12-30T16:30:00"/>
    <d v="1899-12-30T16:45:00"/>
    <n v="0"/>
    <x v="1"/>
  </r>
  <r>
    <x v="0"/>
    <s v="Egypt"/>
    <x v="3"/>
    <x v="19"/>
    <x v="19"/>
    <m/>
    <m/>
    <s v="Break 15 Night"/>
    <d v="1899-12-30T19:00:00"/>
    <d v="1899-12-30T19:15:00"/>
    <n v="0"/>
    <x v="1"/>
  </r>
  <r>
    <x v="0"/>
    <s v="Egypt"/>
    <x v="3"/>
    <x v="19"/>
    <x v="19"/>
    <m/>
    <m/>
    <s v="Break 30 Night"/>
    <d v="1899-12-30T22:00:00"/>
    <d v="1899-12-30T22:30:00"/>
    <n v="0"/>
    <x v="1"/>
  </r>
  <r>
    <x v="0"/>
    <s v="Egypt"/>
    <x v="3"/>
    <x v="19"/>
    <x v="19"/>
    <d v="2025-06-27T00:00:00"/>
    <d v="1899-12-30T08:15:00"/>
    <s v="Non Telecom"/>
    <d v="1899-12-30T16:15:00"/>
    <s v="+12:30 AM"/>
    <n v="29700"/>
    <x v="0"/>
  </r>
  <r>
    <x v="0"/>
    <s v="Egypt"/>
    <x v="3"/>
    <x v="19"/>
    <x v="19"/>
    <m/>
    <m/>
    <s v="No Swap"/>
    <d v="1899-12-30T16:30:00"/>
    <d v="1899-12-30T16:45:00"/>
    <n v="0"/>
    <x v="1"/>
  </r>
  <r>
    <x v="0"/>
    <s v="Egypt"/>
    <x v="3"/>
    <x v="19"/>
    <x v="19"/>
    <m/>
    <m/>
    <s v="Break 15 Night"/>
    <d v="1899-12-30T19:15:00"/>
    <d v="1899-12-30T19:30:00"/>
    <n v="0"/>
    <x v="1"/>
  </r>
  <r>
    <x v="0"/>
    <s v="Egypt"/>
    <x v="3"/>
    <x v="19"/>
    <x v="19"/>
    <m/>
    <m/>
    <s v="Break 30 Night"/>
    <d v="1899-12-30T22:15:00"/>
    <d v="1899-12-30T22:45:00"/>
    <n v="0"/>
    <x v="1"/>
  </r>
  <r>
    <x v="0"/>
    <s v="Egypt"/>
    <x v="3"/>
    <x v="19"/>
    <x v="19"/>
    <d v="2025-06-28T00:00:00"/>
    <d v="1899-12-30T08:00:00"/>
    <s v="Non Reserved Annual"/>
    <d v="1899-12-30T09:15:00"/>
    <d v="1899-12-30T17:15:00"/>
    <n v="28800"/>
    <x v="1"/>
  </r>
  <r>
    <x v="0"/>
    <s v="Egypt"/>
    <x v="3"/>
    <x v="19"/>
    <x v="19"/>
    <m/>
    <m/>
    <s v="Non Reserved Annual"/>
    <d v="1899-12-30T09:15:00"/>
    <d v="1899-12-30T17:15:00"/>
    <n v="0"/>
    <x v="1"/>
  </r>
  <r>
    <x v="0"/>
    <s v="Egypt"/>
    <x v="3"/>
    <x v="19"/>
    <x v="19"/>
    <d v="2025-06-29T00:00:00"/>
    <m/>
    <s v="Day Off"/>
    <m/>
    <m/>
    <n v="0"/>
    <x v="1"/>
  </r>
  <r>
    <x v="0"/>
    <s v="Egypt"/>
    <x v="3"/>
    <x v="19"/>
    <x v="19"/>
    <d v="2025-06-30T00:00:00"/>
    <d v="1899-12-30T08:15:00"/>
    <s v="Non Telecom"/>
    <d v="1899-12-30T13:00:00"/>
    <d v="1899-12-30T21:15:00"/>
    <n v="29700"/>
    <x v="0"/>
  </r>
  <r>
    <x v="0"/>
    <s v="Egypt"/>
    <x v="3"/>
    <x v="19"/>
    <x v="19"/>
    <m/>
    <m/>
    <s v="Break 15 Morning"/>
    <d v="1899-12-30T15:30:00"/>
    <d v="1899-12-30T15:45:00"/>
    <n v="0"/>
    <x v="1"/>
  </r>
  <r>
    <x v="0"/>
    <s v="Egypt"/>
    <x v="3"/>
    <x v="19"/>
    <x v="19"/>
    <m/>
    <m/>
    <s v="Break 30 Morning"/>
    <d v="1899-12-30T18:30:00"/>
    <d v="1899-12-30T19:00:00"/>
    <n v="0"/>
    <x v="1"/>
  </r>
  <r>
    <x v="0"/>
    <s v="Egypt"/>
    <x v="4"/>
    <x v="20"/>
    <x v="20"/>
    <d v="2025-06-01T00:00:00"/>
    <d v="1899-12-30T08:15:00"/>
    <s v="Planned Task"/>
    <m/>
    <m/>
    <n v="29700"/>
    <x v="1"/>
  </r>
  <r>
    <x v="0"/>
    <s v="Egypt"/>
    <x v="4"/>
    <x v="20"/>
    <x v="20"/>
    <d v="2025-06-02T00:00:00"/>
    <d v="1899-12-30T08:15:00"/>
    <s v="Planned Task"/>
    <m/>
    <m/>
    <n v="29700"/>
    <x v="1"/>
  </r>
  <r>
    <x v="0"/>
    <s v="Egypt"/>
    <x v="4"/>
    <x v="20"/>
    <x v="20"/>
    <d v="2025-06-03T00:00:00"/>
    <d v="1899-12-30T08:15:00"/>
    <s v="Planned Task"/>
    <m/>
    <m/>
    <n v="29700"/>
    <x v="1"/>
  </r>
  <r>
    <x v="0"/>
    <s v="Egypt"/>
    <x v="4"/>
    <x v="20"/>
    <x v="20"/>
    <d v="2025-06-04T00:00:00"/>
    <d v="1899-12-30T08:15:00"/>
    <s v="Planned Task"/>
    <m/>
    <m/>
    <n v="29700"/>
    <x v="1"/>
  </r>
  <r>
    <x v="0"/>
    <s v="Egypt"/>
    <x v="4"/>
    <x v="20"/>
    <x v="20"/>
    <d v="2025-06-05T00:00:00"/>
    <d v="1899-12-30T08:15:00"/>
    <s v="Planned Task"/>
    <m/>
    <m/>
    <n v="29700"/>
    <x v="1"/>
  </r>
  <r>
    <x v="0"/>
    <s v="Egypt"/>
    <x v="4"/>
    <x v="20"/>
    <x v="20"/>
    <d v="2025-06-06T00:00:00"/>
    <d v="1899-12-30T08:15:00"/>
    <s v="Planned Task"/>
    <m/>
    <m/>
    <n v="29700"/>
    <x v="1"/>
  </r>
  <r>
    <x v="0"/>
    <s v="Egypt"/>
    <x v="4"/>
    <x v="20"/>
    <x v="20"/>
    <d v="2025-06-07T00:00:00"/>
    <d v="1899-12-30T08:15:00"/>
    <s v="Planned Task"/>
    <m/>
    <m/>
    <n v="29700"/>
    <x v="1"/>
  </r>
  <r>
    <x v="0"/>
    <s v="Egypt"/>
    <x v="4"/>
    <x v="20"/>
    <x v="20"/>
    <d v="2025-06-08T00:00:00"/>
    <d v="1899-12-30T08:15:00"/>
    <s v="Planned Task"/>
    <m/>
    <m/>
    <n v="29700"/>
    <x v="1"/>
  </r>
  <r>
    <x v="0"/>
    <s v="Egypt"/>
    <x v="4"/>
    <x v="20"/>
    <x v="20"/>
    <d v="2025-06-09T00:00:00"/>
    <d v="1899-12-30T08:15:00"/>
    <s v="Planned Task"/>
    <m/>
    <m/>
    <n v="29700"/>
    <x v="1"/>
  </r>
  <r>
    <x v="0"/>
    <s v="Egypt"/>
    <x v="4"/>
    <x v="20"/>
    <x v="20"/>
    <d v="2025-06-10T00:00:00"/>
    <d v="1899-12-30T08:15:00"/>
    <s v="Planned Task"/>
    <m/>
    <m/>
    <n v="29700"/>
    <x v="1"/>
  </r>
  <r>
    <x v="0"/>
    <s v="Egypt"/>
    <x v="4"/>
    <x v="20"/>
    <x v="20"/>
    <d v="2025-06-11T00:00:00"/>
    <d v="1899-12-30T08:15:00"/>
    <s v="Planned Task"/>
    <m/>
    <m/>
    <n v="29700"/>
    <x v="1"/>
  </r>
  <r>
    <x v="0"/>
    <s v="Egypt"/>
    <x v="4"/>
    <x v="20"/>
    <x v="20"/>
    <d v="2025-06-12T00:00:00"/>
    <d v="1899-12-30T08:15:00"/>
    <s v="Planned Task"/>
    <m/>
    <m/>
    <n v="29700"/>
    <x v="1"/>
  </r>
  <r>
    <x v="0"/>
    <s v="Egypt"/>
    <x v="4"/>
    <x v="20"/>
    <x v="20"/>
    <d v="2025-06-13T00:00:00"/>
    <d v="1899-12-30T08:15:00"/>
    <s v="Planned Task"/>
    <m/>
    <m/>
    <n v="29700"/>
    <x v="1"/>
  </r>
  <r>
    <x v="0"/>
    <s v="Egypt"/>
    <x v="4"/>
    <x v="20"/>
    <x v="20"/>
    <d v="2025-06-14T00:00:00"/>
    <d v="1899-12-30T08:15:00"/>
    <s v="Planned Task"/>
    <m/>
    <m/>
    <n v="29700"/>
    <x v="1"/>
  </r>
  <r>
    <x v="0"/>
    <s v="Egypt"/>
    <x v="4"/>
    <x v="20"/>
    <x v="20"/>
    <d v="2025-06-15T00:00:00"/>
    <d v="1899-12-30T08:15:00"/>
    <s v="Planned Task"/>
    <m/>
    <m/>
    <n v="29700"/>
    <x v="1"/>
  </r>
  <r>
    <x v="0"/>
    <s v="Egypt"/>
    <x v="4"/>
    <x v="20"/>
    <x v="20"/>
    <d v="2025-06-16T00:00:00"/>
    <d v="1899-12-30T08:15:00"/>
    <s v="Planned Task"/>
    <m/>
    <m/>
    <n v="29700"/>
    <x v="1"/>
  </r>
  <r>
    <x v="0"/>
    <s v="Egypt"/>
    <x v="4"/>
    <x v="20"/>
    <x v="20"/>
    <d v="2025-06-17T00:00:00"/>
    <d v="1899-12-30T08:15:00"/>
    <s v="Planned Task"/>
    <m/>
    <m/>
    <n v="29700"/>
    <x v="1"/>
  </r>
  <r>
    <x v="0"/>
    <s v="Egypt"/>
    <x v="4"/>
    <x v="20"/>
    <x v="20"/>
    <d v="2025-06-18T00:00:00"/>
    <d v="1899-12-30T08:15:00"/>
    <s v="Planned Task"/>
    <m/>
    <m/>
    <n v="29700"/>
    <x v="1"/>
  </r>
  <r>
    <x v="0"/>
    <s v="Egypt"/>
    <x v="4"/>
    <x v="20"/>
    <x v="20"/>
    <d v="2025-06-19T00:00:00"/>
    <d v="1899-12-30T08:15:00"/>
    <s v="Planned Task"/>
    <m/>
    <m/>
    <n v="29700"/>
    <x v="1"/>
  </r>
  <r>
    <x v="0"/>
    <s v="Egypt"/>
    <x v="4"/>
    <x v="20"/>
    <x v="20"/>
    <d v="2025-06-20T00:00:00"/>
    <d v="1899-12-30T08:15:00"/>
    <s v="Planned Task"/>
    <m/>
    <m/>
    <n v="29700"/>
    <x v="1"/>
  </r>
  <r>
    <x v="0"/>
    <s v="Egypt"/>
    <x v="4"/>
    <x v="20"/>
    <x v="20"/>
    <d v="2025-06-21T00:00:00"/>
    <d v="1899-12-30T08:15:00"/>
    <s v="Planned Task"/>
    <m/>
    <m/>
    <n v="29700"/>
    <x v="1"/>
  </r>
  <r>
    <x v="0"/>
    <s v="Egypt"/>
    <x v="4"/>
    <x v="20"/>
    <x v="20"/>
    <d v="2025-06-22T00:00:00"/>
    <d v="1899-12-30T08:15:00"/>
    <s v="Planned Task"/>
    <m/>
    <m/>
    <n v="29700"/>
    <x v="1"/>
  </r>
  <r>
    <x v="0"/>
    <s v="Egypt"/>
    <x v="4"/>
    <x v="20"/>
    <x v="20"/>
    <d v="2025-06-23T00:00:00"/>
    <d v="1899-12-30T08:15:00"/>
    <s v="Planned Task"/>
    <m/>
    <m/>
    <n v="29700"/>
    <x v="1"/>
  </r>
  <r>
    <x v="0"/>
    <s v="Egypt"/>
    <x v="4"/>
    <x v="20"/>
    <x v="20"/>
    <d v="2025-06-24T00:00:00"/>
    <d v="1899-12-30T08:15:00"/>
    <s v="Planned Task"/>
    <m/>
    <m/>
    <n v="29700"/>
    <x v="1"/>
  </r>
  <r>
    <x v="0"/>
    <s v="Egypt"/>
    <x v="4"/>
    <x v="20"/>
    <x v="20"/>
    <d v="2025-06-25T00:00:00"/>
    <d v="1899-12-30T08:15:00"/>
    <s v="Planned Task"/>
    <m/>
    <m/>
    <n v="29700"/>
    <x v="1"/>
  </r>
  <r>
    <x v="0"/>
    <s v="Egypt"/>
    <x v="4"/>
    <x v="20"/>
    <x v="20"/>
    <d v="2025-06-26T00:00:00"/>
    <d v="1899-12-30T08:15:00"/>
    <s v="Planned Task"/>
    <m/>
    <m/>
    <n v="29700"/>
    <x v="1"/>
  </r>
  <r>
    <x v="0"/>
    <s v="Egypt"/>
    <x v="4"/>
    <x v="20"/>
    <x v="20"/>
    <d v="2025-06-27T00:00:00"/>
    <d v="1899-12-30T08:15:00"/>
    <s v="Planned Task"/>
    <m/>
    <m/>
    <n v="29700"/>
    <x v="1"/>
  </r>
  <r>
    <x v="0"/>
    <s v="Egypt"/>
    <x v="4"/>
    <x v="20"/>
    <x v="20"/>
    <d v="2025-06-28T00:00:00"/>
    <d v="1899-12-30T08:15:00"/>
    <s v="Planned Task"/>
    <m/>
    <m/>
    <n v="29700"/>
    <x v="1"/>
  </r>
  <r>
    <x v="0"/>
    <s v="Egypt"/>
    <x v="4"/>
    <x v="20"/>
    <x v="20"/>
    <d v="2025-06-29T00:00:00"/>
    <d v="1899-12-30T08:15:00"/>
    <s v="Planned Task"/>
    <m/>
    <m/>
    <n v="29700"/>
    <x v="1"/>
  </r>
  <r>
    <x v="0"/>
    <s v="Egypt"/>
    <x v="4"/>
    <x v="20"/>
    <x v="20"/>
    <d v="2025-06-30T00:00:00"/>
    <d v="1899-12-30T08:15:00"/>
    <s v="Planned Task"/>
    <m/>
    <m/>
    <n v="29700"/>
    <x v="1"/>
  </r>
  <r>
    <x v="0"/>
    <s v="Egypt"/>
    <x v="4"/>
    <x v="21"/>
    <x v="21"/>
    <d v="2025-06-01T00:00:00"/>
    <d v="1899-12-30T07:15:00"/>
    <s v="Planned Task"/>
    <m/>
    <m/>
    <n v="26100"/>
    <x v="1"/>
  </r>
  <r>
    <x v="0"/>
    <s v="Egypt"/>
    <x v="4"/>
    <x v="21"/>
    <x v="21"/>
    <d v="2025-06-02T00:00:00"/>
    <d v="1899-12-30T07:15:00"/>
    <s v="Planned Task"/>
    <m/>
    <m/>
    <n v="26100"/>
    <x v="1"/>
  </r>
  <r>
    <x v="0"/>
    <s v="Egypt"/>
    <x v="4"/>
    <x v="21"/>
    <x v="21"/>
    <d v="2025-06-03T00:00:00"/>
    <d v="1899-12-30T07:15:00"/>
    <s v="Planned Task"/>
    <m/>
    <m/>
    <n v="26100"/>
    <x v="1"/>
  </r>
  <r>
    <x v="0"/>
    <s v="Egypt"/>
    <x v="4"/>
    <x v="21"/>
    <x v="21"/>
    <d v="2025-06-04T00:00:00"/>
    <d v="1899-12-30T07:15:00"/>
    <s v="Planned Task"/>
    <m/>
    <m/>
    <n v="26100"/>
    <x v="1"/>
  </r>
  <r>
    <x v="0"/>
    <s v="Egypt"/>
    <x v="4"/>
    <x v="21"/>
    <x v="21"/>
    <d v="2025-06-05T00:00:00"/>
    <d v="1899-12-30T07:15:00"/>
    <s v="Planned Task"/>
    <m/>
    <m/>
    <n v="26100"/>
    <x v="1"/>
  </r>
  <r>
    <x v="0"/>
    <s v="Egypt"/>
    <x v="4"/>
    <x v="21"/>
    <x v="21"/>
    <d v="2025-06-06T00:00:00"/>
    <d v="1899-12-30T07:15:00"/>
    <s v="Planned Task"/>
    <m/>
    <m/>
    <n v="26100"/>
    <x v="1"/>
  </r>
  <r>
    <x v="0"/>
    <s v="Egypt"/>
    <x v="4"/>
    <x v="21"/>
    <x v="21"/>
    <d v="2025-06-07T00:00:00"/>
    <d v="1899-12-30T07:15:00"/>
    <s v="Planned Task"/>
    <m/>
    <m/>
    <n v="26100"/>
    <x v="1"/>
  </r>
  <r>
    <x v="0"/>
    <s v="Egypt"/>
    <x v="4"/>
    <x v="21"/>
    <x v="21"/>
    <d v="2025-06-08T00:00:00"/>
    <d v="1899-12-30T07:15:00"/>
    <s v="Planned Task"/>
    <m/>
    <m/>
    <n v="26100"/>
    <x v="1"/>
  </r>
  <r>
    <x v="0"/>
    <s v="Egypt"/>
    <x v="4"/>
    <x v="21"/>
    <x v="21"/>
    <d v="2025-06-09T00:00:00"/>
    <d v="1899-12-30T07:15:00"/>
    <s v="Planned Task"/>
    <m/>
    <m/>
    <n v="26100"/>
    <x v="1"/>
  </r>
  <r>
    <x v="0"/>
    <s v="Egypt"/>
    <x v="4"/>
    <x v="21"/>
    <x v="21"/>
    <d v="2025-06-10T00:00:00"/>
    <d v="1899-12-30T07:15:00"/>
    <s v="Planned Task"/>
    <m/>
    <m/>
    <n v="26100"/>
    <x v="1"/>
  </r>
  <r>
    <x v="0"/>
    <s v="Egypt"/>
    <x v="4"/>
    <x v="21"/>
    <x v="21"/>
    <d v="2025-06-11T00:00:00"/>
    <d v="1899-12-30T07:15:00"/>
    <s v="Planned Task"/>
    <m/>
    <m/>
    <n v="26100"/>
    <x v="1"/>
  </r>
  <r>
    <x v="0"/>
    <s v="Egypt"/>
    <x v="4"/>
    <x v="21"/>
    <x v="21"/>
    <d v="2025-06-12T00:00:00"/>
    <d v="1899-12-30T07:15:00"/>
    <s v="Planned Task"/>
    <m/>
    <m/>
    <n v="26100"/>
    <x v="1"/>
  </r>
  <r>
    <x v="0"/>
    <s v="Egypt"/>
    <x v="4"/>
    <x v="21"/>
    <x v="21"/>
    <d v="2025-06-13T00:00:00"/>
    <d v="1899-12-30T07:15:00"/>
    <s v="Planned Task"/>
    <m/>
    <m/>
    <n v="26100"/>
    <x v="1"/>
  </r>
  <r>
    <x v="0"/>
    <s v="Egypt"/>
    <x v="4"/>
    <x v="21"/>
    <x v="21"/>
    <d v="2025-06-14T00:00:00"/>
    <d v="1899-12-30T07:15:00"/>
    <s v="Planned Task"/>
    <m/>
    <m/>
    <n v="26100"/>
    <x v="1"/>
  </r>
  <r>
    <x v="0"/>
    <s v="Egypt"/>
    <x v="4"/>
    <x v="21"/>
    <x v="21"/>
    <d v="2025-06-15T00:00:00"/>
    <d v="1899-12-30T07:15:00"/>
    <s v="Planned Task"/>
    <m/>
    <m/>
    <n v="26100"/>
    <x v="1"/>
  </r>
  <r>
    <x v="0"/>
    <s v="Egypt"/>
    <x v="4"/>
    <x v="21"/>
    <x v="21"/>
    <d v="2025-06-16T00:00:00"/>
    <d v="1899-12-30T07:15:00"/>
    <s v="Planned Task"/>
    <m/>
    <m/>
    <n v="26100"/>
    <x v="1"/>
  </r>
  <r>
    <x v="0"/>
    <s v="Egypt"/>
    <x v="4"/>
    <x v="21"/>
    <x v="21"/>
    <d v="2025-06-17T00:00:00"/>
    <d v="1899-12-30T07:15:00"/>
    <s v="Planned Task"/>
    <m/>
    <m/>
    <n v="26100"/>
    <x v="1"/>
  </r>
  <r>
    <x v="0"/>
    <s v="Egypt"/>
    <x v="4"/>
    <x v="21"/>
    <x v="21"/>
    <d v="2025-06-18T00:00:00"/>
    <d v="1899-12-30T07:15:00"/>
    <s v="Planned Task"/>
    <m/>
    <m/>
    <n v="26100"/>
    <x v="1"/>
  </r>
  <r>
    <x v="0"/>
    <s v="Egypt"/>
    <x v="4"/>
    <x v="21"/>
    <x v="21"/>
    <d v="2025-06-19T00:00:00"/>
    <d v="1899-12-30T07:15:00"/>
    <s v="Planned Task"/>
    <m/>
    <m/>
    <n v="26100"/>
    <x v="1"/>
  </r>
  <r>
    <x v="0"/>
    <s v="Egypt"/>
    <x v="4"/>
    <x v="21"/>
    <x v="21"/>
    <d v="2025-06-20T00:00:00"/>
    <d v="1899-12-30T07:15:00"/>
    <s v="Planned Task"/>
    <m/>
    <m/>
    <n v="26100"/>
    <x v="1"/>
  </r>
  <r>
    <x v="0"/>
    <s v="Egypt"/>
    <x v="4"/>
    <x v="21"/>
    <x v="21"/>
    <d v="2025-06-21T00:00:00"/>
    <d v="1899-12-30T07:15:00"/>
    <s v="Planned Task"/>
    <m/>
    <m/>
    <n v="26100"/>
    <x v="1"/>
  </r>
  <r>
    <x v="0"/>
    <s v="Egypt"/>
    <x v="4"/>
    <x v="21"/>
    <x v="21"/>
    <d v="2025-06-22T00:00:00"/>
    <d v="1899-12-30T07:15:00"/>
    <s v="Planned Task"/>
    <m/>
    <m/>
    <n v="26100"/>
    <x v="1"/>
  </r>
  <r>
    <x v="0"/>
    <s v="Egypt"/>
    <x v="4"/>
    <x v="21"/>
    <x v="21"/>
    <d v="2025-06-23T00:00:00"/>
    <d v="1899-12-30T07:15:00"/>
    <s v="Planned Task"/>
    <m/>
    <m/>
    <n v="26100"/>
    <x v="1"/>
  </r>
  <r>
    <x v="0"/>
    <s v="Egypt"/>
    <x v="4"/>
    <x v="21"/>
    <x v="21"/>
    <d v="2025-06-24T00:00:00"/>
    <d v="1899-12-30T07:15:00"/>
    <s v="Planned Task"/>
    <m/>
    <m/>
    <n v="26100"/>
    <x v="1"/>
  </r>
  <r>
    <x v="0"/>
    <s v="Egypt"/>
    <x v="4"/>
    <x v="21"/>
    <x v="21"/>
    <d v="2025-06-25T00:00:00"/>
    <d v="1899-12-30T07:15:00"/>
    <s v="Planned Task"/>
    <m/>
    <m/>
    <n v="26100"/>
    <x v="1"/>
  </r>
  <r>
    <x v="0"/>
    <s v="Egypt"/>
    <x v="4"/>
    <x v="21"/>
    <x v="21"/>
    <d v="2025-06-26T00:00:00"/>
    <d v="1899-12-30T07:15:00"/>
    <s v="Planned Task"/>
    <m/>
    <m/>
    <n v="26100"/>
    <x v="1"/>
  </r>
  <r>
    <x v="0"/>
    <s v="Egypt"/>
    <x v="4"/>
    <x v="21"/>
    <x v="21"/>
    <d v="2025-06-27T00:00:00"/>
    <d v="1899-12-30T07:15:00"/>
    <s v="Planned Task"/>
    <m/>
    <m/>
    <n v="26100"/>
    <x v="1"/>
  </r>
  <r>
    <x v="0"/>
    <s v="Egypt"/>
    <x v="4"/>
    <x v="21"/>
    <x v="21"/>
    <d v="2025-06-28T00:00:00"/>
    <d v="1899-12-30T07:15:00"/>
    <s v="Planned Task"/>
    <m/>
    <m/>
    <n v="26100"/>
    <x v="1"/>
  </r>
  <r>
    <x v="0"/>
    <s v="Egypt"/>
    <x v="4"/>
    <x v="21"/>
    <x v="21"/>
    <d v="2025-06-29T00:00:00"/>
    <d v="1899-12-30T07:15:00"/>
    <s v="Planned Task"/>
    <m/>
    <m/>
    <n v="26100"/>
    <x v="1"/>
  </r>
  <r>
    <x v="0"/>
    <s v="Egypt"/>
    <x v="4"/>
    <x v="21"/>
    <x v="21"/>
    <d v="2025-06-30T00:00:00"/>
    <d v="1899-12-30T07:15:00"/>
    <s v="Planned Task"/>
    <m/>
    <m/>
    <n v="26100"/>
    <x v="1"/>
  </r>
  <r>
    <x v="0"/>
    <s v="Egypt"/>
    <x v="4"/>
    <x v="22"/>
    <x v="22"/>
    <d v="2025-06-01T00:00:00"/>
    <m/>
    <s v="Day Off"/>
    <m/>
    <m/>
    <n v="0"/>
    <x v="1"/>
  </r>
  <r>
    <x v="0"/>
    <s v="Egypt"/>
    <x v="4"/>
    <x v="22"/>
    <x v="22"/>
    <d v="2025-06-02T00:00:00"/>
    <m/>
    <s v="Day Off"/>
    <m/>
    <m/>
    <n v="0"/>
    <x v="1"/>
  </r>
  <r>
    <x v="0"/>
    <s v="Egypt"/>
    <x v="4"/>
    <x v="22"/>
    <x v="22"/>
    <d v="2025-06-03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30:00"/>
    <d v="1899-12-30T12:45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04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00:00"/>
    <d v="1899-12-30T12:15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05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15:00"/>
    <d v="1899-12-30T12:30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06T00:00:00"/>
    <d v="1899-12-30T08:15:00"/>
    <s v="Public holiday"/>
    <m/>
    <m/>
    <n v="29700"/>
    <x v="1"/>
  </r>
  <r>
    <x v="0"/>
    <s v="Egypt"/>
    <x v="4"/>
    <x v="22"/>
    <x v="22"/>
    <d v="2025-06-07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1:30:00"/>
    <d v="1899-12-30T11:45:00"/>
    <n v="0"/>
    <x v="1"/>
  </r>
  <r>
    <x v="0"/>
    <s v="Egypt"/>
    <x v="4"/>
    <x v="22"/>
    <x v="22"/>
    <m/>
    <m/>
    <s v="Break 30 Morning"/>
    <d v="1899-12-30T15:00:00"/>
    <d v="1899-12-30T15:30:00"/>
    <n v="0"/>
    <x v="1"/>
  </r>
  <r>
    <x v="0"/>
    <s v="Egypt"/>
    <x v="4"/>
    <x v="22"/>
    <x v="22"/>
    <d v="2025-06-08T00:00:00"/>
    <m/>
    <s v="Day Off"/>
    <m/>
    <m/>
    <n v="0"/>
    <x v="1"/>
  </r>
  <r>
    <x v="0"/>
    <s v="Egypt"/>
    <x v="4"/>
    <x v="22"/>
    <x v="22"/>
    <d v="2025-06-09T00:00:00"/>
    <m/>
    <s v="Day Off"/>
    <m/>
    <m/>
    <n v="0"/>
    <x v="1"/>
  </r>
  <r>
    <x v="0"/>
    <s v="Egypt"/>
    <x v="4"/>
    <x v="22"/>
    <x v="22"/>
    <d v="2025-06-10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1:45:00"/>
    <d v="1899-12-30T12:00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11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1:45:00"/>
    <d v="1899-12-30T12:00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12T00:00:00"/>
    <d v="1899-12-30T07:15:00"/>
    <s v="Annual Exception"/>
    <m/>
    <m/>
    <n v="26100"/>
    <x v="1"/>
  </r>
  <r>
    <x v="0"/>
    <s v="Egypt"/>
    <x v="4"/>
    <x v="22"/>
    <x v="22"/>
    <d v="2025-06-13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1:45:00"/>
    <d v="1899-12-30T12:00:00"/>
    <n v="0"/>
    <x v="1"/>
  </r>
  <r>
    <x v="0"/>
    <s v="Egypt"/>
    <x v="4"/>
    <x v="22"/>
    <x v="22"/>
    <m/>
    <m/>
    <s v="Break 30 Morning"/>
    <d v="1899-12-30T14:30:00"/>
    <d v="1899-12-30T15:00:00"/>
    <n v="0"/>
    <x v="1"/>
  </r>
  <r>
    <x v="0"/>
    <s v="Egypt"/>
    <x v="4"/>
    <x v="22"/>
    <x v="22"/>
    <d v="2025-06-14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15:00"/>
    <d v="1899-12-30T12:30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15T00:00:00"/>
    <m/>
    <s v="Day Off"/>
    <m/>
    <m/>
    <n v="0"/>
    <x v="1"/>
  </r>
  <r>
    <x v="0"/>
    <s v="Egypt"/>
    <x v="4"/>
    <x v="22"/>
    <x v="22"/>
    <d v="2025-06-16T00:00:00"/>
    <m/>
    <s v="Day Off"/>
    <m/>
    <m/>
    <n v="0"/>
    <x v="1"/>
  </r>
  <r>
    <x v="0"/>
    <s v="Egypt"/>
    <x v="4"/>
    <x v="22"/>
    <x v="22"/>
    <d v="2025-06-17T00:00:00"/>
    <d v="1899-12-30T09:15:00"/>
    <s v="Non Telecom"/>
    <d v="1899-12-30T09:00:00"/>
    <d v="1899-12-30T18:15:00"/>
    <n v="33300"/>
    <x v="0"/>
  </r>
  <r>
    <x v="0"/>
    <s v="Egypt"/>
    <x v="4"/>
    <x v="22"/>
    <x v="22"/>
    <m/>
    <m/>
    <s v="Shift Move"/>
    <d v="1899-12-30T09:00:00"/>
    <d v="1899-12-30T10:00:00"/>
    <n v="0"/>
    <x v="1"/>
  </r>
  <r>
    <x v="0"/>
    <s v="Egypt"/>
    <x v="4"/>
    <x v="22"/>
    <x v="22"/>
    <m/>
    <m/>
    <s v="Break 15 Morning"/>
    <d v="1899-12-30T11:45:00"/>
    <d v="1899-12-30T12:00:00"/>
    <n v="0"/>
    <x v="1"/>
  </r>
  <r>
    <x v="0"/>
    <s v="Egypt"/>
    <x v="4"/>
    <x v="22"/>
    <x v="22"/>
    <m/>
    <m/>
    <s v="Break 30 Morning"/>
    <d v="1899-12-30T14:30:00"/>
    <d v="1899-12-30T15:00:00"/>
    <n v="0"/>
    <x v="1"/>
  </r>
  <r>
    <x v="0"/>
    <s v="Egypt"/>
    <x v="4"/>
    <x v="22"/>
    <x v="22"/>
    <m/>
    <m/>
    <s v="Baby Hour"/>
    <d v="1899-12-30T17:15:00"/>
    <d v="1899-12-30T18:15:00"/>
    <n v="0"/>
    <x v="1"/>
  </r>
  <r>
    <x v="0"/>
    <s v="Egypt"/>
    <x v="4"/>
    <x v="22"/>
    <x v="22"/>
    <d v="2025-06-18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00:00"/>
    <d v="1899-12-30T12:15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19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15:00"/>
    <d v="1899-12-30T12:30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20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1:45:00"/>
    <d v="1899-12-30T12:00:00"/>
    <n v="0"/>
    <x v="1"/>
  </r>
  <r>
    <x v="0"/>
    <s v="Egypt"/>
    <x v="4"/>
    <x v="22"/>
    <x v="22"/>
    <m/>
    <m/>
    <s v="Break 30 Morning"/>
    <d v="1899-12-30T14:15:00"/>
    <d v="1899-12-30T14:45:00"/>
    <n v="0"/>
    <x v="1"/>
  </r>
  <r>
    <x v="0"/>
    <s v="Egypt"/>
    <x v="4"/>
    <x v="22"/>
    <x v="22"/>
    <d v="2025-06-21T00:00:00"/>
    <d v="1899-12-30T08:15:00"/>
    <s v="Non Telecom"/>
    <d v="1899-12-30T09:00:00"/>
    <d v="1899-12-30T17:15:00"/>
    <n v="29700"/>
    <x v="0"/>
  </r>
  <r>
    <x v="0"/>
    <s v="Egypt"/>
    <x v="4"/>
    <x v="22"/>
    <x v="22"/>
    <m/>
    <m/>
    <s v="Shift Move"/>
    <d v="1899-12-30T09:00:00"/>
    <d v="1899-12-30T10:15:00"/>
    <n v="0"/>
    <x v="1"/>
  </r>
  <r>
    <x v="0"/>
    <s v="Egypt"/>
    <x v="4"/>
    <x v="22"/>
    <x v="22"/>
    <m/>
    <m/>
    <s v="Break 15 Morning"/>
    <d v="1899-12-30T12:01:00"/>
    <d v="1899-12-30T12:16:00"/>
    <n v="0"/>
    <x v="1"/>
  </r>
  <r>
    <x v="0"/>
    <s v="Egypt"/>
    <x v="4"/>
    <x v="22"/>
    <x v="22"/>
    <m/>
    <m/>
    <s v="Break 30 Morning"/>
    <d v="1899-12-30T14:30:00"/>
    <d v="1899-12-30T15:00:00"/>
    <n v="0"/>
    <x v="1"/>
  </r>
  <r>
    <x v="0"/>
    <s v="Egypt"/>
    <x v="4"/>
    <x v="22"/>
    <x v="22"/>
    <m/>
    <m/>
    <s v="Baby Hour"/>
    <d v="1899-12-30T16:15:00"/>
    <d v="1899-12-30T17:15:00"/>
    <n v="0"/>
    <x v="1"/>
  </r>
  <r>
    <x v="0"/>
    <s v="Egypt"/>
    <x v="4"/>
    <x v="22"/>
    <x v="22"/>
    <d v="2025-06-22T00:00:00"/>
    <m/>
    <s v="Day Off"/>
    <m/>
    <m/>
    <n v="0"/>
    <x v="1"/>
  </r>
  <r>
    <x v="0"/>
    <s v="Egypt"/>
    <x v="4"/>
    <x v="22"/>
    <x v="22"/>
    <d v="2025-06-23T00:00:00"/>
    <m/>
    <s v="Day Off"/>
    <m/>
    <m/>
    <n v="0"/>
    <x v="1"/>
  </r>
  <r>
    <x v="0"/>
    <s v="Egypt"/>
    <x v="4"/>
    <x v="22"/>
    <x v="22"/>
    <d v="2025-06-24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00:00"/>
    <d v="1899-12-30T12:15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25T00:00:00"/>
    <d v="1899-12-30T07:15:00"/>
    <s v="Non Telecom"/>
    <d v="1899-12-30T09:00:00"/>
    <d v="1899-12-30T16:15:00"/>
    <n v="26100"/>
    <x v="0"/>
  </r>
  <r>
    <x v="0"/>
    <s v="Egypt"/>
    <x v="4"/>
    <x v="22"/>
    <x v="22"/>
    <m/>
    <m/>
    <s v="Break 15 Morning"/>
    <d v="1899-12-30T12:00:00"/>
    <d v="1899-12-30T12:15:00"/>
    <n v="0"/>
    <x v="1"/>
  </r>
  <r>
    <x v="0"/>
    <s v="Egypt"/>
    <x v="4"/>
    <x v="22"/>
    <x v="22"/>
    <m/>
    <m/>
    <s v="Break 30 Morning"/>
    <d v="1899-12-30T14:45:00"/>
    <d v="1899-12-30T15:15:00"/>
    <n v="0"/>
    <x v="1"/>
  </r>
  <r>
    <x v="0"/>
    <s v="Egypt"/>
    <x v="4"/>
    <x v="22"/>
    <x v="22"/>
    <d v="2025-06-26T00:00:00"/>
    <d v="1899-12-30T07:15:00"/>
    <s v="Public holiday"/>
    <m/>
    <m/>
    <n v="26100"/>
    <x v="1"/>
  </r>
  <r>
    <x v="0"/>
    <s v="Egypt"/>
    <x v="4"/>
    <x v="22"/>
    <x v="22"/>
    <d v="2025-06-27T00:00:00"/>
    <m/>
    <s v="Day Off"/>
    <m/>
    <m/>
    <n v="0"/>
    <x v="1"/>
  </r>
  <r>
    <x v="0"/>
    <s v="Egypt"/>
    <x v="4"/>
    <x v="22"/>
    <x v="22"/>
    <d v="2025-06-28T00:00:00"/>
    <d v="1899-12-30T08:15:00"/>
    <s v="Non Telecom"/>
    <d v="1899-12-30T09:00:00"/>
    <d v="1899-12-30T17:15:00"/>
    <n v="29700"/>
    <x v="0"/>
  </r>
  <r>
    <x v="0"/>
    <s v="Egypt"/>
    <x v="4"/>
    <x v="22"/>
    <x v="22"/>
    <m/>
    <m/>
    <s v="Break 15 Morning"/>
    <d v="1899-12-30T10:00:00"/>
    <d v="1899-12-30T10:15:00"/>
    <n v="0"/>
    <x v="1"/>
  </r>
  <r>
    <x v="0"/>
    <s v="Egypt"/>
    <x v="4"/>
    <x v="22"/>
    <x v="22"/>
    <m/>
    <m/>
    <s v="Break 30 Morning"/>
    <d v="1899-12-30T12:30:00"/>
    <d v="1899-12-30T13:00:00"/>
    <n v="0"/>
    <x v="1"/>
  </r>
  <r>
    <x v="0"/>
    <s v="Egypt"/>
    <x v="4"/>
    <x v="22"/>
    <x v="22"/>
    <d v="2025-06-29T00:00:00"/>
    <d v="1899-12-30T09:15:00"/>
    <s v="Non Telecom"/>
    <d v="1899-12-30T08:00:00"/>
    <d v="1899-12-30T17:15:00"/>
    <n v="33300"/>
    <x v="0"/>
  </r>
  <r>
    <x v="0"/>
    <s v="Egypt"/>
    <x v="4"/>
    <x v="22"/>
    <x v="22"/>
    <m/>
    <m/>
    <s v="Shift Move"/>
    <d v="1899-12-30T08:00:00"/>
    <d v="1899-12-30T09:00:00"/>
    <n v="0"/>
    <x v="1"/>
  </r>
  <r>
    <x v="0"/>
    <s v="Egypt"/>
    <x v="4"/>
    <x v="22"/>
    <x v="22"/>
    <m/>
    <m/>
    <s v="Break 15 Morning"/>
    <d v="1899-12-30T11:30:00"/>
    <d v="1899-12-30T11:45:00"/>
    <n v="0"/>
    <x v="1"/>
  </r>
  <r>
    <x v="0"/>
    <s v="Egypt"/>
    <x v="4"/>
    <x v="22"/>
    <x v="22"/>
    <m/>
    <m/>
    <s v="Break 30 Morning"/>
    <d v="1899-12-30T14:30:00"/>
    <d v="1899-12-30T15:00:00"/>
    <n v="0"/>
    <x v="1"/>
  </r>
  <r>
    <x v="0"/>
    <s v="Egypt"/>
    <x v="4"/>
    <x v="22"/>
    <x v="22"/>
    <m/>
    <m/>
    <s v="Baby Hour"/>
    <d v="1899-12-30T16:15:00"/>
    <d v="1899-12-30T17:15:00"/>
    <n v="0"/>
    <x v="1"/>
  </r>
  <r>
    <x v="0"/>
    <s v="Egypt"/>
    <x v="4"/>
    <x v="22"/>
    <x v="22"/>
    <d v="2025-06-30T00:00:00"/>
    <m/>
    <s v="Day Off"/>
    <m/>
    <m/>
    <n v="0"/>
    <x v="1"/>
  </r>
  <r>
    <x v="0"/>
    <s v="Egypt"/>
    <x v="5"/>
    <x v="23"/>
    <x v="23"/>
    <d v="2025-06-01T00:00:00"/>
    <m/>
    <s v="Day Off"/>
    <m/>
    <m/>
    <n v="0"/>
    <x v="1"/>
  </r>
  <r>
    <x v="0"/>
    <s v="Egypt"/>
    <x v="5"/>
    <x v="23"/>
    <x v="23"/>
    <d v="2025-06-02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00:00"/>
    <d v="1899-12-30T10:15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03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15:00"/>
    <d v="1899-12-30T10:30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04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15:00"/>
    <d v="1899-12-30T10:30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05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30:00"/>
    <d v="1899-12-30T10:45:00"/>
    <n v="0"/>
    <x v="1"/>
  </r>
  <r>
    <x v="0"/>
    <s v="Egypt"/>
    <x v="5"/>
    <x v="23"/>
    <x v="23"/>
    <m/>
    <m/>
    <s v="Break 30 Morning"/>
    <d v="1899-12-30T13:45:00"/>
    <d v="1899-12-30T14:15:00"/>
    <n v="0"/>
    <x v="1"/>
  </r>
  <r>
    <x v="0"/>
    <s v="Egypt"/>
    <x v="5"/>
    <x v="23"/>
    <x v="23"/>
    <d v="2025-06-06T00:00:00"/>
    <d v="1899-12-30T08:15:00"/>
    <s v="Public holiday"/>
    <m/>
    <m/>
    <n v="29700"/>
    <x v="1"/>
  </r>
  <r>
    <x v="0"/>
    <s v="Egypt"/>
    <x v="5"/>
    <x v="23"/>
    <x v="23"/>
    <d v="2025-06-07T00:00:00"/>
    <m/>
    <s v="Day Off"/>
    <m/>
    <m/>
    <n v="0"/>
    <x v="1"/>
  </r>
  <r>
    <x v="0"/>
    <s v="Egypt"/>
    <x v="5"/>
    <x v="23"/>
    <x v="23"/>
    <d v="2025-06-08T00:00:00"/>
    <d v="1899-12-30T08:15:00"/>
    <s v="Non Telecom"/>
    <d v="1899-12-30T09:00:00"/>
    <d v="1899-12-30T17:15:00"/>
    <n v="29700"/>
    <x v="0"/>
  </r>
  <r>
    <x v="0"/>
    <s v="Egypt"/>
    <x v="5"/>
    <x v="23"/>
    <x v="23"/>
    <m/>
    <m/>
    <s v="Break 15 Morning"/>
    <d v="1899-12-30T12:15:00"/>
    <d v="1899-12-30T12:30:00"/>
    <n v="0"/>
    <x v="1"/>
  </r>
  <r>
    <x v="0"/>
    <s v="Egypt"/>
    <x v="5"/>
    <x v="23"/>
    <x v="23"/>
    <m/>
    <m/>
    <s v="Break 30 Morning"/>
    <d v="1899-12-30T15:15:00"/>
    <d v="1899-12-30T15:45:00"/>
    <n v="0"/>
    <x v="1"/>
  </r>
  <r>
    <x v="0"/>
    <s v="Egypt"/>
    <x v="5"/>
    <x v="23"/>
    <x v="23"/>
    <d v="2025-06-09T00:00:00"/>
    <m/>
    <s v="Day Off"/>
    <m/>
    <m/>
    <n v="0"/>
    <x v="1"/>
  </r>
  <r>
    <x v="0"/>
    <s v="Egypt"/>
    <x v="5"/>
    <x v="23"/>
    <x v="23"/>
    <d v="2025-06-10T00:00:00"/>
    <m/>
    <s v="Day Off"/>
    <m/>
    <m/>
    <n v="0"/>
    <x v="1"/>
  </r>
  <r>
    <x v="0"/>
    <s v="Egypt"/>
    <x v="5"/>
    <x v="23"/>
    <x v="23"/>
    <d v="2025-06-11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00:00"/>
    <d v="1899-12-30T10:15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12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00:00"/>
    <d v="1899-12-30T10:15:00"/>
    <n v="0"/>
    <x v="1"/>
  </r>
  <r>
    <x v="0"/>
    <s v="Egypt"/>
    <x v="5"/>
    <x v="23"/>
    <x v="23"/>
    <m/>
    <m/>
    <s v="Break 30 Morning"/>
    <d v="1899-12-30T12:45:00"/>
    <d v="1899-12-30T13:15:00"/>
    <n v="0"/>
    <x v="1"/>
  </r>
  <r>
    <x v="0"/>
    <s v="Egypt"/>
    <x v="5"/>
    <x v="23"/>
    <x v="23"/>
    <d v="2025-06-13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09:30:00"/>
    <d v="1899-12-30T09:45:00"/>
    <n v="0"/>
    <x v="1"/>
  </r>
  <r>
    <x v="0"/>
    <s v="Egypt"/>
    <x v="5"/>
    <x v="23"/>
    <x v="23"/>
    <m/>
    <m/>
    <s v="Break 30 Morning"/>
    <d v="1899-12-30T13:00:00"/>
    <d v="1899-12-30T13:30:00"/>
    <n v="0"/>
    <x v="1"/>
  </r>
  <r>
    <x v="0"/>
    <s v="Egypt"/>
    <x v="5"/>
    <x v="23"/>
    <x v="23"/>
    <d v="2025-06-14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15:00"/>
    <d v="1899-12-30T10:30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15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15:00"/>
    <d v="1899-12-30T10:30:00"/>
    <n v="0"/>
    <x v="1"/>
  </r>
  <r>
    <x v="0"/>
    <s v="Egypt"/>
    <x v="5"/>
    <x v="23"/>
    <x v="23"/>
    <m/>
    <m/>
    <s v="Break 30 Morning"/>
    <d v="1899-12-30T13:15:00"/>
    <d v="1899-12-30T13:45:00"/>
    <n v="0"/>
    <x v="1"/>
  </r>
  <r>
    <x v="0"/>
    <s v="Egypt"/>
    <x v="5"/>
    <x v="23"/>
    <x v="23"/>
    <d v="2025-06-16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00:00"/>
    <d v="1899-12-30T10:15:00"/>
    <n v="0"/>
    <x v="1"/>
  </r>
  <r>
    <x v="0"/>
    <s v="Egypt"/>
    <x v="5"/>
    <x v="23"/>
    <x v="23"/>
    <m/>
    <m/>
    <s v="Break 30 Morning"/>
    <d v="1899-12-30T12:45:00"/>
    <d v="1899-12-30T13:15:00"/>
    <n v="0"/>
    <x v="1"/>
  </r>
  <r>
    <x v="0"/>
    <s v="Egypt"/>
    <x v="5"/>
    <x v="23"/>
    <x v="23"/>
    <d v="2025-06-17T00:00:00"/>
    <m/>
    <s v="Day Off"/>
    <m/>
    <m/>
    <n v="0"/>
    <x v="1"/>
  </r>
  <r>
    <x v="0"/>
    <s v="Egypt"/>
    <x v="5"/>
    <x v="23"/>
    <x v="23"/>
    <d v="2025-06-18T00:00:00"/>
    <m/>
    <s v="Day Off"/>
    <m/>
    <m/>
    <n v="0"/>
    <x v="1"/>
  </r>
  <r>
    <x v="0"/>
    <s v="Egypt"/>
    <x v="5"/>
    <x v="23"/>
    <x v="23"/>
    <d v="2025-06-19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10:00:00"/>
    <d v="1899-12-30T10:15:00"/>
    <n v="0"/>
    <x v="1"/>
  </r>
  <r>
    <x v="0"/>
    <s v="Egypt"/>
    <x v="5"/>
    <x v="23"/>
    <x v="23"/>
    <m/>
    <m/>
    <s v="Break 30 Morning"/>
    <d v="1899-12-30T12:45:00"/>
    <d v="1899-12-30T13:15:00"/>
    <n v="0"/>
    <x v="1"/>
  </r>
  <r>
    <x v="0"/>
    <s v="Egypt"/>
    <x v="5"/>
    <x v="23"/>
    <x v="23"/>
    <d v="2025-06-20T00:00:00"/>
    <d v="1899-12-30T08:15:00"/>
    <s v="Non Telecom"/>
    <d v="1899-12-30T08:00:00"/>
    <d v="1899-12-30T16:15:00"/>
    <n v="29700"/>
    <x v="0"/>
  </r>
  <r>
    <x v="0"/>
    <s v="Egypt"/>
    <x v="5"/>
    <x v="23"/>
    <x v="23"/>
    <m/>
    <m/>
    <s v="Break 15 Morning"/>
    <d v="1899-12-30T09:30:00"/>
    <d v="1899-12-30T09:45:00"/>
    <n v="0"/>
    <x v="1"/>
  </r>
  <r>
    <x v="0"/>
    <s v="Egypt"/>
    <x v="5"/>
    <x v="23"/>
    <x v="23"/>
    <m/>
    <m/>
    <s v="Break 30 Morning"/>
    <d v="1899-12-30T12:45:00"/>
    <d v="1899-12-30T13:15:00"/>
    <n v="0"/>
    <x v="1"/>
  </r>
  <r>
    <x v="0"/>
    <s v="Egypt"/>
    <x v="5"/>
    <x v="23"/>
    <x v="23"/>
    <d v="2025-06-21T00:00:00"/>
    <d v="1899-12-30T08:15:00"/>
    <s v="Annual Exception"/>
    <m/>
    <m/>
    <n v="29700"/>
    <x v="1"/>
  </r>
  <r>
    <x v="0"/>
    <s v="Egypt"/>
    <x v="5"/>
    <x v="23"/>
    <x v="23"/>
    <d v="2025-06-22T00:00:00"/>
    <m/>
    <s v="Day Off"/>
    <m/>
    <m/>
    <n v="0"/>
    <x v="1"/>
  </r>
  <r>
    <x v="0"/>
    <s v="Egypt"/>
    <x v="5"/>
    <x v="23"/>
    <x v="23"/>
    <d v="2025-06-23T00:00:00"/>
    <d v="1899-12-30T08:15:00"/>
    <s v="Annual Exception"/>
    <m/>
    <m/>
    <n v="29700"/>
    <x v="1"/>
  </r>
  <r>
    <x v="0"/>
    <s v="Egypt"/>
    <x v="5"/>
    <x v="23"/>
    <x v="23"/>
    <d v="2025-06-24T00:00:00"/>
    <d v="1899-12-30T00:00:00"/>
    <s v="Loan"/>
    <m/>
    <m/>
    <n v="0"/>
    <x v="1"/>
  </r>
  <r>
    <x v="0"/>
    <s v="Egypt"/>
    <x v="5"/>
    <x v="23"/>
    <x v="23"/>
    <d v="2025-06-25T00:00:00"/>
    <d v="1899-12-30T00:00:00"/>
    <s v="Loan"/>
    <m/>
    <m/>
    <n v="0"/>
    <x v="1"/>
  </r>
  <r>
    <x v="0"/>
    <s v="Egypt"/>
    <x v="5"/>
    <x v="23"/>
    <x v="23"/>
    <d v="2025-06-26T00:00:00"/>
    <d v="1899-12-30T00:00:00"/>
    <s v="Loan"/>
    <m/>
    <m/>
    <n v="0"/>
    <x v="1"/>
  </r>
  <r>
    <x v="0"/>
    <s v="Egypt"/>
    <x v="5"/>
    <x v="23"/>
    <x v="23"/>
    <d v="2025-06-27T00:00:00"/>
    <d v="1899-12-30T00:00:00"/>
    <s v="Loan"/>
    <m/>
    <m/>
    <n v="0"/>
    <x v="1"/>
  </r>
  <r>
    <x v="0"/>
    <s v="Egypt"/>
    <x v="5"/>
    <x v="23"/>
    <x v="23"/>
    <d v="2025-06-28T00:00:00"/>
    <m/>
    <s v="Day Off"/>
    <m/>
    <m/>
    <n v="0"/>
    <x v="1"/>
  </r>
  <r>
    <x v="0"/>
    <s v="Egypt"/>
    <x v="5"/>
    <x v="23"/>
    <x v="23"/>
    <d v="2025-06-29T00:00:00"/>
    <d v="1899-12-30T00:00:00"/>
    <s v="Loan"/>
    <m/>
    <m/>
    <n v="0"/>
    <x v="1"/>
  </r>
  <r>
    <x v="0"/>
    <s v="Egypt"/>
    <x v="5"/>
    <x v="23"/>
    <x v="23"/>
    <d v="2025-06-30T00:00:00"/>
    <d v="1899-12-30T00:00:00"/>
    <s v="Loan"/>
    <m/>
    <m/>
    <n v="0"/>
    <x v="1"/>
  </r>
  <r>
    <x v="0"/>
    <s v="Egypt"/>
    <x v="6"/>
    <x v="24"/>
    <x v="24"/>
    <d v="2025-06-01T00:00:00"/>
    <d v="1899-12-30T08:15:00"/>
    <s v="Non Telecom"/>
    <d v="1899-12-30T13:00:00"/>
    <d v="1899-12-30T21:15:00"/>
    <n v="29700"/>
    <x v="0"/>
  </r>
  <r>
    <x v="0"/>
    <s v="Egypt"/>
    <x v="6"/>
    <x v="24"/>
    <x v="24"/>
    <m/>
    <m/>
    <s v="Break 15 Morning"/>
    <d v="1899-12-30T15:00:00"/>
    <d v="1899-12-30T15:15:00"/>
    <n v="0"/>
    <x v="1"/>
  </r>
  <r>
    <x v="0"/>
    <s v="Egypt"/>
    <x v="6"/>
    <x v="24"/>
    <x v="24"/>
    <m/>
    <m/>
    <s v="Break 30 Morning"/>
    <d v="1899-12-30T18:30:00"/>
    <d v="1899-12-30T19:00:00"/>
    <n v="0"/>
    <x v="1"/>
  </r>
  <r>
    <x v="0"/>
    <s v="Egypt"/>
    <x v="6"/>
    <x v="24"/>
    <x v="24"/>
    <d v="2025-06-02T00:00:00"/>
    <m/>
    <s v="Day Off"/>
    <m/>
    <m/>
    <n v="0"/>
    <x v="1"/>
  </r>
  <r>
    <x v="0"/>
    <s v="Egypt"/>
    <x v="6"/>
    <x v="24"/>
    <x v="24"/>
    <d v="2025-06-03T00:00:00"/>
    <m/>
    <s v="Day Off"/>
    <m/>
    <m/>
    <n v="0"/>
    <x v="1"/>
  </r>
  <r>
    <x v="0"/>
    <s v="Egypt"/>
    <x v="6"/>
    <x v="24"/>
    <x v="24"/>
    <d v="2025-06-04T00:00:00"/>
    <d v="1899-12-30T08:15:00"/>
    <s v="Non Telecom"/>
    <d v="1899-12-30T13:00:00"/>
    <d v="1899-12-30T21:15:00"/>
    <n v="29700"/>
    <x v="0"/>
  </r>
  <r>
    <x v="0"/>
    <s v="Egypt"/>
    <x v="6"/>
    <x v="24"/>
    <x v="24"/>
    <m/>
    <m/>
    <s v="Break 15 Morning"/>
    <d v="1899-12-30T14:30:00"/>
    <d v="1899-12-30T14:45:00"/>
    <n v="0"/>
    <x v="1"/>
  </r>
  <r>
    <x v="0"/>
    <s v="Egypt"/>
    <x v="6"/>
    <x v="24"/>
    <x v="24"/>
    <m/>
    <m/>
    <s v="Break 30 Morning"/>
    <d v="1899-12-30T17:30:00"/>
    <d v="1899-12-30T18:00:00"/>
    <n v="0"/>
    <x v="1"/>
  </r>
  <r>
    <x v="0"/>
    <s v="Egypt"/>
    <x v="6"/>
    <x v="24"/>
    <x v="24"/>
    <m/>
    <m/>
    <s v="Leave Early"/>
    <d v="1899-12-30T19:15:00"/>
    <d v="1899-12-30T21:15:00"/>
    <n v="0"/>
    <x v="1"/>
  </r>
  <r>
    <x v="0"/>
    <s v="Egypt"/>
    <x v="6"/>
    <x v="24"/>
    <x v="24"/>
    <d v="2025-06-05T00:00:00"/>
    <d v="1899-12-30T08:15:00"/>
    <s v="Non Telecom"/>
    <d v="1899-12-30T13:00:00"/>
    <d v="1899-12-30T21:15:00"/>
    <n v="29700"/>
    <x v="0"/>
  </r>
  <r>
    <x v="0"/>
    <s v="Egypt"/>
    <x v="6"/>
    <x v="24"/>
    <x v="24"/>
    <m/>
    <m/>
    <s v="Break 15 Morning"/>
    <d v="1899-12-30T14:45:00"/>
    <d v="1899-12-30T15:00:00"/>
    <n v="0"/>
    <x v="1"/>
  </r>
  <r>
    <x v="0"/>
    <s v="Egypt"/>
    <x v="6"/>
    <x v="24"/>
    <x v="24"/>
    <m/>
    <m/>
    <s v="Break 30 Morning"/>
    <d v="1899-12-30T17:45:00"/>
    <d v="1899-12-30T18:15:00"/>
    <n v="0"/>
    <x v="1"/>
  </r>
  <r>
    <x v="0"/>
    <s v="Egypt"/>
    <x v="6"/>
    <x v="24"/>
    <x v="24"/>
    <d v="2025-06-06T00:00:00"/>
    <d v="1899-12-30T08:15:00"/>
    <s v="Non Telecom"/>
    <d v="1899-12-30T16:15:00"/>
    <s v="+12:30 AM"/>
    <n v="29700"/>
    <x v="0"/>
  </r>
  <r>
    <x v="0"/>
    <s v="Egypt"/>
    <x v="6"/>
    <x v="24"/>
    <x v="24"/>
    <m/>
    <m/>
    <s v="Break 15 Night"/>
    <d v="1899-12-30T17:15:00"/>
    <d v="1899-12-30T17:30:00"/>
    <n v="0"/>
    <x v="1"/>
  </r>
  <r>
    <x v="0"/>
    <s v="Egypt"/>
    <x v="6"/>
    <x v="24"/>
    <x v="24"/>
    <m/>
    <m/>
    <s v="Break 30 Night"/>
    <d v="1899-12-30T20:30:00"/>
    <d v="1899-12-30T21:00:00"/>
    <n v="0"/>
    <x v="1"/>
  </r>
  <r>
    <x v="0"/>
    <s v="Egypt"/>
    <x v="6"/>
    <x v="24"/>
    <x v="24"/>
    <d v="2025-06-07T00:00:00"/>
    <d v="1899-12-30T08:15:00"/>
    <s v="Non Telecom"/>
    <d v="1899-12-30T16:15:00"/>
    <s v="+12:30 AM"/>
    <n v="29700"/>
    <x v="0"/>
  </r>
  <r>
    <x v="0"/>
    <s v="Egypt"/>
    <x v="6"/>
    <x v="24"/>
    <x v="24"/>
    <m/>
    <m/>
    <s v="Break 15 Night"/>
    <d v="1899-12-30T17:15:00"/>
    <d v="1899-12-30T17:30:00"/>
    <n v="0"/>
    <x v="1"/>
  </r>
  <r>
    <x v="0"/>
    <s v="Egypt"/>
    <x v="6"/>
    <x v="24"/>
    <x v="24"/>
    <m/>
    <m/>
    <s v="Break 30 Night"/>
    <d v="1899-12-30T20:30:00"/>
    <d v="1899-12-30T21:00:00"/>
    <n v="0"/>
    <x v="1"/>
  </r>
  <r>
    <x v="0"/>
    <s v="Egypt"/>
    <x v="6"/>
    <x v="24"/>
    <x v="24"/>
    <d v="2025-06-08T00:00:00"/>
    <m/>
    <s v="Day Off"/>
    <m/>
    <m/>
    <n v="0"/>
    <x v="1"/>
  </r>
  <r>
    <x v="0"/>
    <s v="Egypt"/>
    <x v="6"/>
    <x v="24"/>
    <x v="24"/>
    <d v="2025-06-09T00:00:00"/>
    <m/>
    <s v="Day Off"/>
    <m/>
    <m/>
    <n v="0"/>
    <x v="1"/>
  </r>
  <r>
    <x v="0"/>
    <s v="Egypt"/>
    <x v="6"/>
    <x v="24"/>
    <x v="24"/>
    <d v="2025-06-10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0:45:00"/>
    <d v="1899-12-30T21:00:00"/>
    <n v="0"/>
    <x v="1"/>
  </r>
  <r>
    <x v="0"/>
    <s v="Egypt"/>
    <x v="6"/>
    <x v="24"/>
    <x v="24"/>
    <m/>
    <m/>
    <s v="Break 30 Night"/>
    <s v="+12:00 AM"/>
    <s v="+12:30 AM"/>
    <n v="0"/>
    <x v="1"/>
  </r>
  <r>
    <x v="0"/>
    <s v="Egypt"/>
    <x v="6"/>
    <x v="24"/>
    <x v="24"/>
    <d v="2025-06-11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0:45:00"/>
    <d v="1899-12-30T21:00:00"/>
    <n v="0"/>
    <x v="1"/>
  </r>
  <r>
    <x v="0"/>
    <s v="Egypt"/>
    <x v="6"/>
    <x v="24"/>
    <x v="24"/>
    <m/>
    <m/>
    <s v="Break 30 Night"/>
    <d v="1899-12-30T23:30:00"/>
    <s v="+12:00 AM"/>
    <n v="0"/>
    <x v="1"/>
  </r>
  <r>
    <x v="0"/>
    <s v="Egypt"/>
    <x v="6"/>
    <x v="24"/>
    <x v="24"/>
    <d v="2025-06-12T00:00:00"/>
    <d v="1899-12-30T08:15:00"/>
    <s v="Non Telecom"/>
    <d v="1899-12-30T16:15:00"/>
    <s v="+12:30 AM"/>
    <n v="29700"/>
    <x v="0"/>
  </r>
  <r>
    <x v="0"/>
    <s v="Egypt"/>
    <x v="6"/>
    <x v="24"/>
    <x v="24"/>
    <m/>
    <m/>
    <s v="Break 15 Night"/>
    <d v="1899-12-30T17:30:00"/>
    <d v="1899-12-30T17:45:00"/>
    <n v="0"/>
    <x v="1"/>
  </r>
  <r>
    <x v="0"/>
    <s v="Egypt"/>
    <x v="6"/>
    <x v="24"/>
    <x v="24"/>
    <m/>
    <m/>
    <s v="Break 30 Night"/>
    <d v="1899-12-30T20:30:00"/>
    <d v="1899-12-30T21:00:00"/>
    <n v="0"/>
    <x v="1"/>
  </r>
  <r>
    <x v="0"/>
    <s v="Egypt"/>
    <x v="6"/>
    <x v="24"/>
    <x v="24"/>
    <d v="2025-06-13T00:00:00"/>
    <d v="1899-12-30T08:15:00"/>
    <s v="Non Telecom"/>
    <d v="1899-12-30T16:15:00"/>
    <s v="+12:30 AM"/>
    <n v="29700"/>
    <x v="0"/>
  </r>
  <r>
    <x v="0"/>
    <s v="Egypt"/>
    <x v="6"/>
    <x v="24"/>
    <x v="24"/>
    <m/>
    <m/>
    <s v="Break 15 Night"/>
    <d v="1899-12-30T18:30:00"/>
    <d v="1899-12-30T18:45:00"/>
    <n v="0"/>
    <x v="1"/>
  </r>
  <r>
    <x v="0"/>
    <s v="Egypt"/>
    <x v="6"/>
    <x v="24"/>
    <x v="24"/>
    <m/>
    <m/>
    <s v="Break 30 Night"/>
    <d v="1899-12-30T21:30:00"/>
    <d v="1899-12-30T22:00:00"/>
    <n v="0"/>
    <x v="1"/>
  </r>
  <r>
    <x v="0"/>
    <s v="Egypt"/>
    <x v="6"/>
    <x v="24"/>
    <x v="24"/>
    <d v="2025-06-14T00:00:00"/>
    <d v="1899-12-30T08:15:00"/>
    <s v="Non Telecom"/>
    <d v="1899-12-30T16:15:00"/>
    <s v="+12:30 AM"/>
    <n v="29700"/>
    <x v="0"/>
  </r>
  <r>
    <x v="0"/>
    <s v="Egypt"/>
    <x v="6"/>
    <x v="24"/>
    <x v="24"/>
    <m/>
    <m/>
    <s v="Break 15 Night"/>
    <d v="1899-12-30T18:30:00"/>
    <d v="1899-12-30T18:45:00"/>
    <n v="0"/>
    <x v="1"/>
  </r>
  <r>
    <x v="0"/>
    <s v="Egypt"/>
    <x v="6"/>
    <x v="24"/>
    <x v="24"/>
    <m/>
    <m/>
    <s v="Break 30 Night"/>
    <d v="1899-12-30T21:30:00"/>
    <d v="1899-12-30T22:00:00"/>
    <n v="0"/>
    <x v="1"/>
  </r>
  <r>
    <x v="0"/>
    <s v="Egypt"/>
    <x v="6"/>
    <x v="24"/>
    <x v="24"/>
    <d v="2025-06-15T00:00:00"/>
    <m/>
    <s v="Day Off"/>
    <m/>
    <m/>
    <n v="0"/>
    <x v="1"/>
  </r>
  <r>
    <x v="0"/>
    <s v="Egypt"/>
    <x v="6"/>
    <x v="24"/>
    <x v="24"/>
    <d v="2025-06-16T00:00:00"/>
    <d v="1899-12-30T08:15:00"/>
    <s v="Annual Exception"/>
    <m/>
    <m/>
    <n v="29700"/>
    <x v="1"/>
  </r>
  <r>
    <x v="0"/>
    <s v="Egypt"/>
    <x v="6"/>
    <x v="24"/>
    <x v="24"/>
    <d v="2025-06-17T00:00:00"/>
    <d v="1899-12-30T08:15:00"/>
    <s v="Non Telecom"/>
    <d v="1899-12-30T17:15:00"/>
    <s v="+1:30 AM"/>
    <n v="29700"/>
    <x v="0"/>
  </r>
  <r>
    <x v="0"/>
    <s v="Egypt"/>
    <x v="6"/>
    <x v="24"/>
    <x v="24"/>
    <m/>
    <m/>
    <s v="Break 15 Night"/>
    <d v="1899-12-30T19:15:00"/>
    <d v="1899-12-30T19:30:00"/>
    <n v="0"/>
    <x v="1"/>
  </r>
  <r>
    <x v="0"/>
    <s v="Egypt"/>
    <x v="6"/>
    <x v="24"/>
    <x v="24"/>
    <m/>
    <m/>
    <s v="Break 30 Night"/>
    <d v="1899-12-30T22:00:00"/>
    <d v="1899-12-30T22:30:00"/>
    <n v="0"/>
    <x v="1"/>
  </r>
  <r>
    <x v="0"/>
    <s v="Egypt"/>
    <x v="6"/>
    <x v="24"/>
    <x v="24"/>
    <d v="2025-06-18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1:00:00"/>
    <d v="1899-12-30T21:15:00"/>
    <n v="0"/>
    <x v="1"/>
  </r>
  <r>
    <x v="0"/>
    <s v="Egypt"/>
    <x v="6"/>
    <x v="24"/>
    <x v="24"/>
    <m/>
    <m/>
    <s v="Break 30 Night"/>
    <s v="+12:15 AM"/>
    <s v="+12:45 AM"/>
    <n v="0"/>
    <x v="1"/>
  </r>
  <r>
    <x v="0"/>
    <s v="Egypt"/>
    <x v="6"/>
    <x v="24"/>
    <x v="24"/>
    <d v="2025-06-19T00:00:00"/>
    <d v="1899-12-30T08:15:00"/>
    <s v="Non Telecom"/>
    <d v="1899-12-30T17:15:00"/>
    <s v="+1:30 AM"/>
    <n v="29700"/>
    <x v="0"/>
  </r>
  <r>
    <x v="0"/>
    <s v="Egypt"/>
    <x v="6"/>
    <x v="24"/>
    <x v="24"/>
    <m/>
    <m/>
    <s v="Break 15 Night"/>
    <d v="1899-12-30T20:15:00"/>
    <d v="1899-12-30T20:30:00"/>
    <n v="0"/>
    <x v="1"/>
  </r>
  <r>
    <x v="0"/>
    <s v="Egypt"/>
    <x v="6"/>
    <x v="24"/>
    <x v="24"/>
    <m/>
    <m/>
    <s v="Break 30 Night"/>
    <d v="1899-12-30T23:15:00"/>
    <d v="1899-12-30T23:45:00"/>
    <n v="0"/>
    <x v="1"/>
  </r>
  <r>
    <x v="0"/>
    <s v="Egypt"/>
    <x v="6"/>
    <x v="24"/>
    <x v="24"/>
    <d v="2025-06-20T00:00:00"/>
    <d v="1899-12-30T08:15:00"/>
    <s v="Annual Exception"/>
    <m/>
    <m/>
    <n v="29700"/>
    <x v="1"/>
  </r>
  <r>
    <x v="0"/>
    <s v="Egypt"/>
    <x v="6"/>
    <x v="24"/>
    <x v="24"/>
    <d v="2025-06-21T00:00:00"/>
    <m/>
    <s v="Day Off"/>
    <m/>
    <m/>
    <n v="0"/>
    <x v="1"/>
  </r>
  <r>
    <x v="0"/>
    <s v="Egypt"/>
    <x v="6"/>
    <x v="24"/>
    <x v="24"/>
    <d v="2025-06-22T00:00:00"/>
    <d v="1899-12-30T08:15:00"/>
    <s v="Non Telecom"/>
    <d v="1899-12-30T21:00:00"/>
    <s v="+5:15 AM"/>
    <n v="29700"/>
    <x v="0"/>
  </r>
  <r>
    <x v="0"/>
    <s v="Egypt"/>
    <x v="6"/>
    <x v="24"/>
    <x v="24"/>
    <m/>
    <m/>
    <s v="Break 15 Night"/>
    <d v="1899-12-30T22:30:00"/>
    <d v="1899-12-30T22:45:00"/>
    <n v="0"/>
    <x v="1"/>
  </r>
  <r>
    <x v="0"/>
    <s v="Egypt"/>
    <x v="6"/>
    <x v="24"/>
    <x v="24"/>
    <m/>
    <m/>
    <s v="Break 30 Night"/>
    <s v="+1:15 AM"/>
    <s v="+1:45 AM"/>
    <n v="0"/>
    <x v="1"/>
  </r>
  <r>
    <x v="0"/>
    <s v="Egypt"/>
    <x v="6"/>
    <x v="24"/>
    <x v="24"/>
    <d v="2025-06-23T00:00:00"/>
    <d v="1899-12-30T08:15:00"/>
    <s v="Non Telecom"/>
    <d v="1899-12-30T21:00:00"/>
    <s v="+5:15 AM"/>
    <n v="29700"/>
    <x v="0"/>
  </r>
  <r>
    <x v="0"/>
    <s v="Egypt"/>
    <x v="6"/>
    <x v="24"/>
    <x v="24"/>
    <m/>
    <m/>
    <s v="Break 15 Night"/>
    <d v="1899-12-30T22:00:00"/>
    <d v="1899-12-30T22:15:00"/>
    <n v="0"/>
    <x v="1"/>
  </r>
  <r>
    <x v="0"/>
    <s v="Egypt"/>
    <x v="6"/>
    <x v="24"/>
    <x v="24"/>
    <m/>
    <m/>
    <s v="Break 30 Night"/>
    <s v="+1:00 AM"/>
    <s v="+1:30 AM"/>
    <n v="0"/>
    <x v="1"/>
  </r>
  <r>
    <x v="0"/>
    <s v="Egypt"/>
    <x v="6"/>
    <x v="24"/>
    <x v="24"/>
    <d v="2025-06-24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1:00:00"/>
    <d v="1899-12-30T21:15:00"/>
    <n v="0"/>
    <x v="1"/>
  </r>
  <r>
    <x v="0"/>
    <s v="Egypt"/>
    <x v="6"/>
    <x v="24"/>
    <x v="24"/>
    <m/>
    <m/>
    <s v="Break 30 Night"/>
    <d v="1899-12-30T23:30:00"/>
    <s v="+12:00 AM"/>
    <n v="0"/>
    <x v="1"/>
  </r>
  <r>
    <x v="0"/>
    <s v="Egypt"/>
    <x v="6"/>
    <x v="24"/>
    <x v="24"/>
    <d v="2025-06-25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1:00:00"/>
    <d v="1899-12-30T21:15:00"/>
    <n v="0"/>
    <x v="1"/>
  </r>
  <r>
    <x v="0"/>
    <s v="Egypt"/>
    <x v="6"/>
    <x v="24"/>
    <x v="24"/>
    <m/>
    <m/>
    <s v="Break 30 Night"/>
    <s v="+12:00 AM"/>
    <s v="+12:30 AM"/>
    <n v="0"/>
    <x v="1"/>
  </r>
  <r>
    <x v="0"/>
    <s v="Egypt"/>
    <x v="6"/>
    <x v="24"/>
    <x v="24"/>
    <d v="2025-06-26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0:45:00"/>
    <d v="1899-12-30T21:00:00"/>
    <n v="0"/>
    <x v="1"/>
  </r>
  <r>
    <x v="0"/>
    <s v="Egypt"/>
    <x v="6"/>
    <x v="24"/>
    <x v="24"/>
    <m/>
    <m/>
    <s v="Break 30 Night"/>
    <s v="+12:00 AM"/>
    <s v="+12:30 AM"/>
    <n v="0"/>
    <x v="1"/>
  </r>
  <r>
    <x v="0"/>
    <s v="Egypt"/>
    <x v="6"/>
    <x v="24"/>
    <x v="24"/>
    <d v="2025-06-27T00:00:00"/>
    <m/>
    <s v="Day Off"/>
    <m/>
    <m/>
    <n v="0"/>
    <x v="1"/>
  </r>
  <r>
    <x v="0"/>
    <s v="Egypt"/>
    <x v="6"/>
    <x v="24"/>
    <x v="24"/>
    <d v="2025-06-28T00:00:00"/>
    <m/>
    <s v="Day Off"/>
    <m/>
    <m/>
    <n v="0"/>
    <x v="1"/>
  </r>
  <r>
    <x v="0"/>
    <s v="Egypt"/>
    <x v="6"/>
    <x v="24"/>
    <x v="24"/>
    <d v="2025-06-29T00:00:00"/>
    <d v="1899-12-30T08:15:00"/>
    <s v="Non Telecom"/>
    <d v="1899-12-30T13:00:00"/>
    <d v="1899-12-30T21:15:00"/>
    <n v="29700"/>
    <x v="0"/>
  </r>
  <r>
    <x v="0"/>
    <s v="Egypt"/>
    <x v="6"/>
    <x v="24"/>
    <x v="24"/>
    <m/>
    <m/>
    <s v="Break 15 Morning"/>
    <d v="1899-12-30T14:15:00"/>
    <d v="1899-12-30T14:30:00"/>
    <n v="0"/>
    <x v="1"/>
  </r>
  <r>
    <x v="0"/>
    <s v="Egypt"/>
    <x v="6"/>
    <x v="24"/>
    <x v="24"/>
    <m/>
    <m/>
    <s v="Break 30 Morning"/>
    <d v="1899-12-30T17:45:00"/>
    <d v="1899-12-30T18:15:00"/>
    <n v="0"/>
    <x v="1"/>
  </r>
  <r>
    <x v="0"/>
    <s v="Egypt"/>
    <x v="6"/>
    <x v="24"/>
    <x v="24"/>
    <d v="2025-06-30T00:00:00"/>
    <d v="1899-12-30T08:15:00"/>
    <s v="Non Telecom"/>
    <d v="1899-12-30T19:15:00"/>
    <s v="+3:30 AM"/>
    <n v="29700"/>
    <x v="0"/>
  </r>
  <r>
    <x v="0"/>
    <s v="Egypt"/>
    <x v="6"/>
    <x v="24"/>
    <x v="24"/>
    <m/>
    <m/>
    <s v="Break 15 Night"/>
    <d v="1899-12-30T22:15:00"/>
    <d v="1899-12-30T22:30:00"/>
    <n v="0"/>
    <x v="1"/>
  </r>
  <r>
    <x v="0"/>
    <s v="Egypt"/>
    <x v="6"/>
    <x v="24"/>
    <x v="24"/>
    <m/>
    <m/>
    <s v="Break 30 Night"/>
    <s v="+1:30 AM"/>
    <s v="+2:00 AM"/>
    <n v="0"/>
    <x v="1"/>
  </r>
  <r>
    <x v="0"/>
    <s v="Egypt"/>
    <x v="6"/>
    <x v="25"/>
    <x v="25"/>
    <d v="2025-06-01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15:00"/>
    <d v="1899-12-30T22:30:00"/>
    <n v="0"/>
    <x v="1"/>
  </r>
  <r>
    <x v="0"/>
    <s v="Egypt"/>
    <x v="6"/>
    <x v="25"/>
    <x v="25"/>
    <m/>
    <m/>
    <s v="Break 30 Night"/>
    <s v="+1:15 AM"/>
    <s v="+1:45 AM"/>
    <n v="0"/>
    <x v="1"/>
  </r>
  <r>
    <x v="0"/>
    <s v="Egypt"/>
    <x v="6"/>
    <x v="25"/>
    <x v="25"/>
    <d v="2025-06-02T00:00:00"/>
    <m/>
    <s v="Day Off"/>
    <m/>
    <m/>
    <n v="0"/>
    <x v="1"/>
  </r>
  <r>
    <x v="0"/>
    <s v="Egypt"/>
    <x v="6"/>
    <x v="25"/>
    <x v="25"/>
    <d v="2025-06-03T00:00:00"/>
    <m/>
    <s v="Day Off"/>
    <m/>
    <m/>
    <n v="0"/>
    <x v="1"/>
  </r>
  <r>
    <x v="0"/>
    <s v="Egypt"/>
    <x v="6"/>
    <x v="25"/>
    <x v="25"/>
    <d v="2025-06-04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30:00"/>
    <d v="1899-12-30T22:45:00"/>
    <n v="0"/>
    <x v="1"/>
  </r>
  <r>
    <x v="0"/>
    <s v="Egypt"/>
    <x v="6"/>
    <x v="25"/>
    <x v="25"/>
    <m/>
    <m/>
    <s v="Break 30 Night"/>
    <s v="+1:30 AM"/>
    <s v="+2:00 AM"/>
    <n v="0"/>
    <x v="1"/>
  </r>
  <r>
    <x v="0"/>
    <s v="Egypt"/>
    <x v="6"/>
    <x v="25"/>
    <x v="25"/>
    <d v="2025-06-05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3:15:00"/>
    <d v="1899-12-30T23:30:00"/>
    <n v="0"/>
    <x v="1"/>
  </r>
  <r>
    <x v="0"/>
    <s v="Egypt"/>
    <x v="6"/>
    <x v="25"/>
    <x v="25"/>
    <m/>
    <m/>
    <s v="Break 30 Night"/>
    <s v="+2:15 AM"/>
    <s v="+2:45 AM"/>
    <n v="0"/>
    <x v="1"/>
  </r>
  <r>
    <x v="0"/>
    <s v="Egypt"/>
    <x v="6"/>
    <x v="25"/>
    <x v="25"/>
    <d v="2025-06-06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15:00"/>
    <d v="1899-12-30T22:30:00"/>
    <n v="0"/>
    <x v="1"/>
  </r>
  <r>
    <x v="0"/>
    <s v="Egypt"/>
    <x v="6"/>
    <x v="25"/>
    <x v="25"/>
    <m/>
    <m/>
    <s v="Break 30 Night"/>
    <s v="+2:30 AM"/>
    <s v="+3:00 AM"/>
    <n v="0"/>
    <x v="1"/>
  </r>
  <r>
    <x v="0"/>
    <s v="Egypt"/>
    <x v="6"/>
    <x v="25"/>
    <x v="25"/>
    <d v="2025-06-07T00:00:00"/>
    <d v="1899-12-30T08:15:00"/>
    <s v="Non Telecom"/>
    <d v="1899-12-30T15:00:00"/>
    <d v="1899-12-30T23:15:00"/>
    <n v="29700"/>
    <x v="0"/>
  </r>
  <r>
    <x v="0"/>
    <s v="Egypt"/>
    <x v="6"/>
    <x v="25"/>
    <x v="25"/>
    <m/>
    <m/>
    <s v="Break 15 Morning"/>
    <d v="1899-12-30T17:00:00"/>
    <d v="1899-12-30T17:15:00"/>
    <n v="0"/>
    <x v="1"/>
  </r>
  <r>
    <x v="0"/>
    <s v="Egypt"/>
    <x v="6"/>
    <x v="25"/>
    <x v="25"/>
    <m/>
    <m/>
    <s v="Break 30 Morning"/>
    <d v="1899-12-30T20:00:00"/>
    <d v="1899-12-30T20:30:00"/>
    <n v="0"/>
    <x v="1"/>
  </r>
  <r>
    <x v="0"/>
    <s v="Egypt"/>
    <x v="6"/>
    <x v="25"/>
    <x v="25"/>
    <d v="2025-06-08T00:00:00"/>
    <m/>
    <s v="Day Off"/>
    <m/>
    <m/>
    <n v="0"/>
    <x v="1"/>
  </r>
  <r>
    <x v="0"/>
    <s v="Egypt"/>
    <x v="6"/>
    <x v="25"/>
    <x v="25"/>
    <d v="2025-06-09T00:00:00"/>
    <m/>
    <s v="Day Off"/>
    <m/>
    <m/>
    <n v="0"/>
    <x v="1"/>
  </r>
  <r>
    <x v="0"/>
    <s v="Egypt"/>
    <x v="6"/>
    <x v="25"/>
    <x v="25"/>
    <d v="2025-06-10T00:00:00"/>
    <d v="1899-12-30T08:15:00"/>
    <s v="Support Training"/>
    <m/>
    <m/>
    <n v="29700"/>
    <x v="1"/>
  </r>
  <r>
    <x v="0"/>
    <s v="Egypt"/>
    <x v="6"/>
    <x v="25"/>
    <x v="25"/>
    <d v="2025-06-11T00:00:00"/>
    <d v="1899-12-30T08:15:00"/>
    <s v="Support Training"/>
    <m/>
    <m/>
    <n v="29700"/>
    <x v="1"/>
  </r>
  <r>
    <x v="0"/>
    <s v="Egypt"/>
    <x v="6"/>
    <x v="25"/>
    <x v="25"/>
    <d v="2025-06-12T00:00:00"/>
    <d v="1899-12-30T08:15:00"/>
    <s v="Support Training"/>
    <m/>
    <m/>
    <n v="29700"/>
    <x v="1"/>
  </r>
  <r>
    <x v="0"/>
    <s v="Egypt"/>
    <x v="6"/>
    <x v="25"/>
    <x v="25"/>
    <d v="2025-06-13T00:00:00"/>
    <d v="1899-12-30T08:15:00"/>
    <s v="Support Training"/>
    <m/>
    <m/>
    <n v="29700"/>
    <x v="1"/>
  </r>
  <r>
    <x v="0"/>
    <s v="Egypt"/>
    <x v="6"/>
    <x v="25"/>
    <x v="25"/>
    <d v="2025-06-14T00:00:00"/>
    <d v="1899-12-30T08:15:00"/>
    <s v="Support Training"/>
    <m/>
    <m/>
    <n v="29700"/>
    <x v="1"/>
  </r>
  <r>
    <x v="0"/>
    <s v="Egypt"/>
    <x v="6"/>
    <x v="25"/>
    <x v="25"/>
    <d v="2025-06-15T00:00:00"/>
    <d v="1899-12-30T08:15:00"/>
    <s v="Support Training"/>
    <m/>
    <m/>
    <n v="29700"/>
    <x v="1"/>
  </r>
  <r>
    <x v="0"/>
    <s v="Egypt"/>
    <x v="6"/>
    <x v="25"/>
    <x v="25"/>
    <d v="2025-06-16T00:00:00"/>
    <d v="1899-12-30T08:15:00"/>
    <s v="Annual Exception"/>
    <m/>
    <m/>
    <n v="29700"/>
    <x v="1"/>
  </r>
  <r>
    <x v="0"/>
    <s v="Egypt"/>
    <x v="6"/>
    <x v="25"/>
    <x v="25"/>
    <d v="2025-06-17T00:00:00"/>
    <m/>
    <s v="Day Off"/>
    <m/>
    <m/>
    <n v="0"/>
    <x v="1"/>
  </r>
  <r>
    <x v="0"/>
    <s v="Egypt"/>
    <x v="6"/>
    <x v="25"/>
    <x v="25"/>
    <d v="2025-06-18T00:00:00"/>
    <m/>
    <s v="Day Off"/>
    <m/>
    <m/>
    <n v="0"/>
    <x v="1"/>
  </r>
  <r>
    <x v="0"/>
    <s v="Egypt"/>
    <x v="6"/>
    <x v="25"/>
    <x v="25"/>
    <d v="2025-06-19T00:00:00"/>
    <d v="1899-12-30T08:15:00"/>
    <s v="Non Telecom"/>
    <d v="1899-12-30T20:00:00"/>
    <s v="+4:15 AM"/>
    <n v="29700"/>
    <x v="0"/>
  </r>
  <r>
    <x v="0"/>
    <s v="Egypt"/>
    <x v="6"/>
    <x v="25"/>
    <x v="25"/>
    <m/>
    <m/>
    <s v="Break 15 Night"/>
    <d v="1899-12-30T22:45:00"/>
    <d v="1899-12-30T23:00:00"/>
    <n v="0"/>
    <x v="1"/>
  </r>
  <r>
    <x v="0"/>
    <s v="Egypt"/>
    <x v="6"/>
    <x v="25"/>
    <x v="25"/>
    <m/>
    <m/>
    <s v="Break 30 Night"/>
    <s v="+1:30 AM"/>
    <s v="+2:00 AM"/>
    <n v="0"/>
    <x v="1"/>
  </r>
  <r>
    <x v="0"/>
    <s v="Egypt"/>
    <x v="6"/>
    <x v="25"/>
    <x v="25"/>
    <d v="2025-06-20T00:00:00"/>
    <d v="1899-12-30T08:15:00"/>
    <s v="Non Telecom"/>
    <d v="1899-12-30T15:00:00"/>
    <d v="1899-12-30T23:15:00"/>
    <n v="29700"/>
    <x v="0"/>
  </r>
  <r>
    <x v="0"/>
    <s v="Egypt"/>
    <x v="6"/>
    <x v="25"/>
    <x v="25"/>
    <m/>
    <m/>
    <s v="Break 15 Morning"/>
    <d v="1899-12-30T17:15:00"/>
    <d v="1899-12-30T17:30:00"/>
    <n v="0"/>
    <x v="1"/>
  </r>
  <r>
    <x v="0"/>
    <s v="Egypt"/>
    <x v="6"/>
    <x v="25"/>
    <x v="25"/>
    <m/>
    <m/>
    <s v="Break 30 Morning"/>
    <d v="1899-12-30T20:15:00"/>
    <d v="1899-12-30T20:45:00"/>
    <n v="0"/>
    <x v="1"/>
  </r>
  <r>
    <x v="0"/>
    <s v="Egypt"/>
    <x v="6"/>
    <x v="25"/>
    <x v="25"/>
    <d v="2025-06-21T00:00:00"/>
    <d v="1899-12-30T08:15:00"/>
    <s v="Non Telecom"/>
    <d v="1899-12-30T20:00:00"/>
    <s v="+4:15 AM"/>
    <n v="29700"/>
    <x v="0"/>
  </r>
  <r>
    <x v="0"/>
    <s v="Egypt"/>
    <x v="6"/>
    <x v="25"/>
    <x v="25"/>
    <m/>
    <m/>
    <s v="Break 15 Night"/>
    <d v="1899-12-30T22:15:00"/>
    <d v="1899-12-30T22:30:00"/>
    <n v="0"/>
    <x v="1"/>
  </r>
  <r>
    <x v="0"/>
    <s v="Egypt"/>
    <x v="6"/>
    <x v="25"/>
    <x v="25"/>
    <m/>
    <m/>
    <s v="Break 30 Night"/>
    <s v="+1:30 AM"/>
    <s v="+2:00 AM"/>
    <n v="0"/>
    <x v="1"/>
  </r>
  <r>
    <x v="0"/>
    <s v="Egypt"/>
    <x v="6"/>
    <x v="25"/>
    <x v="25"/>
    <d v="2025-06-22T00:00:00"/>
    <m/>
    <s v="Day Off"/>
    <m/>
    <m/>
    <n v="0"/>
    <x v="1"/>
  </r>
  <r>
    <x v="0"/>
    <s v="Egypt"/>
    <x v="6"/>
    <x v="25"/>
    <x v="25"/>
    <d v="2025-06-23T00:00:00"/>
    <m/>
    <s v="Day Off"/>
    <m/>
    <m/>
    <n v="0"/>
    <x v="1"/>
  </r>
  <r>
    <x v="0"/>
    <s v="Egypt"/>
    <x v="6"/>
    <x v="25"/>
    <x v="25"/>
    <d v="2025-06-24T00:00:00"/>
    <d v="1899-12-30T08:15:00"/>
    <s v="Annual"/>
    <m/>
    <m/>
    <n v="29700"/>
    <x v="1"/>
  </r>
  <r>
    <x v="0"/>
    <s v="Egypt"/>
    <x v="6"/>
    <x v="25"/>
    <x v="25"/>
    <d v="2025-06-25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30:00"/>
    <d v="1899-12-30T22:45:00"/>
    <n v="0"/>
    <x v="1"/>
  </r>
  <r>
    <x v="0"/>
    <s v="Egypt"/>
    <x v="6"/>
    <x v="25"/>
    <x v="25"/>
    <m/>
    <m/>
    <s v="Break 30 Night"/>
    <s v="+1:30 AM"/>
    <s v="+2:00 AM"/>
    <n v="0"/>
    <x v="1"/>
  </r>
  <r>
    <x v="0"/>
    <s v="Egypt"/>
    <x v="6"/>
    <x v="25"/>
    <x v="25"/>
    <d v="2025-06-26T00:00:00"/>
    <d v="1899-12-30T08:15:00"/>
    <s v="Non Telecom"/>
    <d v="1899-12-30T19:15:00"/>
    <s v="+3:30 AM"/>
    <n v="29700"/>
    <x v="0"/>
  </r>
  <r>
    <x v="0"/>
    <s v="Egypt"/>
    <x v="6"/>
    <x v="25"/>
    <x v="25"/>
    <m/>
    <m/>
    <s v="Break 15 Night"/>
    <d v="1899-12-30T21:00:00"/>
    <d v="1899-12-30T21:15:00"/>
    <n v="0"/>
    <x v="1"/>
  </r>
  <r>
    <x v="0"/>
    <s v="Egypt"/>
    <x v="6"/>
    <x v="25"/>
    <x v="25"/>
    <m/>
    <m/>
    <s v="Break 30 Night"/>
    <s v="+12:00 AM"/>
    <s v="+12:30 AM"/>
    <n v="0"/>
    <x v="1"/>
  </r>
  <r>
    <x v="0"/>
    <s v="Egypt"/>
    <x v="6"/>
    <x v="25"/>
    <x v="25"/>
    <d v="2025-06-27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30:00"/>
    <d v="1899-12-30T22:45:00"/>
    <n v="0"/>
    <x v="1"/>
  </r>
  <r>
    <x v="0"/>
    <s v="Egypt"/>
    <x v="6"/>
    <x v="25"/>
    <x v="25"/>
    <m/>
    <m/>
    <s v="Break 30 Night"/>
    <s v="+1:15 AM"/>
    <s v="+1:45 AM"/>
    <n v="0"/>
    <x v="1"/>
  </r>
  <r>
    <x v="0"/>
    <s v="Egypt"/>
    <x v="6"/>
    <x v="25"/>
    <x v="25"/>
    <d v="2025-06-28T00:00:00"/>
    <d v="1899-12-30T08:15:00"/>
    <s v="Non Telecom"/>
    <d v="1899-12-30T19:15:00"/>
    <s v="+3:30 AM"/>
    <n v="29700"/>
    <x v="0"/>
  </r>
  <r>
    <x v="0"/>
    <s v="Egypt"/>
    <x v="6"/>
    <x v="25"/>
    <x v="25"/>
    <m/>
    <m/>
    <s v="Break 15 Night"/>
    <d v="1899-12-30T21:15:00"/>
    <d v="1899-12-30T21:30:00"/>
    <n v="0"/>
    <x v="1"/>
  </r>
  <r>
    <x v="0"/>
    <s v="Egypt"/>
    <x v="6"/>
    <x v="25"/>
    <x v="25"/>
    <m/>
    <m/>
    <s v="Break 30 Night"/>
    <s v="+12:30 AM"/>
    <s v="+1:00 AM"/>
    <n v="0"/>
    <x v="1"/>
  </r>
  <r>
    <x v="0"/>
    <s v="Egypt"/>
    <x v="6"/>
    <x v="25"/>
    <x v="25"/>
    <d v="2025-06-29T00:00:00"/>
    <m/>
    <s v="Day Off"/>
    <m/>
    <m/>
    <n v="0"/>
    <x v="1"/>
  </r>
  <r>
    <x v="0"/>
    <s v="Egypt"/>
    <x v="6"/>
    <x v="25"/>
    <x v="25"/>
    <d v="2025-06-30T00:00:00"/>
    <d v="1899-12-30T08:15:00"/>
    <s v="Non Telecom"/>
    <d v="1899-12-30T21:00:00"/>
    <s v="+5:15 AM"/>
    <n v="29700"/>
    <x v="0"/>
  </r>
  <r>
    <x v="0"/>
    <s v="Egypt"/>
    <x v="6"/>
    <x v="25"/>
    <x v="25"/>
    <m/>
    <m/>
    <s v="Break 15 Night"/>
    <d v="1899-12-30T22:45:00"/>
    <d v="1899-12-30T23:00:00"/>
    <n v="0"/>
    <x v="1"/>
  </r>
  <r>
    <x v="0"/>
    <s v="Egypt"/>
    <x v="6"/>
    <x v="25"/>
    <x v="25"/>
    <m/>
    <m/>
    <s v="Break 30 Night"/>
    <s v="+2:00 AM"/>
    <s v="+2:30 AM"/>
    <n v="0"/>
    <x v="1"/>
  </r>
  <r>
    <x v="0"/>
    <s v="Egypt"/>
    <x v="6"/>
    <x v="26"/>
    <x v="26"/>
    <d v="2025-06-01T00:00:00"/>
    <d v="1899-12-30T08:15:00"/>
    <s v="Support Training"/>
    <m/>
    <m/>
    <n v="29700"/>
    <x v="1"/>
  </r>
  <r>
    <x v="0"/>
    <s v="Egypt"/>
    <x v="6"/>
    <x v="26"/>
    <x v="26"/>
    <d v="2025-06-02T00:00:00"/>
    <d v="1899-12-30T08:15:00"/>
    <s v="Support Training"/>
    <m/>
    <m/>
    <n v="29700"/>
    <x v="1"/>
  </r>
  <r>
    <x v="0"/>
    <s v="Egypt"/>
    <x v="6"/>
    <x v="26"/>
    <x v="26"/>
    <d v="2025-06-03T00:00:00"/>
    <d v="1899-12-30T08:15:00"/>
    <s v="Support Training"/>
    <m/>
    <m/>
    <n v="29700"/>
    <x v="1"/>
  </r>
  <r>
    <x v="0"/>
    <s v="Egypt"/>
    <x v="6"/>
    <x v="26"/>
    <x v="26"/>
    <d v="2025-06-04T00:00:00"/>
    <d v="1899-12-30T08:15:00"/>
    <s v="Support Training"/>
    <m/>
    <m/>
    <n v="29700"/>
    <x v="1"/>
  </r>
  <r>
    <x v="0"/>
    <s v="Egypt"/>
    <x v="6"/>
    <x v="26"/>
    <x v="26"/>
    <d v="2025-06-05T00:00:00"/>
    <d v="1899-12-30T08:15:00"/>
    <s v="Support Training"/>
    <m/>
    <m/>
    <n v="29700"/>
    <x v="1"/>
  </r>
  <r>
    <x v="0"/>
    <s v="Egypt"/>
    <x v="6"/>
    <x v="26"/>
    <x v="26"/>
    <d v="2025-06-06T00:00:00"/>
    <m/>
    <s v="Day Off"/>
    <m/>
    <m/>
    <n v="0"/>
    <x v="1"/>
  </r>
  <r>
    <x v="0"/>
    <s v="Egypt"/>
    <x v="6"/>
    <x v="26"/>
    <x v="26"/>
    <d v="2025-06-07T00:00:00"/>
    <m/>
    <s v="Day Off"/>
    <m/>
    <m/>
    <n v="0"/>
    <x v="1"/>
  </r>
  <r>
    <x v="0"/>
    <s v="Egypt"/>
    <x v="6"/>
    <x v="26"/>
    <x v="26"/>
    <d v="2025-06-08T00:00:00"/>
    <d v="1899-12-30T12:15:00"/>
    <s v="Non Telecom"/>
    <d v="1899-12-30T09:00:00"/>
    <d v="1899-12-30T21:15:00"/>
    <n v="44099.999999999993"/>
    <x v="0"/>
  </r>
  <r>
    <x v="0"/>
    <s v="Egypt"/>
    <x v="6"/>
    <x v="26"/>
    <x v="26"/>
    <m/>
    <m/>
    <s v="Break 15 Morning"/>
    <d v="1899-12-30T10:15:00"/>
    <d v="1899-12-30T10:30:00"/>
    <n v="0"/>
    <x v="1"/>
  </r>
  <r>
    <x v="0"/>
    <s v="Egypt"/>
    <x v="6"/>
    <x v="26"/>
    <x v="26"/>
    <m/>
    <m/>
    <s v="Break 30 Morning"/>
    <d v="1899-12-30T14:15:00"/>
    <d v="1899-12-30T14:45:00"/>
    <n v="0"/>
    <x v="1"/>
  </r>
  <r>
    <x v="0"/>
    <s v="Egypt"/>
    <x v="6"/>
    <x v="26"/>
    <x v="26"/>
    <m/>
    <m/>
    <s v="Shift Move"/>
    <d v="1899-12-30T17:15:00"/>
    <d v="1899-12-30T21:15:00"/>
    <n v="0"/>
    <x v="1"/>
  </r>
  <r>
    <x v="0"/>
    <s v="Egypt"/>
    <x v="6"/>
    <x v="26"/>
    <x v="26"/>
    <d v="2025-06-09T00:00:00"/>
    <d v="1899-12-30T12:15:00"/>
    <s v="Non Telecom"/>
    <d v="1899-12-30T09:00:00"/>
    <d v="1899-12-30T21:15:00"/>
    <n v="44099.999999999993"/>
    <x v="0"/>
  </r>
  <r>
    <x v="0"/>
    <s v="Egypt"/>
    <x v="6"/>
    <x v="26"/>
    <x v="26"/>
    <m/>
    <m/>
    <s v="Break 15 Morning"/>
    <d v="1899-12-30T10:00:00"/>
    <d v="1899-12-30T10:15:00"/>
    <n v="0"/>
    <x v="1"/>
  </r>
  <r>
    <x v="0"/>
    <s v="Egypt"/>
    <x v="6"/>
    <x v="26"/>
    <x v="26"/>
    <m/>
    <m/>
    <s v="Break 30 Morning"/>
    <d v="1899-12-30T14:30:00"/>
    <d v="1899-12-30T15:00:00"/>
    <n v="0"/>
    <x v="1"/>
  </r>
  <r>
    <x v="0"/>
    <s v="Egypt"/>
    <x v="6"/>
    <x v="26"/>
    <x v="26"/>
    <m/>
    <m/>
    <s v="Shift Move"/>
    <d v="1899-12-30T17:15:00"/>
    <d v="1899-12-30T21:15:00"/>
    <n v="0"/>
    <x v="1"/>
  </r>
  <r>
    <x v="0"/>
    <s v="Egypt"/>
    <x v="6"/>
    <x v="26"/>
    <x v="26"/>
    <d v="2025-06-10T00:00:00"/>
    <m/>
    <s v="Day Off"/>
    <m/>
    <m/>
    <n v="0"/>
    <x v="1"/>
  </r>
  <r>
    <x v="0"/>
    <s v="Egypt"/>
    <x v="6"/>
    <x v="26"/>
    <x v="26"/>
    <d v="2025-06-11T00:00:00"/>
    <m/>
    <s v="Day Off"/>
    <m/>
    <m/>
    <n v="0"/>
    <x v="1"/>
  </r>
  <r>
    <x v="0"/>
    <s v="Egypt"/>
    <x v="6"/>
    <x v="26"/>
    <x v="26"/>
    <d v="2025-06-12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8:15:00"/>
    <d v="1899-12-30T18:30:00"/>
    <n v="0"/>
    <x v="1"/>
  </r>
  <r>
    <x v="0"/>
    <s v="Egypt"/>
    <x v="6"/>
    <x v="26"/>
    <x v="26"/>
    <m/>
    <m/>
    <s v="Break 30 Night"/>
    <d v="1899-12-30T21:00:00"/>
    <d v="1899-12-30T21:30:00"/>
    <n v="0"/>
    <x v="1"/>
  </r>
  <r>
    <x v="0"/>
    <s v="Egypt"/>
    <x v="6"/>
    <x v="26"/>
    <x v="26"/>
    <d v="2025-06-13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7:30:00"/>
    <d v="1899-12-30T17:45:00"/>
    <n v="0"/>
    <x v="1"/>
  </r>
  <r>
    <x v="0"/>
    <s v="Egypt"/>
    <x v="6"/>
    <x v="26"/>
    <x v="26"/>
    <m/>
    <m/>
    <s v="Break 30 Night"/>
    <d v="1899-12-30T20:30:00"/>
    <d v="1899-12-30T21:00:00"/>
    <n v="0"/>
    <x v="1"/>
  </r>
  <r>
    <x v="0"/>
    <s v="Egypt"/>
    <x v="6"/>
    <x v="26"/>
    <x v="26"/>
    <d v="2025-06-14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7:30:00"/>
    <d v="1899-12-30T17:45:00"/>
    <n v="0"/>
    <x v="1"/>
  </r>
  <r>
    <x v="0"/>
    <s v="Egypt"/>
    <x v="6"/>
    <x v="26"/>
    <x v="26"/>
    <m/>
    <m/>
    <s v="Break 30 Night"/>
    <d v="1899-12-30T20:30:00"/>
    <d v="1899-12-30T21:00:00"/>
    <n v="0"/>
    <x v="1"/>
  </r>
  <r>
    <x v="0"/>
    <s v="Egypt"/>
    <x v="6"/>
    <x v="26"/>
    <x v="26"/>
    <d v="2025-06-15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8:30:00"/>
    <d v="1899-12-30T18:45:00"/>
    <n v="0"/>
    <x v="1"/>
  </r>
  <r>
    <x v="0"/>
    <s v="Egypt"/>
    <x v="6"/>
    <x v="26"/>
    <x v="26"/>
    <m/>
    <m/>
    <s v="Break 30 Night"/>
    <d v="1899-12-30T21:15:00"/>
    <d v="1899-12-30T21:45:00"/>
    <n v="0"/>
    <x v="1"/>
  </r>
  <r>
    <x v="0"/>
    <s v="Egypt"/>
    <x v="6"/>
    <x v="26"/>
    <x v="26"/>
    <d v="2025-06-16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8:15:00"/>
    <d v="1899-12-30T18:30:00"/>
    <n v="0"/>
    <x v="1"/>
  </r>
  <r>
    <x v="0"/>
    <s v="Egypt"/>
    <x v="6"/>
    <x v="26"/>
    <x v="26"/>
    <m/>
    <m/>
    <s v="Break 30 Night"/>
    <d v="1899-12-30T21:00:00"/>
    <d v="1899-12-30T21:30:00"/>
    <n v="0"/>
    <x v="1"/>
  </r>
  <r>
    <x v="0"/>
    <s v="Egypt"/>
    <x v="6"/>
    <x v="26"/>
    <x v="26"/>
    <d v="2025-06-17T00:00:00"/>
    <m/>
    <s v="Day Off"/>
    <m/>
    <m/>
    <n v="0"/>
    <x v="1"/>
  </r>
  <r>
    <x v="0"/>
    <s v="Egypt"/>
    <x v="6"/>
    <x v="26"/>
    <x v="26"/>
    <d v="2025-06-18T00:00:00"/>
    <m/>
    <s v="Day Off"/>
    <m/>
    <m/>
    <n v="0"/>
    <x v="1"/>
  </r>
  <r>
    <x v="0"/>
    <s v="Egypt"/>
    <x v="6"/>
    <x v="26"/>
    <x v="26"/>
    <d v="2025-06-19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8:15:00"/>
    <d v="1899-12-30T18:30:00"/>
    <n v="0"/>
    <x v="1"/>
  </r>
  <r>
    <x v="0"/>
    <s v="Egypt"/>
    <x v="6"/>
    <x v="26"/>
    <x v="26"/>
    <m/>
    <m/>
    <s v="Break 30 Night"/>
    <d v="1899-12-30T20:45:00"/>
    <d v="1899-12-30T21:15:00"/>
    <n v="0"/>
    <x v="1"/>
  </r>
  <r>
    <x v="0"/>
    <s v="Egypt"/>
    <x v="6"/>
    <x v="26"/>
    <x v="26"/>
    <d v="2025-06-20T00:00:00"/>
    <d v="1899-12-30T08:15:00"/>
    <s v="Annual Exception"/>
    <m/>
    <m/>
    <n v="29700"/>
    <x v="1"/>
  </r>
  <r>
    <x v="0"/>
    <s v="Egypt"/>
    <x v="6"/>
    <x v="26"/>
    <x v="26"/>
    <d v="2025-06-21T00:00:00"/>
    <d v="1899-12-30T08:15:00"/>
    <s v="Annual Exception"/>
    <m/>
    <m/>
    <n v="29700"/>
    <x v="1"/>
  </r>
  <r>
    <x v="0"/>
    <s v="Egypt"/>
    <x v="6"/>
    <x v="26"/>
    <x v="26"/>
    <d v="2025-06-22T00:00:00"/>
    <d v="1899-12-30T08:15:00"/>
    <s v="Support Training"/>
    <m/>
    <m/>
    <n v="29700"/>
    <x v="1"/>
  </r>
  <r>
    <x v="0"/>
    <s v="Egypt"/>
    <x v="6"/>
    <x v="26"/>
    <x v="26"/>
    <d v="2025-06-23T00:00:00"/>
    <d v="1899-12-30T08:15:00"/>
    <s v="Support Training"/>
    <m/>
    <m/>
    <n v="29700"/>
    <x v="1"/>
  </r>
  <r>
    <x v="0"/>
    <s v="Egypt"/>
    <x v="6"/>
    <x v="26"/>
    <x v="26"/>
    <d v="2025-06-24T00:00:00"/>
    <d v="1899-12-30T08:15:00"/>
    <s v="Support Training"/>
    <m/>
    <m/>
    <n v="29700"/>
    <x v="1"/>
  </r>
  <r>
    <x v="0"/>
    <s v="Egypt"/>
    <x v="6"/>
    <x v="26"/>
    <x v="26"/>
    <d v="2025-06-25T00:00:00"/>
    <d v="1899-12-30T08:15:00"/>
    <s v="Support Training"/>
    <m/>
    <m/>
    <n v="29700"/>
    <x v="1"/>
  </r>
  <r>
    <x v="0"/>
    <s v="Egypt"/>
    <x v="6"/>
    <x v="26"/>
    <x v="26"/>
    <d v="2025-06-26T00:00:00"/>
    <d v="1899-12-30T08:15:00"/>
    <s v="Support Training"/>
    <m/>
    <m/>
    <n v="29700"/>
    <x v="1"/>
  </r>
  <r>
    <x v="0"/>
    <s v="Egypt"/>
    <x v="6"/>
    <x v="26"/>
    <x v="26"/>
    <d v="2025-06-27T00:00:00"/>
    <m/>
    <s v="Day Off"/>
    <m/>
    <m/>
    <n v="0"/>
    <x v="1"/>
  </r>
  <r>
    <x v="0"/>
    <s v="Egypt"/>
    <x v="6"/>
    <x v="26"/>
    <x v="26"/>
    <d v="2025-06-28T00:00:00"/>
    <m/>
    <s v="Day Off"/>
    <m/>
    <m/>
    <n v="0"/>
    <x v="1"/>
  </r>
  <r>
    <x v="0"/>
    <s v="Egypt"/>
    <x v="6"/>
    <x v="26"/>
    <x v="26"/>
    <d v="2025-06-29T00:00:00"/>
    <d v="1899-12-30T08:15:00"/>
    <s v="Compensation"/>
    <m/>
    <m/>
    <n v="29700"/>
    <x v="1"/>
  </r>
  <r>
    <x v="0"/>
    <s v="Egypt"/>
    <x v="6"/>
    <x v="26"/>
    <x v="26"/>
    <d v="2025-06-30T00:00:00"/>
    <d v="1899-12-30T08:15:00"/>
    <s v="Non Telecom"/>
    <d v="1899-12-30T16:15:00"/>
    <s v="+12:30 AM"/>
    <n v="29700"/>
    <x v="0"/>
  </r>
  <r>
    <x v="0"/>
    <s v="Egypt"/>
    <x v="6"/>
    <x v="26"/>
    <x v="26"/>
    <m/>
    <m/>
    <s v="Break 15 Night"/>
    <d v="1899-12-30T18:15:00"/>
    <d v="1899-12-30T18:30:00"/>
    <n v="0"/>
    <x v="1"/>
  </r>
  <r>
    <x v="0"/>
    <s v="Egypt"/>
    <x v="6"/>
    <x v="26"/>
    <x v="26"/>
    <m/>
    <m/>
    <s v="Break 30 Night"/>
    <d v="1899-12-30T21:30:00"/>
    <d v="1899-12-30T22:00:00"/>
    <n v="0"/>
    <x v="1"/>
  </r>
  <r>
    <x v="0"/>
    <s v="Egypt"/>
    <x v="6"/>
    <x v="27"/>
    <x v="27"/>
    <d v="2025-06-01T00:00:00"/>
    <d v="1899-12-30T08:15:00"/>
    <s v="Planned Task"/>
    <m/>
    <m/>
    <n v="29700"/>
    <x v="1"/>
  </r>
  <r>
    <x v="0"/>
    <s v="Egypt"/>
    <x v="6"/>
    <x v="27"/>
    <x v="27"/>
    <d v="2025-06-02T00:00:00"/>
    <d v="1899-12-30T08:15:00"/>
    <s v="Planned Task"/>
    <m/>
    <m/>
    <n v="29700"/>
    <x v="1"/>
  </r>
  <r>
    <x v="0"/>
    <s v="Egypt"/>
    <x v="6"/>
    <x v="27"/>
    <x v="27"/>
    <d v="2025-06-03T00:00:00"/>
    <d v="1899-12-30T08:15:00"/>
    <s v="Planned Task"/>
    <m/>
    <m/>
    <n v="29700"/>
    <x v="1"/>
  </r>
  <r>
    <x v="0"/>
    <s v="Egypt"/>
    <x v="6"/>
    <x v="27"/>
    <x v="27"/>
    <d v="2025-06-04T00:00:00"/>
    <d v="1899-12-30T08:15:00"/>
    <s v="Planned Task"/>
    <m/>
    <m/>
    <n v="29700"/>
    <x v="1"/>
  </r>
  <r>
    <x v="0"/>
    <s v="Egypt"/>
    <x v="6"/>
    <x v="27"/>
    <x v="27"/>
    <d v="2025-06-05T00:00:00"/>
    <d v="1899-12-30T08:15:00"/>
    <s v="Planned Task"/>
    <m/>
    <m/>
    <n v="29700"/>
    <x v="1"/>
  </r>
  <r>
    <x v="0"/>
    <s v="Egypt"/>
    <x v="6"/>
    <x v="27"/>
    <x v="27"/>
    <d v="2025-06-06T00:00:00"/>
    <d v="1899-12-30T08:15:00"/>
    <s v="Planned Task"/>
    <m/>
    <m/>
    <n v="29700"/>
    <x v="1"/>
  </r>
  <r>
    <x v="0"/>
    <s v="Egypt"/>
    <x v="6"/>
    <x v="27"/>
    <x v="27"/>
    <d v="2025-06-07T00:00:00"/>
    <d v="1899-12-30T08:15:00"/>
    <s v="Planned Task"/>
    <m/>
    <m/>
    <n v="29700"/>
    <x v="1"/>
  </r>
  <r>
    <x v="0"/>
    <s v="Egypt"/>
    <x v="6"/>
    <x v="27"/>
    <x v="27"/>
    <d v="2025-06-08T00:00:00"/>
    <d v="1899-12-30T08:15:00"/>
    <s v="Planned Task"/>
    <m/>
    <m/>
    <n v="29700"/>
    <x v="1"/>
  </r>
  <r>
    <x v="0"/>
    <s v="Egypt"/>
    <x v="6"/>
    <x v="27"/>
    <x v="27"/>
    <d v="2025-06-09T00:00:00"/>
    <d v="1899-12-30T08:15:00"/>
    <s v="Planned Task"/>
    <m/>
    <m/>
    <n v="29700"/>
    <x v="1"/>
  </r>
  <r>
    <x v="0"/>
    <s v="Egypt"/>
    <x v="6"/>
    <x v="27"/>
    <x v="27"/>
    <d v="2025-06-10T00:00:00"/>
    <d v="1899-12-30T08:15:00"/>
    <s v="Planned Task"/>
    <m/>
    <m/>
    <n v="29700"/>
    <x v="1"/>
  </r>
  <r>
    <x v="0"/>
    <s v="Egypt"/>
    <x v="6"/>
    <x v="27"/>
    <x v="27"/>
    <d v="2025-06-11T00:00:00"/>
    <d v="1899-12-30T08:15:00"/>
    <s v="Planned Task"/>
    <m/>
    <m/>
    <n v="29700"/>
    <x v="1"/>
  </r>
  <r>
    <x v="0"/>
    <s v="Egypt"/>
    <x v="6"/>
    <x v="27"/>
    <x v="27"/>
    <d v="2025-06-12T00:00:00"/>
    <d v="1899-12-30T08:15:00"/>
    <s v="Planned Task"/>
    <m/>
    <m/>
    <n v="29700"/>
    <x v="1"/>
  </r>
  <r>
    <x v="0"/>
    <s v="Egypt"/>
    <x v="6"/>
    <x v="27"/>
    <x v="27"/>
    <d v="2025-06-13T00:00:00"/>
    <d v="1899-12-30T08:15:00"/>
    <s v="Planned Task"/>
    <m/>
    <m/>
    <n v="29700"/>
    <x v="1"/>
  </r>
  <r>
    <x v="0"/>
    <s v="Egypt"/>
    <x v="6"/>
    <x v="27"/>
    <x v="27"/>
    <d v="2025-06-14T00:00:00"/>
    <d v="1899-12-30T08:15:00"/>
    <s v="Planned Task"/>
    <m/>
    <m/>
    <n v="29700"/>
    <x v="1"/>
  </r>
  <r>
    <x v="0"/>
    <s v="Egypt"/>
    <x v="6"/>
    <x v="27"/>
    <x v="27"/>
    <d v="2025-06-15T00:00:00"/>
    <d v="1899-12-30T08:15:00"/>
    <s v="Planned Task"/>
    <m/>
    <m/>
    <n v="29700"/>
    <x v="1"/>
  </r>
  <r>
    <x v="0"/>
    <s v="Egypt"/>
    <x v="6"/>
    <x v="27"/>
    <x v="27"/>
    <d v="2025-06-16T00:00:00"/>
    <d v="1899-12-30T08:15:00"/>
    <s v="Planned Task"/>
    <m/>
    <m/>
    <n v="29700"/>
    <x v="1"/>
  </r>
  <r>
    <x v="0"/>
    <s v="Egypt"/>
    <x v="6"/>
    <x v="27"/>
    <x v="27"/>
    <d v="2025-06-17T00:00:00"/>
    <d v="1899-12-30T08:15:00"/>
    <s v="Planned Task"/>
    <m/>
    <m/>
    <n v="29700"/>
    <x v="1"/>
  </r>
  <r>
    <x v="0"/>
    <s v="Egypt"/>
    <x v="6"/>
    <x v="27"/>
    <x v="27"/>
    <d v="2025-06-18T00:00:00"/>
    <d v="1899-12-30T08:15:00"/>
    <s v="Planned Task"/>
    <m/>
    <m/>
    <n v="29700"/>
    <x v="1"/>
  </r>
  <r>
    <x v="0"/>
    <s v="Egypt"/>
    <x v="6"/>
    <x v="27"/>
    <x v="27"/>
    <d v="2025-06-19T00:00:00"/>
    <d v="1899-12-30T08:15:00"/>
    <s v="Planned Task"/>
    <m/>
    <m/>
    <n v="29700"/>
    <x v="1"/>
  </r>
  <r>
    <x v="0"/>
    <s v="Egypt"/>
    <x v="6"/>
    <x v="27"/>
    <x v="27"/>
    <d v="2025-06-20T00:00:00"/>
    <d v="1899-12-30T08:15:00"/>
    <s v="Planned Task"/>
    <m/>
    <m/>
    <n v="29700"/>
    <x v="1"/>
  </r>
  <r>
    <x v="0"/>
    <s v="Egypt"/>
    <x v="6"/>
    <x v="27"/>
    <x v="27"/>
    <d v="2025-06-21T00:00:00"/>
    <d v="1899-12-30T08:15:00"/>
    <s v="Planned Task"/>
    <m/>
    <m/>
    <n v="29700"/>
    <x v="1"/>
  </r>
  <r>
    <x v="0"/>
    <s v="Egypt"/>
    <x v="6"/>
    <x v="27"/>
    <x v="27"/>
    <d v="2025-06-22T00:00:00"/>
    <d v="1899-12-30T08:15:00"/>
    <s v="Planned Task"/>
    <m/>
    <m/>
    <n v="29700"/>
    <x v="1"/>
  </r>
  <r>
    <x v="0"/>
    <s v="Egypt"/>
    <x v="6"/>
    <x v="27"/>
    <x v="27"/>
    <d v="2025-06-23T00:00:00"/>
    <d v="1899-12-30T08:15:00"/>
    <s v="Planned Task"/>
    <m/>
    <m/>
    <n v="29700"/>
    <x v="1"/>
  </r>
  <r>
    <x v="0"/>
    <s v="Egypt"/>
    <x v="6"/>
    <x v="27"/>
    <x v="27"/>
    <d v="2025-06-24T00:00:00"/>
    <d v="1899-12-30T08:15:00"/>
    <s v="Planned Task"/>
    <m/>
    <m/>
    <n v="29700"/>
    <x v="1"/>
  </r>
  <r>
    <x v="0"/>
    <s v="Egypt"/>
    <x v="6"/>
    <x v="27"/>
    <x v="27"/>
    <d v="2025-06-25T00:00:00"/>
    <d v="1899-12-30T08:15:00"/>
    <s v="Planned Task"/>
    <m/>
    <m/>
    <n v="29700"/>
    <x v="1"/>
  </r>
  <r>
    <x v="0"/>
    <s v="Egypt"/>
    <x v="6"/>
    <x v="27"/>
    <x v="27"/>
    <d v="2025-06-26T00:00:00"/>
    <d v="1899-12-30T08:15:00"/>
    <s v="Planned Task"/>
    <m/>
    <m/>
    <n v="29700"/>
    <x v="1"/>
  </r>
  <r>
    <x v="0"/>
    <s v="Egypt"/>
    <x v="6"/>
    <x v="27"/>
    <x v="27"/>
    <d v="2025-06-27T00:00:00"/>
    <d v="1899-12-30T08:15:00"/>
    <s v="Planned Task"/>
    <m/>
    <m/>
    <n v="29700"/>
    <x v="1"/>
  </r>
  <r>
    <x v="0"/>
    <s v="Egypt"/>
    <x v="6"/>
    <x v="27"/>
    <x v="27"/>
    <d v="2025-06-28T00:00:00"/>
    <d v="1899-12-30T08:15:00"/>
    <s v="Planned Task"/>
    <m/>
    <m/>
    <n v="29700"/>
    <x v="1"/>
  </r>
  <r>
    <x v="0"/>
    <s v="Egypt"/>
    <x v="6"/>
    <x v="27"/>
    <x v="27"/>
    <d v="2025-06-29T00:00:00"/>
    <d v="1899-12-30T08:15:00"/>
    <s v="Planned Task"/>
    <m/>
    <m/>
    <n v="29700"/>
    <x v="1"/>
  </r>
  <r>
    <x v="0"/>
    <s v="Egypt"/>
    <x v="6"/>
    <x v="27"/>
    <x v="27"/>
    <d v="2025-06-30T00:00:00"/>
    <d v="1899-12-30T08:15:00"/>
    <s v="Planned Task"/>
    <m/>
    <m/>
    <n v="29700"/>
    <x v="1"/>
  </r>
  <r>
    <x v="0"/>
    <s v="Egypt"/>
    <x v="6"/>
    <x v="28"/>
    <x v="28"/>
    <d v="2025-06-01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2:45:00"/>
    <d v="1899-12-30T23:00:00"/>
    <n v="0"/>
    <x v="1"/>
  </r>
  <r>
    <x v="0"/>
    <s v="Egypt"/>
    <x v="6"/>
    <x v="28"/>
    <x v="28"/>
    <m/>
    <m/>
    <s v="Break 30 Night"/>
    <s v="+1:45 AM"/>
    <s v="+2:15 AM"/>
    <n v="0"/>
    <x v="1"/>
  </r>
  <r>
    <x v="0"/>
    <s v="Egypt"/>
    <x v="6"/>
    <x v="28"/>
    <x v="28"/>
    <d v="2025-06-02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2:30:00"/>
    <d v="1899-12-30T22:45:00"/>
    <n v="0"/>
    <x v="1"/>
  </r>
  <r>
    <x v="0"/>
    <s v="Egypt"/>
    <x v="6"/>
    <x v="28"/>
    <x v="28"/>
    <m/>
    <m/>
    <s v="Break 30 Night"/>
    <s v="+2:15 AM"/>
    <s v="+2:45 AM"/>
    <n v="0"/>
    <x v="1"/>
  </r>
  <r>
    <x v="0"/>
    <s v="Egypt"/>
    <x v="6"/>
    <x v="28"/>
    <x v="28"/>
    <d v="2025-06-03T00:00:00"/>
    <m/>
    <s v="Day Off"/>
    <m/>
    <m/>
    <n v="0"/>
    <x v="1"/>
  </r>
  <r>
    <x v="0"/>
    <s v="Egypt"/>
    <x v="6"/>
    <x v="28"/>
    <x v="28"/>
    <d v="2025-06-04T00:00:00"/>
    <m/>
    <s v="Day Off"/>
    <m/>
    <m/>
    <n v="0"/>
    <x v="1"/>
  </r>
  <r>
    <x v="0"/>
    <s v="Egypt"/>
    <x v="6"/>
    <x v="28"/>
    <x v="28"/>
    <d v="2025-06-05T00:00:00"/>
    <d v="1899-12-30T08:15:00"/>
    <s v="Non Telecom"/>
    <d v="1899-12-30T15:00:00"/>
    <d v="1899-12-30T23:15:00"/>
    <n v="29700"/>
    <x v="0"/>
  </r>
  <r>
    <x v="0"/>
    <s v="Egypt"/>
    <x v="6"/>
    <x v="28"/>
    <x v="28"/>
    <m/>
    <m/>
    <s v="Break 15 Morning"/>
    <d v="1899-12-30T16:45:00"/>
    <d v="1899-12-30T17:00:00"/>
    <n v="0"/>
    <x v="1"/>
  </r>
  <r>
    <x v="0"/>
    <s v="Egypt"/>
    <x v="6"/>
    <x v="28"/>
    <x v="28"/>
    <m/>
    <m/>
    <s v="Break 30 Morning"/>
    <d v="1899-12-30T20:15:00"/>
    <d v="1899-12-30T20:45:00"/>
    <n v="0"/>
    <x v="1"/>
  </r>
  <r>
    <x v="0"/>
    <s v="Egypt"/>
    <x v="6"/>
    <x v="28"/>
    <x v="28"/>
    <d v="2025-06-06T00:00:00"/>
    <d v="1899-12-30T08:15:00"/>
    <s v="Non Telecom"/>
    <d v="1899-12-30T15:00:00"/>
    <d v="1899-12-30T23:15:00"/>
    <n v="29700"/>
    <x v="0"/>
  </r>
  <r>
    <x v="0"/>
    <s v="Egypt"/>
    <x v="6"/>
    <x v="28"/>
    <x v="28"/>
    <m/>
    <m/>
    <s v="Break 15 Morning"/>
    <d v="1899-12-30T17:00:00"/>
    <d v="1899-12-30T17:15:00"/>
    <n v="0"/>
    <x v="1"/>
  </r>
  <r>
    <x v="0"/>
    <s v="Egypt"/>
    <x v="6"/>
    <x v="28"/>
    <x v="28"/>
    <m/>
    <m/>
    <s v="Break 30 Morning"/>
    <d v="1899-12-30T20:00:00"/>
    <d v="1899-12-30T20:30:00"/>
    <n v="0"/>
    <x v="1"/>
  </r>
  <r>
    <x v="0"/>
    <s v="Egypt"/>
    <x v="6"/>
    <x v="28"/>
    <x v="28"/>
    <d v="2025-06-07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2:00:00"/>
    <d v="1899-12-30T22:15:00"/>
    <n v="0"/>
    <x v="1"/>
  </r>
  <r>
    <x v="0"/>
    <s v="Egypt"/>
    <x v="6"/>
    <x v="28"/>
    <x v="28"/>
    <m/>
    <m/>
    <s v="Break 30 Night"/>
    <s v="+1:15 AM"/>
    <s v="+1:45 AM"/>
    <n v="0"/>
    <x v="1"/>
  </r>
  <r>
    <x v="0"/>
    <s v="Egypt"/>
    <x v="6"/>
    <x v="28"/>
    <x v="28"/>
    <d v="2025-06-08T00:00:00"/>
    <d v="1899-12-30T08:15:00"/>
    <s v="Annual"/>
    <m/>
    <m/>
    <n v="29700"/>
    <x v="1"/>
  </r>
  <r>
    <x v="0"/>
    <s v="Egypt"/>
    <x v="6"/>
    <x v="28"/>
    <x v="28"/>
    <d v="2025-06-09T00:00:00"/>
    <m/>
    <s v="Day Off"/>
    <m/>
    <m/>
    <n v="0"/>
    <x v="1"/>
  </r>
  <r>
    <x v="0"/>
    <s v="Egypt"/>
    <x v="6"/>
    <x v="28"/>
    <x v="28"/>
    <d v="2025-06-10T00:00:00"/>
    <m/>
    <s v="Day Off"/>
    <m/>
    <m/>
    <n v="0"/>
    <x v="1"/>
  </r>
  <r>
    <x v="0"/>
    <s v="Egypt"/>
    <x v="6"/>
    <x v="28"/>
    <x v="28"/>
    <d v="2025-06-11T00:00:00"/>
    <d v="1899-12-30T08:15:00"/>
    <s v="Annual"/>
    <m/>
    <m/>
    <n v="29700"/>
    <x v="1"/>
  </r>
  <r>
    <x v="0"/>
    <s v="Egypt"/>
    <x v="6"/>
    <x v="28"/>
    <x v="28"/>
    <d v="2025-06-12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15:00"/>
    <d v="1899-12-30T23:30:00"/>
    <n v="0"/>
    <x v="1"/>
  </r>
  <r>
    <x v="0"/>
    <s v="Egypt"/>
    <x v="6"/>
    <x v="28"/>
    <x v="28"/>
    <m/>
    <m/>
    <s v="Break 30 Night"/>
    <s v="+2:30 AM"/>
    <s v="+3:00 AM"/>
    <n v="0"/>
    <x v="1"/>
  </r>
  <r>
    <x v="0"/>
    <s v="Egypt"/>
    <x v="6"/>
    <x v="28"/>
    <x v="28"/>
    <d v="2025-06-13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2:30:00"/>
    <d v="1899-12-30T22:45:00"/>
    <n v="0"/>
    <x v="1"/>
  </r>
  <r>
    <x v="0"/>
    <s v="Egypt"/>
    <x v="6"/>
    <x v="28"/>
    <x v="28"/>
    <m/>
    <m/>
    <s v="Break 30 Night"/>
    <s v="+2:00 AM"/>
    <s v="+2:30 AM"/>
    <n v="0"/>
    <x v="1"/>
  </r>
  <r>
    <x v="0"/>
    <s v="Egypt"/>
    <x v="6"/>
    <x v="28"/>
    <x v="28"/>
    <d v="2025-06-14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2:45:00"/>
    <d v="1899-12-30T23:00:00"/>
    <n v="0"/>
    <x v="1"/>
  </r>
  <r>
    <x v="0"/>
    <s v="Egypt"/>
    <x v="6"/>
    <x v="28"/>
    <x v="28"/>
    <m/>
    <m/>
    <s v="Break 30 Night"/>
    <s v="+1:45 AM"/>
    <s v="+2:15 AM"/>
    <n v="0"/>
    <x v="1"/>
  </r>
  <r>
    <x v="0"/>
    <s v="Egypt"/>
    <x v="6"/>
    <x v="28"/>
    <x v="28"/>
    <d v="2025-06-15T00:00:00"/>
    <m/>
    <s v="Day Off"/>
    <m/>
    <m/>
    <n v="0"/>
    <x v="1"/>
  </r>
  <r>
    <x v="0"/>
    <s v="Egypt"/>
    <x v="6"/>
    <x v="28"/>
    <x v="28"/>
    <d v="2025-06-16T00:00:00"/>
    <m/>
    <s v="Day Off"/>
    <m/>
    <m/>
    <n v="0"/>
    <x v="1"/>
  </r>
  <r>
    <x v="0"/>
    <s v="Egypt"/>
    <x v="6"/>
    <x v="28"/>
    <x v="28"/>
    <d v="2025-06-17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30:00"/>
    <d v="1899-12-30T23:45:00"/>
    <n v="0"/>
    <x v="1"/>
  </r>
  <r>
    <x v="0"/>
    <s v="Egypt"/>
    <x v="6"/>
    <x v="28"/>
    <x v="28"/>
    <m/>
    <m/>
    <s v="Break 30 Night"/>
    <s v="+2:30 AM"/>
    <s v="+3:00 AM"/>
    <n v="0"/>
    <x v="1"/>
  </r>
  <r>
    <x v="0"/>
    <s v="Egypt"/>
    <x v="6"/>
    <x v="28"/>
    <x v="28"/>
    <d v="2025-06-18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30:00"/>
    <d v="1899-12-30T23:45:00"/>
    <n v="0"/>
    <x v="1"/>
  </r>
  <r>
    <x v="0"/>
    <s v="Egypt"/>
    <x v="6"/>
    <x v="28"/>
    <x v="28"/>
    <m/>
    <m/>
    <s v="Break 30 Night"/>
    <s v="+2:15 AM"/>
    <s v="+2:45 AM"/>
    <n v="0"/>
    <x v="1"/>
  </r>
  <r>
    <x v="0"/>
    <s v="Egypt"/>
    <x v="6"/>
    <x v="28"/>
    <x v="28"/>
    <d v="2025-06-19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s v="+12:00 AM"/>
    <s v="+12:15 AM"/>
    <n v="0"/>
    <x v="1"/>
  </r>
  <r>
    <x v="0"/>
    <s v="Egypt"/>
    <x v="6"/>
    <x v="28"/>
    <x v="28"/>
    <m/>
    <m/>
    <s v="Break 30 Night"/>
    <s v="+3:00 AM"/>
    <s v="+3:30 AM"/>
    <n v="0"/>
    <x v="1"/>
  </r>
  <r>
    <x v="0"/>
    <s v="Egypt"/>
    <x v="6"/>
    <x v="28"/>
    <x v="28"/>
    <d v="2025-06-20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15:00"/>
    <d v="1899-12-30T23:30:00"/>
    <n v="0"/>
    <x v="1"/>
  </r>
  <r>
    <x v="0"/>
    <s v="Egypt"/>
    <x v="6"/>
    <x v="28"/>
    <x v="28"/>
    <m/>
    <m/>
    <s v="Break 30 Night"/>
    <s v="+2:15 AM"/>
    <s v="+2:45 AM"/>
    <n v="0"/>
    <x v="1"/>
  </r>
  <r>
    <x v="0"/>
    <s v="Egypt"/>
    <x v="6"/>
    <x v="28"/>
    <x v="28"/>
    <d v="2025-06-21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30:00"/>
    <d v="1899-12-30T23:45:00"/>
    <n v="0"/>
    <x v="1"/>
  </r>
  <r>
    <x v="0"/>
    <s v="Egypt"/>
    <x v="6"/>
    <x v="28"/>
    <x v="28"/>
    <m/>
    <m/>
    <s v="Break 30 Night"/>
    <s v="+3:00 AM"/>
    <s v="+3:30 AM"/>
    <n v="0"/>
    <x v="1"/>
  </r>
  <r>
    <x v="0"/>
    <s v="Egypt"/>
    <x v="6"/>
    <x v="28"/>
    <x v="28"/>
    <d v="2025-06-22T00:00:00"/>
    <m/>
    <s v="Day Off"/>
    <m/>
    <m/>
    <n v="0"/>
    <x v="1"/>
  </r>
  <r>
    <x v="0"/>
    <s v="Egypt"/>
    <x v="6"/>
    <x v="28"/>
    <x v="28"/>
    <d v="2025-06-23T00:00:00"/>
    <d v="1899-12-30T09:30:00"/>
    <s v="Non Telecom"/>
    <d v="1899-12-30T15:00:00"/>
    <s v="+12:30 AM"/>
    <n v="34200"/>
    <x v="0"/>
  </r>
  <r>
    <x v="0"/>
    <s v="Egypt"/>
    <x v="6"/>
    <x v="28"/>
    <x v="28"/>
    <m/>
    <m/>
    <s v="Shift Move"/>
    <d v="1899-12-30T15:15:00"/>
    <d v="1899-12-30T16:15:00"/>
    <n v="0"/>
    <x v="1"/>
  </r>
  <r>
    <x v="0"/>
    <s v="Egypt"/>
    <x v="6"/>
    <x v="28"/>
    <x v="28"/>
    <m/>
    <m/>
    <s v="Break 15 Morning"/>
    <d v="1899-12-30T18:30:00"/>
    <d v="1899-12-30T18:45:00"/>
    <n v="0"/>
    <x v="1"/>
  </r>
  <r>
    <x v="0"/>
    <s v="Egypt"/>
    <x v="6"/>
    <x v="28"/>
    <x v="28"/>
    <m/>
    <m/>
    <s v="Break 30 Morning"/>
    <d v="1899-12-30T21:15:00"/>
    <d v="1899-12-30T21:45:00"/>
    <n v="0"/>
    <x v="1"/>
  </r>
  <r>
    <x v="0"/>
    <s v="Egypt"/>
    <x v="6"/>
    <x v="28"/>
    <x v="28"/>
    <d v="2025-06-24T00:00:00"/>
    <d v="1899-12-30T08:15:00"/>
    <s v="Uncertified Sick Leave"/>
    <m/>
    <m/>
    <n v="29700"/>
    <x v="1"/>
  </r>
  <r>
    <x v="0"/>
    <s v="Egypt"/>
    <x v="6"/>
    <x v="28"/>
    <x v="28"/>
    <d v="2025-06-25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15:00"/>
    <d v="1899-12-30T23:30:00"/>
    <n v="0"/>
    <x v="1"/>
  </r>
  <r>
    <x v="0"/>
    <s v="Egypt"/>
    <x v="6"/>
    <x v="28"/>
    <x v="28"/>
    <m/>
    <m/>
    <s v="Break 30 Night"/>
    <s v="+3:00 AM"/>
    <s v="+3:30 AM"/>
    <n v="0"/>
    <x v="1"/>
  </r>
  <r>
    <x v="0"/>
    <s v="Egypt"/>
    <x v="6"/>
    <x v="28"/>
    <x v="28"/>
    <d v="2025-06-26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30:00"/>
    <d v="1899-12-30T23:45:00"/>
    <n v="0"/>
    <x v="1"/>
  </r>
  <r>
    <x v="0"/>
    <s v="Egypt"/>
    <x v="6"/>
    <x v="28"/>
    <x v="28"/>
    <m/>
    <m/>
    <s v="Break 30 Night"/>
    <s v="+3:00 AM"/>
    <s v="+3:30 AM"/>
    <n v="0"/>
    <x v="1"/>
  </r>
  <r>
    <x v="0"/>
    <s v="Egypt"/>
    <x v="6"/>
    <x v="28"/>
    <x v="28"/>
    <d v="2025-06-27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30:00"/>
    <d v="1899-12-30T23:45:00"/>
    <n v="0"/>
    <x v="1"/>
  </r>
  <r>
    <x v="0"/>
    <s v="Egypt"/>
    <x v="6"/>
    <x v="28"/>
    <x v="28"/>
    <m/>
    <m/>
    <s v="Break 30 Night"/>
    <s v="+2:45 AM"/>
    <s v="+3:15 AM"/>
    <n v="0"/>
    <x v="1"/>
  </r>
  <r>
    <x v="0"/>
    <s v="Egypt"/>
    <x v="6"/>
    <x v="28"/>
    <x v="28"/>
    <d v="2025-06-28T00:00:00"/>
    <m/>
    <s v="Day Off"/>
    <m/>
    <m/>
    <n v="0"/>
    <x v="1"/>
  </r>
  <r>
    <x v="0"/>
    <s v="Egypt"/>
    <x v="6"/>
    <x v="28"/>
    <x v="28"/>
    <d v="2025-06-29T00:00:00"/>
    <d v="1899-12-30T08:15:00"/>
    <s v="Annual"/>
    <m/>
    <m/>
    <n v="29700"/>
    <x v="1"/>
  </r>
  <r>
    <x v="0"/>
    <s v="Egypt"/>
    <x v="6"/>
    <x v="28"/>
    <x v="28"/>
    <d v="2025-06-30T00:00:00"/>
    <d v="1899-12-30T08:15:00"/>
    <s v="Non Telecom"/>
    <d v="1899-12-30T21:00:00"/>
    <s v="+5:15 AM"/>
    <n v="29700"/>
    <x v="0"/>
  </r>
  <r>
    <x v="0"/>
    <s v="Egypt"/>
    <x v="6"/>
    <x v="28"/>
    <x v="28"/>
    <m/>
    <m/>
    <s v="Break 15 Night"/>
    <d v="1899-12-30T23:45:00"/>
    <s v="+12:00 AM"/>
    <n v="0"/>
    <x v="1"/>
  </r>
  <r>
    <x v="0"/>
    <s v="Egypt"/>
    <x v="6"/>
    <x v="28"/>
    <x v="28"/>
    <m/>
    <m/>
    <s v="Break 30 Night"/>
    <s v="+3:00 AM"/>
    <s v="+3:30 AM"/>
    <n v="0"/>
    <x v="1"/>
  </r>
  <r>
    <x v="0"/>
    <s v="Egypt"/>
    <x v="6"/>
    <x v="29"/>
    <x v="29"/>
    <d v="2025-06-01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00:00"/>
    <d v="1899-12-30T23:15:00"/>
    <n v="0"/>
    <x v="1"/>
  </r>
  <r>
    <x v="0"/>
    <s v="Egypt"/>
    <x v="6"/>
    <x v="29"/>
    <x v="29"/>
    <m/>
    <m/>
    <s v="Break 30 Night"/>
    <s v="+2:15 AM"/>
    <s v="+2:45 AM"/>
    <n v="0"/>
    <x v="1"/>
  </r>
  <r>
    <x v="0"/>
    <s v="Egypt"/>
    <x v="6"/>
    <x v="29"/>
    <x v="29"/>
    <d v="2025-06-02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2:30:00"/>
    <d v="1899-12-30T22:45:00"/>
    <n v="0"/>
    <x v="1"/>
  </r>
  <r>
    <x v="0"/>
    <s v="Egypt"/>
    <x v="6"/>
    <x v="29"/>
    <x v="29"/>
    <m/>
    <m/>
    <s v="Break 30 Night"/>
    <s v="+2:15 AM"/>
    <s v="+2:45 AM"/>
    <n v="0"/>
    <x v="1"/>
  </r>
  <r>
    <x v="0"/>
    <s v="Egypt"/>
    <x v="6"/>
    <x v="29"/>
    <x v="29"/>
    <d v="2025-06-03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15:00"/>
    <d v="1899-12-30T23:30:00"/>
    <n v="0"/>
    <x v="1"/>
  </r>
  <r>
    <x v="0"/>
    <s v="Egypt"/>
    <x v="6"/>
    <x v="29"/>
    <x v="29"/>
    <m/>
    <m/>
    <s v="Break 30 Night"/>
    <s v="+2:15 AM"/>
    <s v="+2:45 AM"/>
    <n v="0"/>
    <x v="1"/>
  </r>
  <r>
    <x v="0"/>
    <s v="Egypt"/>
    <x v="6"/>
    <x v="29"/>
    <x v="29"/>
    <d v="2025-06-04T00:00:00"/>
    <m/>
    <s v="Day Off"/>
    <m/>
    <m/>
    <n v="0"/>
    <x v="1"/>
  </r>
  <r>
    <x v="0"/>
    <s v="Egypt"/>
    <x v="6"/>
    <x v="29"/>
    <x v="29"/>
    <d v="2025-06-05T00:00:00"/>
    <d v="1899-12-30T08:15:00"/>
    <s v="Non Telecom"/>
    <d v="1899-12-30T15:00:00"/>
    <d v="1899-12-30T23:15:00"/>
    <n v="29700"/>
    <x v="0"/>
  </r>
  <r>
    <x v="0"/>
    <s v="Egypt"/>
    <x v="6"/>
    <x v="29"/>
    <x v="29"/>
    <m/>
    <m/>
    <s v="Break 15 Morning"/>
    <d v="1899-12-30T17:00:00"/>
    <d v="1899-12-30T17:15:00"/>
    <n v="0"/>
    <x v="1"/>
  </r>
  <r>
    <x v="0"/>
    <s v="Egypt"/>
    <x v="6"/>
    <x v="29"/>
    <x v="29"/>
    <m/>
    <m/>
    <s v="Break 30 Morning"/>
    <d v="1899-12-30T20:15:00"/>
    <d v="1899-12-30T20:45:00"/>
    <n v="0"/>
    <x v="1"/>
  </r>
  <r>
    <x v="0"/>
    <s v="Egypt"/>
    <x v="6"/>
    <x v="29"/>
    <x v="29"/>
    <d v="2025-06-06T00:00:00"/>
    <d v="1899-12-30T08:15:00"/>
    <s v="Annual"/>
    <m/>
    <m/>
    <n v="29700"/>
    <x v="1"/>
  </r>
  <r>
    <x v="0"/>
    <s v="Egypt"/>
    <x v="6"/>
    <x v="29"/>
    <x v="29"/>
    <d v="2025-06-07T00:00:00"/>
    <m/>
    <s v="Day Off"/>
    <m/>
    <m/>
    <n v="0"/>
    <x v="1"/>
  </r>
  <r>
    <x v="0"/>
    <s v="Egypt"/>
    <x v="6"/>
    <x v="29"/>
    <x v="29"/>
    <d v="2025-06-08T00:00:00"/>
    <d v="1899-12-30T08:15:00"/>
    <s v="Non Telecom"/>
    <d v="1899-12-30T15:00:00"/>
    <d v="1899-12-30T23:15:00"/>
    <n v="29700"/>
    <x v="0"/>
  </r>
  <r>
    <x v="0"/>
    <s v="Egypt"/>
    <x v="6"/>
    <x v="29"/>
    <x v="29"/>
    <m/>
    <m/>
    <s v="Break 15 Morning"/>
    <d v="1899-12-30T17:15:00"/>
    <d v="1899-12-30T17:30:00"/>
    <n v="0"/>
    <x v="1"/>
  </r>
  <r>
    <x v="0"/>
    <s v="Egypt"/>
    <x v="6"/>
    <x v="29"/>
    <x v="29"/>
    <m/>
    <m/>
    <s v="Break 30 Morning"/>
    <d v="1899-12-30T20:15:00"/>
    <d v="1899-12-30T20:45:00"/>
    <n v="0"/>
    <x v="1"/>
  </r>
  <r>
    <x v="0"/>
    <s v="Egypt"/>
    <x v="6"/>
    <x v="29"/>
    <x v="29"/>
    <d v="2025-06-09T00:00:00"/>
    <m/>
    <s v="Day Off"/>
    <m/>
    <m/>
    <n v="0"/>
    <x v="1"/>
  </r>
  <r>
    <x v="0"/>
    <s v="Egypt"/>
    <x v="6"/>
    <x v="29"/>
    <x v="29"/>
    <d v="2025-06-10T00:00:00"/>
    <m/>
    <s v="Day Off"/>
    <m/>
    <m/>
    <n v="0"/>
    <x v="1"/>
  </r>
  <r>
    <x v="0"/>
    <s v="Egypt"/>
    <x v="6"/>
    <x v="29"/>
    <x v="29"/>
    <d v="2025-06-11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00:00"/>
    <d v="1899-12-30T23:15:00"/>
    <n v="0"/>
    <x v="1"/>
  </r>
  <r>
    <x v="0"/>
    <s v="Egypt"/>
    <x v="6"/>
    <x v="29"/>
    <x v="29"/>
    <m/>
    <m/>
    <s v="Break 30 Night"/>
    <s v="+2:30 AM"/>
    <s v="+3:00 AM"/>
    <n v="0"/>
    <x v="1"/>
  </r>
  <r>
    <x v="0"/>
    <s v="Egypt"/>
    <x v="6"/>
    <x v="29"/>
    <x v="29"/>
    <d v="2025-06-12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30:00"/>
    <d v="1899-12-30T23:45:00"/>
    <n v="0"/>
    <x v="1"/>
  </r>
  <r>
    <x v="0"/>
    <s v="Egypt"/>
    <x v="6"/>
    <x v="29"/>
    <x v="29"/>
    <m/>
    <m/>
    <s v="Break 30 Night"/>
    <s v="+2:30 AM"/>
    <s v="+3:00 AM"/>
    <n v="0"/>
    <x v="1"/>
  </r>
  <r>
    <x v="0"/>
    <s v="Egypt"/>
    <x v="6"/>
    <x v="29"/>
    <x v="29"/>
    <d v="2025-06-13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2:45:00"/>
    <d v="1899-12-30T23:00:00"/>
    <n v="0"/>
    <x v="1"/>
  </r>
  <r>
    <x v="0"/>
    <s v="Egypt"/>
    <x v="6"/>
    <x v="29"/>
    <x v="29"/>
    <m/>
    <m/>
    <s v="Break 30 Night"/>
    <s v="+2:00 AM"/>
    <s v="+2:30 AM"/>
    <n v="0"/>
    <x v="1"/>
  </r>
  <r>
    <x v="0"/>
    <s v="Egypt"/>
    <x v="6"/>
    <x v="29"/>
    <x v="29"/>
    <d v="2025-06-14T00:00:00"/>
    <d v="1899-12-30T08:15:00"/>
    <s v="Non Telecom"/>
    <d v="1899-12-30T19:15:00"/>
    <s v="+3:30 AM"/>
    <n v="29700"/>
    <x v="0"/>
  </r>
  <r>
    <x v="0"/>
    <s v="Egypt"/>
    <x v="6"/>
    <x v="29"/>
    <x v="29"/>
    <m/>
    <m/>
    <s v="Break 15 Night"/>
    <d v="1899-12-30T22:15:00"/>
    <d v="1899-12-30T22:30:00"/>
    <n v="0"/>
    <x v="1"/>
  </r>
  <r>
    <x v="0"/>
    <s v="Egypt"/>
    <x v="6"/>
    <x v="29"/>
    <x v="29"/>
    <m/>
    <m/>
    <s v="Break 30 Night"/>
    <s v="+12:45 AM"/>
    <s v="+1:15 AM"/>
    <n v="0"/>
    <x v="1"/>
  </r>
  <r>
    <x v="0"/>
    <s v="Egypt"/>
    <x v="6"/>
    <x v="29"/>
    <x v="29"/>
    <d v="2025-06-15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30:00"/>
    <d v="1899-12-30T23:45:00"/>
    <n v="0"/>
    <x v="1"/>
  </r>
  <r>
    <x v="0"/>
    <s v="Egypt"/>
    <x v="6"/>
    <x v="29"/>
    <x v="29"/>
    <m/>
    <m/>
    <s v="Break 30 Night"/>
    <s v="+2:15 AM"/>
    <s v="+2:45 AM"/>
    <n v="0"/>
    <x v="1"/>
  </r>
  <r>
    <x v="0"/>
    <s v="Egypt"/>
    <x v="6"/>
    <x v="29"/>
    <x v="29"/>
    <d v="2025-06-16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15:00"/>
    <d v="1899-12-30T23:30:00"/>
    <n v="0"/>
    <x v="1"/>
  </r>
  <r>
    <x v="0"/>
    <s v="Egypt"/>
    <x v="6"/>
    <x v="29"/>
    <x v="29"/>
    <m/>
    <m/>
    <s v="Break 30 Night"/>
    <s v="+2:30 AM"/>
    <s v="+3:00 AM"/>
    <n v="0"/>
    <x v="1"/>
  </r>
  <r>
    <x v="0"/>
    <s v="Egypt"/>
    <x v="6"/>
    <x v="29"/>
    <x v="29"/>
    <d v="2025-06-17T00:00:00"/>
    <m/>
    <s v="Day Off"/>
    <m/>
    <m/>
    <n v="0"/>
    <x v="1"/>
  </r>
  <r>
    <x v="0"/>
    <s v="Egypt"/>
    <x v="6"/>
    <x v="29"/>
    <x v="29"/>
    <d v="2025-06-18T00:00:00"/>
    <m/>
    <s v="Day Off"/>
    <m/>
    <m/>
    <n v="0"/>
    <x v="1"/>
  </r>
  <r>
    <x v="0"/>
    <s v="Egypt"/>
    <x v="6"/>
    <x v="29"/>
    <x v="29"/>
    <d v="2025-06-19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s v="+12:15 AM"/>
    <s v="+12:30 AM"/>
    <n v="0"/>
    <x v="1"/>
  </r>
  <r>
    <x v="0"/>
    <s v="Egypt"/>
    <x v="6"/>
    <x v="29"/>
    <x v="29"/>
    <m/>
    <m/>
    <s v="Break 30 Night"/>
    <s v="+3:00 AM"/>
    <s v="+3:30 AM"/>
    <n v="0"/>
    <x v="1"/>
  </r>
  <r>
    <x v="0"/>
    <s v="Egypt"/>
    <x v="6"/>
    <x v="29"/>
    <x v="29"/>
    <d v="2025-06-20T00:00:00"/>
    <d v="1899-12-30T08:15:00"/>
    <s v="Annual Exception"/>
    <m/>
    <m/>
    <n v="29700"/>
    <x v="1"/>
  </r>
  <r>
    <x v="0"/>
    <s v="Egypt"/>
    <x v="6"/>
    <x v="29"/>
    <x v="29"/>
    <d v="2025-06-21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45:00"/>
    <s v="+12:00 AM"/>
    <n v="0"/>
    <x v="1"/>
  </r>
  <r>
    <x v="0"/>
    <s v="Egypt"/>
    <x v="6"/>
    <x v="29"/>
    <x v="29"/>
    <m/>
    <m/>
    <s v="Break 30 Night"/>
    <s v="+3:00 AM"/>
    <s v="+3:30 AM"/>
    <n v="0"/>
    <x v="1"/>
  </r>
  <r>
    <x v="0"/>
    <s v="Egypt"/>
    <x v="6"/>
    <x v="29"/>
    <x v="29"/>
    <d v="2025-06-22T00:00:00"/>
    <m/>
    <s v="Day Off"/>
    <m/>
    <m/>
    <n v="0"/>
    <x v="1"/>
  </r>
  <r>
    <x v="0"/>
    <s v="Egypt"/>
    <x v="6"/>
    <x v="29"/>
    <x v="29"/>
    <d v="2025-06-23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30:00"/>
    <d v="1899-12-30T23:45:00"/>
    <n v="0"/>
    <x v="1"/>
  </r>
  <r>
    <x v="0"/>
    <s v="Egypt"/>
    <x v="6"/>
    <x v="29"/>
    <x v="29"/>
    <m/>
    <m/>
    <s v="Break 30 Night"/>
    <s v="+2:45 AM"/>
    <s v="+3:15 AM"/>
    <n v="0"/>
    <x v="1"/>
  </r>
  <r>
    <x v="0"/>
    <s v="Egypt"/>
    <x v="6"/>
    <x v="29"/>
    <x v="29"/>
    <d v="2025-06-24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s v="+12:00 AM"/>
    <s v="+12:15 AM"/>
    <n v="0"/>
    <x v="1"/>
  </r>
  <r>
    <x v="0"/>
    <s v="Egypt"/>
    <x v="6"/>
    <x v="29"/>
    <x v="29"/>
    <m/>
    <m/>
    <s v="Break 30 Night"/>
    <s v="+2:45 AM"/>
    <s v="+3:15 AM"/>
    <n v="0"/>
    <x v="1"/>
  </r>
  <r>
    <x v="0"/>
    <s v="Egypt"/>
    <x v="6"/>
    <x v="29"/>
    <x v="29"/>
    <d v="2025-06-25T00:00:00"/>
    <d v="1899-12-30T08:15:00"/>
    <s v="Sick"/>
    <m/>
    <m/>
    <n v="29700"/>
    <x v="1"/>
  </r>
  <r>
    <x v="0"/>
    <s v="Egypt"/>
    <x v="6"/>
    <x v="29"/>
    <x v="29"/>
    <d v="2025-06-26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45:00"/>
    <s v="+12:00 AM"/>
    <n v="0"/>
    <x v="1"/>
  </r>
  <r>
    <x v="0"/>
    <s v="Egypt"/>
    <x v="6"/>
    <x v="29"/>
    <x v="29"/>
    <m/>
    <m/>
    <s v="Break 30 Night"/>
    <s v="+3:00 AM"/>
    <s v="+3:30 AM"/>
    <n v="0"/>
    <x v="1"/>
  </r>
  <r>
    <x v="0"/>
    <s v="Egypt"/>
    <x v="6"/>
    <x v="29"/>
    <x v="29"/>
    <d v="2025-06-27T00:00:00"/>
    <d v="1899-12-30T08:15:00"/>
    <s v="Non Telecom"/>
    <d v="1899-12-30T21:00:00"/>
    <s v="+5:15 AM"/>
    <n v="29700"/>
    <x v="0"/>
  </r>
  <r>
    <x v="0"/>
    <s v="Egypt"/>
    <x v="6"/>
    <x v="29"/>
    <x v="29"/>
    <m/>
    <m/>
    <s v="Break 15 Night"/>
    <d v="1899-12-30T23:45:00"/>
    <s v="+12:00 AM"/>
    <n v="0"/>
    <x v="1"/>
  </r>
  <r>
    <x v="0"/>
    <s v="Egypt"/>
    <x v="6"/>
    <x v="29"/>
    <x v="29"/>
    <m/>
    <m/>
    <s v="Break 30 Night"/>
    <s v="+2:45 AM"/>
    <s v="+3:15 AM"/>
    <n v="0"/>
    <x v="1"/>
  </r>
  <r>
    <x v="0"/>
    <s v="Egypt"/>
    <x v="6"/>
    <x v="29"/>
    <x v="29"/>
    <d v="2025-06-28T00:00:00"/>
    <m/>
    <s v="Day Off"/>
    <m/>
    <m/>
    <n v="0"/>
    <x v="1"/>
  </r>
  <r>
    <x v="0"/>
    <s v="Egypt"/>
    <x v="6"/>
    <x v="29"/>
    <x v="29"/>
    <d v="2025-06-29T00:00:00"/>
    <d v="1899-12-30T08:15:00"/>
    <s v="Non Telecom"/>
    <d v="1899-12-30T13:00:00"/>
    <d v="1899-12-30T21:15:00"/>
    <n v="29700"/>
    <x v="0"/>
  </r>
  <r>
    <x v="0"/>
    <s v="Egypt"/>
    <x v="6"/>
    <x v="29"/>
    <x v="29"/>
    <m/>
    <m/>
    <s v="Break 15 Morning"/>
    <d v="1899-12-30T15:00:00"/>
    <d v="1899-12-30T15:15:00"/>
    <n v="0"/>
    <x v="1"/>
  </r>
  <r>
    <x v="0"/>
    <s v="Egypt"/>
    <x v="6"/>
    <x v="29"/>
    <x v="29"/>
    <m/>
    <m/>
    <s v="Break 30 Morning"/>
    <d v="1899-12-30T18:30:00"/>
    <d v="1899-12-30T19:00:00"/>
    <n v="0"/>
    <x v="1"/>
  </r>
  <r>
    <x v="0"/>
    <s v="Egypt"/>
    <x v="6"/>
    <x v="29"/>
    <x v="29"/>
    <d v="2025-06-30T00:00:00"/>
    <d v="1899-12-30T08:15:00"/>
    <s v="Non Telecom"/>
    <d v="1899-12-30T13:00:00"/>
    <d v="1899-12-30T21:15:00"/>
    <n v="29700"/>
    <x v="0"/>
  </r>
  <r>
    <x v="0"/>
    <s v="Egypt"/>
    <x v="6"/>
    <x v="29"/>
    <x v="29"/>
    <m/>
    <m/>
    <s v="Break 15 Morning"/>
    <d v="1899-12-30T15:30:00"/>
    <d v="1899-12-30T15:45:00"/>
    <n v="0"/>
    <x v="1"/>
  </r>
  <r>
    <x v="0"/>
    <s v="Egypt"/>
    <x v="6"/>
    <x v="29"/>
    <x v="29"/>
    <m/>
    <m/>
    <s v="Break 30 Morning"/>
    <d v="1899-12-30T18:15:00"/>
    <d v="1899-12-30T18:45:00"/>
    <n v="0"/>
    <x v="1"/>
  </r>
  <r>
    <x v="0"/>
    <s v="Egypt"/>
    <x v="6"/>
    <x v="30"/>
    <x v="30"/>
    <d v="2025-06-01T00:00:00"/>
    <d v="1899-12-30T00:00:00"/>
    <s v="Loan"/>
    <m/>
    <m/>
    <n v="0"/>
    <x v="1"/>
  </r>
  <r>
    <x v="0"/>
    <s v="Egypt"/>
    <x v="6"/>
    <x v="30"/>
    <x v="30"/>
    <d v="2025-06-02T00:00:00"/>
    <d v="1899-12-30T00:00:00"/>
    <s v="Loan"/>
    <m/>
    <m/>
    <n v="0"/>
    <x v="1"/>
  </r>
  <r>
    <x v="0"/>
    <s v="Egypt"/>
    <x v="6"/>
    <x v="30"/>
    <x v="30"/>
    <d v="2025-06-03T00:00:00"/>
    <d v="1899-12-30T00:00:00"/>
    <s v="Loan"/>
    <m/>
    <m/>
    <n v="0"/>
    <x v="1"/>
  </r>
  <r>
    <x v="0"/>
    <s v="Egypt"/>
    <x v="6"/>
    <x v="30"/>
    <x v="30"/>
    <d v="2025-06-04T00:00:00"/>
    <d v="1899-12-30T00:00:00"/>
    <s v="Loan"/>
    <m/>
    <m/>
    <n v="0"/>
    <x v="1"/>
  </r>
  <r>
    <x v="0"/>
    <s v="Egypt"/>
    <x v="6"/>
    <x v="30"/>
    <x v="30"/>
    <d v="2025-06-05T00:00:00"/>
    <d v="1899-12-30T00:00:00"/>
    <s v="Loan"/>
    <m/>
    <m/>
    <n v="0"/>
    <x v="1"/>
  </r>
  <r>
    <x v="0"/>
    <s v="Egypt"/>
    <x v="6"/>
    <x v="30"/>
    <x v="30"/>
    <d v="2025-06-06T00:00:00"/>
    <d v="1899-12-30T00:00:00"/>
    <s v="Loan"/>
    <m/>
    <m/>
    <n v="0"/>
    <x v="1"/>
  </r>
  <r>
    <x v="0"/>
    <s v="Egypt"/>
    <x v="6"/>
    <x v="30"/>
    <x v="30"/>
    <d v="2025-06-07T00:00:00"/>
    <d v="1899-12-30T00:00:00"/>
    <s v="Loan"/>
    <m/>
    <m/>
    <n v="0"/>
    <x v="1"/>
  </r>
  <r>
    <x v="0"/>
    <s v="Egypt"/>
    <x v="6"/>
    <x v="30"/>
    <x v="30"/>
    <d v="2025-06-08T00:00:00"/>
    <d v="1899-12-30T00:00:00"/>
    <s v="Loan"/>
    <m/>
    <m/>
    <n v="0"/>
    <x v="1"/>
  </r>
  <r>
    <x v="0"/>
    <s v="Egypt"/>
    <x v="6"/>
    <x v="30"/>
    <x v="30"/>
    <d v="2025-06-09T00:00:00"/>
    <d v="1899-12-30T00:00:00"/>
    <s v="Loan"/>
    <m/>
    <m/>
    <n v="0"/>
    <x v="1"/>
  </r>
  <r>
    <x v="0"/>
    <s v="Egypt"/>
    <x v="6"/>
    <x v="30"/>
    <x v="30"/>
    <d v="2025-06-10T00:00:00"/>
    <d v="1899-12-30T00:00:00"/>
    <s v="Loan"/>
    <m/>
    <m/>
    <n v="0"/>
    <x v="1"/>
  </r>
  <r>
    <x v="0"/>
    <s v="Egypt"/>
    <x v="6"/>
    <x v="30"/>
    <x v="30"/>
    <d v="2025-06-11T00:00:00"/>
    <d v="1899-12-30T00:00:00"/>
    <s v="Loan"/>
    <m/>
    <m/>
    <n v="0"/>
    <x v="1"/>
  </r>
  <r>
    <x v="0"/>
    <s v="Egypt"/>
    <x v="6"/>
    <x v="30"/>
    <x v="30"/>
    <d v="2025-06-12T00:00:00"/>
    <d v="1899-12-30T08:15:00"/>
    <s v="Annual Exception"/>
    <m/>
    <m/>
    <n v="29700"/>
    <x v="1"/>
  </r>
  <r>
    <x v="0"/>
    <s v="Egypt"/>
    <x v="6"/>
    <x v="30"/>
    <x v="30"/>
    <d v="2025-06-13T00:00:00"/>
    <m/>
    <s v="Day Off"/>
    <m/>
    <m/>
    <n v="0"/>
    <x v="1"/>
  </r>
  <r>
    <x v="0"/>
    <s v="Egypt"/>
    <x v="6"/>
    <x v="30"/>
    <x v="30"/>
    <d v="2025-06-14T00:00:00"/>
    <m/>
    <s v="Day Off"/>
    <m/>
    <m/>
    <n v="0"/>
    <x v="1"/>
  </r>
  <r>
    <x v="0"/>
    <s v="Egypt"/>
    <x v="6"/>
    <x v="30"/>
    <x v="30"/>
    <d v="2025-06-15T00:00:00"/>
    <d v="1899-12-30T08:15:00"/>
    <s v="Annual Exception"/>
    <m/>
    <m/>
    <n v="29700"/>
    <x v="1"/>
  </r>
  <r>
    <x v="0"/>
    <s v="Egypt"/>
    <x v="6"/>
    <x v="30"/>
    <x v="30"/>
    <d v="2025-06-16T00:00:00"/>
    <d v="1899-12-30T08:15:00"/>
    <s v="Annual Exception"/>
    <m/>
    <m/>
    <n v="29700"/>
    <x v="1"/>
  </r>
  <r>
    <x v="0"/>
    <s v="Egypt"/>
    <x v="6"/>
    <x v="30"/>
    <x v="30"/>
    <d v="2025-06-17T00:00:00"/>
    <d v="1899-12-30T08:15:00"/>
    <s v="Annual Exception"/>
    <m/>
    <m/>
    <n v="29700"/>
    <x v="1"/>
  </r>
  <r>
    <x v="0"/>
    <s v="Egypt"/>
    <x v="6"/>
    <x v="30"/>
    <x v="30"/>
    <d v="2025-06-18T00:00:00"/>
    <d v="1899-12-30T08:15:00"/>
    <s v="Annual Exception"/>
    <m/>
    <m/>
    <n v="29700"/>
    <x v="1"/>
  </r>
  <r>
    <x v="0"/>
    <s v="Egypt"/>
    <x v="6"/>
    <x v="30"/>
    <x v="30"/>
    <d v="2025-06-19T00:00:00"/>
    <d v="1899-12-30T08:15:00"/>
    <s v="Annual Exception"/>
    <m/>
    <m/>
    <n v="29700"/>
    <x v="1"/>
  </r>
  <r>
    <x v="0"/>
    <s v="Egypt"/>
    <x v="6"/>
    <x v="30"/>
    <x v="30"/>
    <d v="2025-06-20T00:00:00"/>
    <m/>
    <s v="Day Off"/>
    <m/>
    <m/>
    <n v="0"/>
    <x v="1"/>
  </r>
  <r>
    <x v="0"/>
    <s v="Egypt"/>
    <x v="6"/>
    <x v="30"/>
    <x v="30"/>
    <d v="2025-06-21T00:00:00"/>
    <m/>
    <s v="Day Off"/>
    <m/>
    <m/>
    <n v="0"/>
    <x v="1"/>
  </r>
  <r>
    <x v="0"/>
    <s v="Egypt"/>
    <x v="6"/>
    <x v="30"/>
    <x v="30"/>
    <d v="2025-06-22T00:00:00"/>
    <d v="1899-12-30T08:15:00"/>
    <s v="Non Telecom"/>
    <d v="1899-12-30T21:00:00"/>
    <s v="+5:15 AM"/>
    <n v="29700"/>
    <x v="0"/>
  </r>
  <r>
    <x v="0"/>
    <s v="Egypt"/>
    <x v="6"/>
    <x v="30"/>
    <x v="30"/>
    <m/>
    <m/>
    <s v="Break 15 Night"/>
    <d v="1899-12-30T23:45:00"/>
    <s v="+12:00 AM"/>
    <n v="0"/>
    <x v="1"/>
  </r>
  <r>
    <x v="0"/>
    <s v="Egypt"/>
    <x v="6"/>
    <x v="30"/>
    <x v="30"/>
    <m/>
    <m/>
    <s v="Break 30 Night"/>
    <s v="+3:15 AM"/>
    <s v="+3:45 AM"/>
    <n v="0"/>
    <x v="1"/>
  </r>
  <r>
    <x v="0"/>
    <s v="Egypt"/>
    <x v="6"/>
    <x v="30"/>
    <x v="30"/>
    <d v="2025-06-23T00:00:00"/>
    <d v="1899-12-30T08:15:00"/>
    <s v="Non Telecom"/>
    <d v="1899-12-30T21:00:00"/>
    <s v="+5:15 AM"/>
    <n v="29700"/>
    <x v="0"/>
  </r>
  <r>
    <x v="0"/>
    <s v="Egypt"/>
    <x v="6"/>
    <x v="30"/>
    <x v="30"/>
    <m/>
    <m/>
    <s v="Break 15 Morning"/>
    <d v="1899-12-30T22:00:00"/>
    <d v="1899-12-30T22:15:00"/>
    <n v="0"/>
    <x v="1"/>
  </r>
  <r>
    <x v="0"/>
    <s v="Egypt"/>
    <x v="6"/>
    <x v="30"/>
    <x v="30"/>
    <m/>
    <m/>
    <s v="Break 30 Morning"/>
    <s v="+12:30 AM"/>
    <s v="+1:00 AM"/>
    <n v="0"/>
    <x v="1"/>
  </r>
  <r>
    <x v="0"/>
    <s v="Egypt"/>
    <x v="6"/>
    <x v="30"/>
    <x v="30"/>
    <d v="2025-06-24T00:00:00"/>
    <d v="1899-12-30T08:15:00"/>
    <s v="Non Telecom"/>
    <d v="1899-12-30T21:00:00"/>
    <s v="+5:15 AM"/>
    <n v="29700"/>
    <x v="0"/>
  </r>
  <r>
    <x v="0"/>
    <s v="Egypt"/>
    <x v="6"/>
    <x v="30"/>
    <x v="30"/>
    <m/>
    <m/>
    <s v="Break 15 Night"/>
    <s v="+12:00 AM"/>
    <s v="+12:15 AM"/>
    <n v="0"/>
    <x v="1"/>
  </r>
  <r>
    <x v="0"/>
    <s v="Egypt"/>
    <x v="6"/>
    <x v="30"/>
    <x v="30"/>
    <m/>
    <m/>
    <s v="Break 30 Night"/>
    <s v="+3:00 AM"/>
    <s v="+3:30 AM"/>
    <n v="0"/>
    <x v="1"/>
  </r>
  <r>
    <x v="0"/>
    <s v="Egypt"/>
    <x v="6"/>
    <x v="30"/>
    <x v="30"/>
    <d v="2025-06-25T00:00:00"/>
    <d v="1899-12-30T08:15:00"/>
    <s v="Annual"/>
    <m/>
    <m/>
    <n v="29700"/>
    <x v="1"/>
  </r>
  <r>
    <x v="0"/>
    <s v="Egypt"/>
    <x v="6"/>
    <x v="30"/>
    <x v="30"/>
    <d v="2025-06-26T00:00:00"/>
    <d v="1899-12-30T08:15:00"/>
    <s v="Annual"/>
    <m/>
    <m/>
    <n v="29700"/>
    <x v="1"/>
  </r>
  <r>
    <x v="0"/>
    <s v="Egypt"/>
    <x v="6"/>
    <x v="30"/>
    <x v="30"/>
    <d v="2025-06-27T00:00:00"/>
    <m/>
    <s v="Day Off"/>
    <m/>
    <m/>
    <n v="0"/>
    <x v="1"/>
  </r>
  <r>
    <x v="0"/>
    <s v="Egypt"/>
    <x v="6"/>
    <x v="30"/>
    <x v="30"/>
    <d v="2025-06-28T00:00:00"/>
    <m/>
    <s v="Day Off"/>
    <m/>
    <m/>
    <n v="0"/>
    <x v="1"/>
  </r>
  <r>
    <x v="0"/>
    <s v="Egypt"/>
    <x v="6"/>
    <x v="30"/>
    <x v="30"/>
    <d v="2025-06-29T00:00:00"/>
    <d v="1899-12-30T08:15:00"/>
    <s v="Annual Exception"/>
    <m/>
    <m/>
    <n v="29700"/>
    <x v="1"/>
  </r>
  <r>
    <x v="0"/>
    <s v="Egypt"/>
    <x v="6"/>
    <x v="30"/>
    <x v="30"/>
    <d v="2025-06-30T00:00:00"/>
    <d v="1899-12-30T08:15:00"/>
    <s v="Non Telecom"/>
    <d v="1899-12-30T18:00:00"/>
    <s v="+2:15 AM"/>
    <n v="29700"/>
    <x v="0"/>
  </r>
  <r>
    <x v="0"/>
    <s v="Egypt"/>
    <x v="6"/>
    <x v="30"/>
    <x v="30"/>
    <m/>
    <m/>
    <s v="Break 15 Night"/>
    <d v="1899-12-30T21:00:00"/>
    <d v="1899-12-30T21:15:00"/>
    <n v="0"/>
    <x v="1"/>
  </r>
  <r>
    <x v="0"/>
    <s v="Egypt"/>
    <x v="6"/>
    <x v="30"/>
    <x v="30"/>
    <m/>
    <m/>
    <s v="Break 30 Night"/>
    <s v="+12:00 AM"/>
    <s v="+12:30 AM"/>
    <n v="0"/>
    <x v="1"/>
  </r>
  <r>
    <x v="0"/>
    <s v="Egypt"/>
    <x v="6"/>
    <x v="31"/>
    <x v="31"/>
    <d v="2025-06-01T00:00:00"/>
    <d v="1899-12-30T08:15:00"/>
    <s v="Support Training"/>
    <m/>
    <m/>
    <n v="29700"/>
    <x v="1"/>
  </r>
  <r>
    <x v="0"/>
    <s v="Egypt"/>
    <x v="6"/>
    <x v="31"/>
    <x v="31"/>
    <d v="2025-06-02T00:00:00"/>
    <d v="1899-12-30T08:15:00"/>
    <s v="Support Training"/>
    <m/>
    <m/>
    <n v="29700"/>
    <x v="1"/>
  </r>
  <r>
    <x v="0"/>
    <s v="Egypt"/>
    <x v="6"/>
    <x v="31"/>
    <x v="31"/>
    <d v="2025-06-03T00:00:00"/>
    <d v="1899-12-30T08:15:00"/>
    <s v="Support Training"/>
    <m/>
    <m/>
    <n v="29700"/>
    <x v="1"/>
  </r>
  <r>
    <x v="0"/>
    <s v="Egypt"/>
    <x v="6"/>
    <x v="31"/>
    <x v="31"/>
    <d v="2025-06-04T00:00:00"/>
    <m/>
    <s v="Day Off"/>
    <m/>
    <m/>
    <n v="0"/>
    <x v="1"/>
  </r>
  <r>
    <x v="0"/>
    <s v="Egypt"/>
    <x v="6"/>
    <x v="31"/>
    <x v="31"/>
    <d v="2025-06-05T00:00:00"/>
    <m/>
    <s v="Day Off"/>
    <m/>
    <m/>
    <n v="0"/>
    <x v="1"/>
  </r>
  <r>
    <x v="0"/>
    <s v="Egypt"/>
    <x v="6"/>
    <x v="31"/>
    <x v="31"/>
    <d v="2025-06-06T00:00:00"/>
    <d v="1899-12-30T08:15:00"/>
    <s v="Support Training"/>
    <m/>
    <m/>
    <n v="29700"/>
    <x v="1"/>
  </r>
  <r>
    <x v="0"/>
    <s v="Egypt"/>
    <x v="6"/>
    <x v="31"/>
    <x v="31"/>
    <d v="2025-06-07T00:00:00"/>
    <d v="1899-12-30T08:15:00"/>
    <s v="Support Training"/>
    <m/>
    <m/>
    <n v="29700"/>
    <x v="1"/>
  </r>
  <r>
    <x v="0"/>
    <s v="Egypt"/>
    <x v="6"/>
    <x v="31"/>
    <x v="31"/>
    <d v="2025-06-08T00:00:00"/>
    <d v="1899-12-30T08:15:00"/>
    <s v="Support Training"/>
    <m/>
    <m/>
    <n v="29700"/>
    <x v="1"/>
  </r>
  <r>
    <x v="0"/>
    <s v="Egypt"/>
    <x v="6"/>
    <x v="31"/>
    <x v="31"/>
    <d v="2025-06-09T00:00:00"/>
    <m/>
    <s v="Day Off"/>
    <m/>
    <m/>
    <n v="0"/>
    <x v="1"/>
  </r>
  <r>
    <x v="0"/>
    <s v="Egypt"/>
    <x v="6"/>
    <x v="31"/>
    <x v="31"/>
    <d v="2025-06-10T00:00:00"/>
    <d v="1899-12-30T08:15:00"/>
    <s v="Support Training"/>
    <m/>
    <m/>
    <n v="29700"/>
    <x v="1"/>
  </r>
  <r>
    <x v="0"/>
    <s v="Egypt"/>
    <x v="6"/>
    <x v="31"/>
    <x v="31"/>
    <d v="2025-06-11T00:00:00"/>
    <d v="1899-12-30T08:15:00"/>
    <s v="Support Training"/>
    <m/>
    <m/>
    <n v="29700"/>
    <x v="1"/>
  </r>
  <r>
    <x v="0"/>
    <s v="Egypt"/>
    <x v="6"/>
    <x v="31"/>
    <x v="31"/>
    <d v="2025-06-12T00:00:00"/>
    <d v="1899-12-30T08:15:00"/>
    <s v="Support Training"/>
    <m/>
    <m/>
    <n v="29700"/>
    <x v="1"/>
  </r>
  <r>
    <x v="0"/>
    <s v="Egypt"/>
    <x v="6"/>
    <x v="31"/>
    <x v="31"/>
    <d v="2025-06-13T00:00:00"/>
    <d v="1899-12-30T08:15:00"/>
    <s v="Support Training"/>
    <m/>
    <m/>
    <n v="29700"/>
    <x v="1"/>
  </r>
  <r>
    <x v="0"/>
    <s v="Egypt"/>
    <x v="6"/>
    <x v="31"/>
    <x v="31"/>
    <d v="2025-06-14T00:00:00"/>
    <m/>
    <s v="Day Off"/>
    <m/>
    <m/>
    <n v="0"/>
    <x v="1"/>
  </r>
  <r>
    <x v="0"/>
    <s v="Egypt"/>
    <x v="6"/>
    <x v="31"/>
    <x v="31"/>
    <d v="2025-06-15T00:00:00"/>
    <m/>
    <s v="Day Off"/>
    <m/>
    <m/>
    <n v="0"/>
    <x v="1"/>
  </r>
  <r>
    <x v="0"/>
    <s v="Egypt"/>
    <x v="6"/>
    <x v="31"/>
    <x v="31"/>
    <d v="2025-06-16T00:00:00"/>
    <d v="1899-12-30T08:15:00"/>
    <s v="Non Telecom"/>
    <d v="1899-12-30T19:15:00"/>
    <s v="+3:30 AM"/>
    <n v="29700"/>
    <x v="0"/>
  </r>
  <r>
    <x v="0"/>
    <s v="Egypt"/>
    <x v="6"/>
    <x v="31"/>
    <x v="31"/>
    <m/>
    <m/>
    <s v="Break 15 Night"/>
    <d v="1899-12-30T22:15:00"/>
    <d v="1899-12-30T22:30:00"/>
    <n v="0"/>
    <x v="1"/>
  </r>
  <r>
    <x v="0"/>
    <s v="Egypt"/>
    <x v="6"/>
    <x v="31"/>
    <x v="31"/>
    <m/>
    <m/>
    <s v="Break 30 Night"/>
    <s v="+1:00 AM"/>
    <s v="+1:30 AM"/>
    <n v="0"/>
    <x v="1"/>
  </r>
  <r>
    <x v="0"/>
    <s v="Egypt"/>
    <x v="6"/>
    <x v="31"/>
    <x v="31"/>
    <d v="2025-06-17T00:00:00"/>
    <d v="1899-12-30T08:15:00"/>
    <s v="Non Telecom"/>
    <d v="1899-12-30T20:00:00"/>
    <s v="+4:15 AM"/>
    <n v="29700"/>
    <x v="0"/>
  </r>
  <r>
    <x v="0"/>
    <s v="Egypt"/>
    <x v="6"/>
    <x v="31"/>
    <x v="31"/>
    <m/>
    <m/>
    <s v="Break 15 Night"/>
    <d v="1899-12-30T22:30:00"/>
    <d v="1899-12-30T22:45:00"/>
    <n v="0"/>
    <x v="1"/>
  </r>
  <r>
    <x v="0"/>
    <s v="Egypt"/>
    <x v="6"/>
    <x v="31"/>
    <x v="31"/>
    <m/>
    <m/>
    <s v="Break 30 Night"/>
    <s v="+1:30 AM"/>
    <s v="+2:00 AM"/>
    <n v="0"/>
    <x v="1"/>
  </r>
  <r>
    <x v="0"/>
    <s v="Egypt"/>
    <x v="6"/>
    <x v="31"/>
    <x v="31"/>
    <d v="2025-06-18T00:00:00"/>
    <d v="1899-12-30T08:00:00"/>
    <s v="Non Reserved Annual"/>
    <d v="1899-12-30T09:15:00"/>
    <d v="1899-12-30T17:15:00"/>
    <n v="28800"/>
    <x v="1"/>
  </r>
  <r>
    <x v="0"/>
    <s v="Egypt"/>
    <x v="6"/>
    <x v="31"/>
    <x v="31"/>
    <m/>
    <m/>
    <s v="Non Reserved Annual"/>
    <d v="1899-12-30T09:15:00"/>
    <d v="1899-12-30T17:15:00"/>
    <n v="0"/>
    <x v="1"/>
  </r>
  <r>
    <x v="0"/>
    <s v="Egypt"/>
    <x v="6"/>
    <x v="31"/>
    <x v="31"/>
    <d v="2025-06-19T00:00:00"/>
    <d v="1899-12-30T08:15:00"/>
    <s v="Non Telecom"/>
    <d v="1899-12-30T21:00:00"/>
    <s v="+5:15 AM"/>
    <n v="29700"/>
    <x v="0"/>
  </r>
  <r>
    <x v="0"/>
    <s v="Egypt"/>
    <x v="6"/>
    <x v="31"/>
    <x v="31"/>
    <m/>
    <m/>
    <s v="Break 15 Night"/>
    <s v="+12:30 AM"/>
    <s v="+12:45 AM"/>
    <n v="0"/>
    <x v="1"/>
  </r>
  <r>
    <x v="0"/>
    <s v="Egypt"/>
    <x v="6"/>
    <x v="31"/>
    <x v="31"/>
    <m/>
    <m/>
    <s v="Break 30 Night"/>
    <s v="+3:30 AM"/>
    <s v="+4:00 AM"/>
    <n v="0"/>
    <x v="1"/>
  </r>
  <r>
    <x v="0"/>
    <s v="Egypt"/>
    <x v="6"/>
    <x v="31"/>
    <x v="31"/>
    <d v="2025-06-20T00:00:00"/>
    <d v="1899-12-30T08:15:00"/>
    <s v="Non Telecom"/>
    <d v="1899-12-30T21:00:00"/>
    <s v="+5:15 AM"/>
    <n v="29700"/>
    <x v="0"/>
  </r>
  <r>
    <x v="0"/>
    <s v="Egypt"/>
    <x v="6"/>
    <x v="31"/>
    <x v="31"/>
    <m/>
    <m/>
    <s v="Break 15 Night"/>
    <d v="1899-12-30T23:30:00"/>
    <d v="1899-12-30T23:45:00"/>
    <n v="0"/>
    <x v="1"/>
  </r>
  <r>
    <x v="0"/>
    <s v="Egypt"/>
    <x v="6"/>
    <x v="31"/>
    <x v="31"/>
    <m/>
    <m/>
    <s v="Break 30 Night"/>
    <s v="+2:45 AM"/>
    <s v="+3:15 AM"/>
    <n v="0"/>
    <x v="1"/>
  </r>
  <r>
    <x v="0"/>
    <s v="Egypt"/>
    <x v="6"/>
    <x v="31"/>
    <x v="31"/>
    <d v="2025-06-21T00:00:00"/>
    <m/>
    <s v="Day Off"/>
    <m/>
    <m/>
    <n v="0"/>
    <x v="1"/>
  </r>
  <r>
    <x v="0"/>
    <s v="Egypt"/>
    <x v="6"/>
    <x v="31"/>
    <x v="31"/>
    <d v="2025-06-22T00:00:00"/>
    <d v="1899-12-30T08:15:00"/>
    <s v="Non Telecom"/>
    <d v="1899-12-30T09:00:00"/>
    <d v="1899-12-30T17:15:00"/>
    <n v="29700"/>
    <x v="0"/>
  </r>
  <r>
    <x v="0"/>
    <s v="Egypt"/>
    <x v="6"/>
    <x v="31"/>
    <x v="31"/>
    <m/>
    <m/>
    <s v="Break 15 Morning"/>
    <d v="1899-12-30T12:30:00"/>
    <d v="1899-12-30T12:45:00"/>
    <n v="0"/>
    <x v="1"/>
  </r>
  <r>
    <x v="0"/>
    <s v="Egypt"/>
    <x v="6"/>
    <x v="31"/>
    <x v="31"/>
    <m/>
    <m/>
    <s v="Break 30 Morning"/>
    <d v="1899-12-30T15:45:00"/>
    <d v="1899-12-30T16:15:00"/>
    <n v="0"/>
    <x v="1"/>
  </r>
  <r>
    <x v="0"/>
    <s v="Egypt"/>
    <x v="6"/>
    <x v="31"/>
    <x v="31"/>
    <d v="2025-06-23T00:00:00"/>
    <d v="1899-12-30T08:15:00"/>
    <s v="Non Telecom"/>
    <d v="1899-12-30T09:00:00"/>
    <d v="1899-12-30T17:15:00"/>
    <n v="29700"/>
    <x v="0"/>
  </r>
  <r>
    <x v="0"/>
    <s v="Egypt"/>
    <x v="6"/>
    <x v="31"/>
    <x v="31"/>
    <m/>
    <m/>
    <s v="Break 15 Morning"/>
    <d v="1899-12-30T12:30:00"/>
    <d v="1899-12-30T12:45:00"/>
    <n v="0"/>
    <x v="1"/>
  </r>
  <r>
    <x v="0"/>
    <s v="Egypt"/>
    <x v="6"/>
    <x v="31"/>
    <x v="31"/>
    <m/>
    <m/>
    <s v="Break 30 Morning"/>
    <d v="1899-12-30T15:15:00"/>
    <d v="1899-12-30T15:45:00"/>
    <n v="0"/>
    <x v="1"/>
  </r>
  <r>
    <x v="0"/>
    <s v="Egypt"/>
    <x v="6"/>
    <x v="31"/>
    <x v="31"/>
    <d v="2025-06-24T00:00:00"/>
    <d v="1899-12-30T08:15:00"/>
    <s v="Non Telecom"/>
    <d v="1899-12-30T09:00:00"/>
    <d v="1899-12-30T17:15:00"/>
    <n v="29700"/>
    <x v="0"/>
  </r>
  <r>
    <x v="0"/>
    <s v="Egypt"/>
    <x v="6"/>
    <x v="31"/>
    <x v="31"/>
    <m/>
    <m/>
    <s v="Break 15 Morning"/>
    <d v="1899-12-30T12:30:00"/>
    <d v="1899-12-30T12:45:00"/>
    <n v="0"/>
    <x v="1"/>
  </r>
  <r>
    <x v="0"/>
    <s v="Egypt"/>
    <x v="6"/>
    <x v="31"/>
    <x v="31"/>
    <m/>
    <m/>
    <s v="Break 30 Morning"/>
    <d v="1899-12-30T15:45:00"/>
    <d v="1899-12-30T16:15:00"/>
    <n v="0"/>
    <x v="1"/>
  </r>
  <r>
    <x v="0"/>
    <s v="Egypt"/>
    <x v="6"/>
    <x v="31"/>
    <x v="31"/>
    <d v="2025-06-25T00:00:00"/>
    <d v="1899-12-30T08:15:00"/>
    <s v="Non Telecom"/>
    <d v="1899-12-30T09:00:00"/>
    <d v="1899-12-30T17:15:00"/>
    <n v="29700"/>
    <x v="0"/>
  </r>
  <r>
    <x v="0"/>
    <s v="Egypt"/>
    <x v="6"/>
    <x v="31"/>
    <x v="31"/>
    <m/>
    <m/>
    <s v="Break 15 Morning"/>
    <d v="1899-12-30T12:30:00"/>
    <d v="1899-12-30T12:45:00"/>
    <n v="0"/>
    <x v="1"/>
  </r>
  <r>
    <x v="0"/>
    <s v="Egypt"/>
    <x v="6"/>
    <x v="31"/>
    <x v="31"/>
    <m/>
    <m/>
    <s v="Break 30 Morning"/>
    <d v="1899-12-30T15:15:00"/>
    <d v="1899-12-30T15:45:00"/>
    <n v="0"/>
    <x v="1"/>
  </r>
  <r>
    <x v="0"/>
    <s v="Egypt"/>
    <x v="6"/>
    <x v="31"/>
    <x v="31"/>
    <d v="2025-06-26T00:00:00"/>
    <d v="1899-12-30T08:15:00"/>
    <s v="Non Telecom"/>
    <d v="1899-12-30T09:00:00"/>
    <d v="1899-12-30T17:15:00"/>
    <n v="29700"/>
    <x v="0"/>
  </r>
  <r>
    <x v="0"/>
    <s v="Egypt"/>
    <x v="6"/>
    <x v="31"/>
    <x v="31"/>
    <m/>
    <m/>
    <s v="Break 15 Morning"/>
    <d v="1899-12-30T12:30:00"/>
    <d v="1899-12-30T12:45:00"/>
    <n v="0"/>
    <x v="1"/>
  </r>
  <r>
    <x v="0"/>
    <s v="Egypt"/>
    <x v="6"/>
    <x v="31"/>
    <x v="31"/>
    <m/>
    <m/>
    <s v="Break 30 Morning"/>
    <d v="1899-12-30T15:45:00"/>
    <d v="1899-12-30T16:15:00"/>
    <n v="0"/>
    <x v="1"/>
  </r>
  <r>
    <x v="0"/>
    <s v="Egypt"/>
    <x v="6"/>
    <x v="31"/>
    <x v="31"/>
    <d v="2025-06-27T00:00:00"/>
    <m/>
    <s v="Day Off"/>
    <m/>
    <m/>
    <n v="0"/>
    <x v="1"/>
  </r>
  <r>
    <x v="0"/>
    <s v="Egypt"/>
    <x v="6"/>
    <x v="31"/>
    <x v="31"/>
    <d v="2025-06-28T00:00:00"/>
    <m/>
    <s v="Day Off"/>
    <m/>
    <m/>
    <n v="0"/>
    <x v="1"/>
  </r>
  <r>
    <x v="0"/>
    <s v="Egypt"/>
    <x v="6"/>
    <x v="31"/>
    <x v="31"/>
    <d v="2025-06-29T00:00:00"/>
    <d v="1899-12-30T08:15:00"/>
    <s v="Non Telecom"/>
    <d v="1899-12-30T13:00:00"/>
    <d v="1899-12-30T21:15:00"/>
    <n v="29700"/>
    <x v="0"/>
  </r>
  <r>
    <x v="0"/>
    <s v="Egypt"/>
    <x v="6"/>
    <x v="31"/>
    <x v="31"/>
    <m/>
    <m/>
    <s v="Break 15 Morning"/>
    <d v="1899-12-30T15:00:00"/>
    <d v="1899-12-30T15:15:00"/>
    <n v="0"/>
    <x v="1"/>
  </r>
  <r>
    <x v="0"/>
    <s v="Egypt"/>
    <x v="6"/>
    <x v="31"/>
    <x v="31"/>
    <m/>
    <m/>
    <s v="Break 30 Morning"/>
    <d v="1899-12-30T18:30:00"/>
    <d v="1899-12-30T19:00:00"/>
    <n v="0"/>
    <x v="1"/>
  </r>
  <r>
    <x v="0"/>
    <s v="Egypt"/>
    <x v="6"/>
    <x v="31"/>
    <x v="31"/>
    <d v="2025-06-30T00:00:00"/>
    <d v="1899-12-30T08:15:00"/>
    <s v="Non Telecom"/>
    <d v="1899-12-30T13:00:00"/>
    <d v="1899-12-30T21:15:00"/>
    <n v="29700"/>
    <x v="0"/>
  </r>
  <r>
    <x v="0"/>
    <s v="Egypt"/>
    <x v="6"/>
    <x v="31"/>
    <x v="31"/>
    <m/>
    <m/>
    <s v="Break 15 Morning"/>
    <d v="1899-12-30T15:45:00"/>
    <d v="1899-12-30T16:00:00"/>
    <n v="0"/>
    <x v="1"/>
  </r>
  <r>
    <x v="0"/>
    <s v="Egypt"/>
    <x v="6"/>
    <x v="31"/>
    <x v="31"/>
    <m/>
    <m/>
    <s v="Break 30 Morning"/>
    <d v="1899-12-30T18:30:00"/>
    <d v="1899-12-30T19:00:00"/>
    <n v="0"/>
    <x v="1"/>
  </r>
  <r>
    <x v="0"/>
    <s v="Egypt"/>
    <x v="7"/>
    <x v="32"/>
    <x v="32"/>
    <d v="2025-06-01T00:00:00"/>
    <d v="1899-12-30T08:15:00"/>
    <s v="Sick"/>
    <m/>
    <m/>
    <n v="29700"/>
    <x v="1"/>
  </r>
  <r>
    <x v="0"/>
    <s v="Egypt"/>
    <x v="7"/>
    <x v="32"/>
    <x v="32"/>
    <d v="2025-06-02T00:00:00"/>
    <d v="1899-12-30T08:15:00"/>
    <s v="Sick"/>
    <m/>
    <m/>
    <n v="29700"/>
    <x v="1"/>
  </r>
  <r>
    <x v="0"/>
    <s v="Egypt"/>
    <x v="7"/>
    <x v="32"/>
    <x v="32"/>
    <d v="2025-06-03T00:00:00"/>
    <d v="1899-12-30T08:15:00"/>
    <s v="Sick"/>
    <m/>
    <m/>
    <n v="29700"/>
    <x v="1"/>
  </r>
  <r>
    <x v="0"/>
    <s v="Egypt"/>
    <x v="7"/>
    <x v="32"/>
    <x v="32"/>
    <d v="2025-06-04T00:00:00"/>
    <d v="1899-12-30T08:15:00"/>
    <s v="Sick"/>
    <m/>
    <m/>
    <n v="29700"/>
    <x v="1"/>
  </r>
  <r>
    <x v="0"/>
    <s v="Egypt"/>
    <x v="7"/>
    <x v="32"/>
    <x v="32"/>
    <d v="2025-06-05T00:00:00"/>
    <d v="1899-12-30T08:15:00"/>
    <s v="Sick"/>
    <m/>
    <m/>
    <n v="29700"/>
    <x v="1"/>
  </r>
  <r>
    <x v="0"/>
    <s v="Egypt"/>
    <x v="7"/>
    <x v="32"/>
    <x v="32"/>
    <d v="2025-06-06T00:00:00"/>
    <d v="1899-12-30T08:15:00"/>
    <s v="Sick"/>
    <m/>
    <m/>
    <n v="29700"/>
    <x v="1"/>
  </r>
  <r>
    <x v="0"/>
    <s v="Egypt"/>
    <x v="7"/>
    <x v="32"/>
    <x v="32"/>
    <d v="2025-06-07T00:00:00"/>
    <d v="1899-12-30T08:15:00"/>
    <s v="Sick"/>
    <m/>
    <m/>
    <n v="29700"/>
    <x v="1"/>
  </r>
  <r>
    <x v="0"/>
    <s v="Egypt"/>
    <x v="7"/>
    <x v="32"/>
    <x v="32"/>
    <d v="2025-06-08T00:00:00"/>
    <m/>
    <s v="Day Off"/>
    <m/>
    <m/>
    <n v="0"/>
    <x v="1"/>
  </r>
  <r>
    <x v="0"/>
    <s v="Egypt"/>
    <x v="7"/>
    <x v="32"/>
    <x v="32"/>
    <d v="2025-06-09T00:00:00"/>
    <m/>
    <s v="Day Off"/>
    <m/>
    <m/>
    <n v="0"/>
    <x v="1"/>
  </r>
  <r>
    <x v="0"/>
    <s v="Egypt"/>
    <x v="7"/>
    <x v="32"/>
    <x v="32"/>
    <d v="2025-06-10T00:00:00"/>
    <d v="1899-12-30T08:15:00"/>
    <s v="Non Telecom"/>
    <d v="1899-12-30T19:15:00"/>
    <s v="+3:30 AM"/>
    <n v="29700"/>
    <x v="0"/>
  </r>
  <r>
    <x v="0"/>
    <s v="Egypt"/>
    <x v="7"/>
    <x v="32"/>
    <x v="32"/>
    <m/>
    <m/>
    <s v="Break 15 Night"/>
    <d v="1899-12-30T21:15:00"/>
    <d v="1899-12-30T21:30:00"/>
    <n v="0"/>
    <x v="1"/>
  </r>
  <r>
    <x v="0"/>
    <s v="Egypt"/>
    <x v="7"/>
    <x v="32"/>
    <x v="32"/>
    <m/>
    <m/>
    <s v="Break 30 Night"/>
    <s v="+12:30 AM"/>
    <s v="+1:00 AM"/>
    <n v="0"/>
    <x v="1"/>
  </r>
  <r>
    <x v="0"/>
    <s v="Egypt"/>
    <x v="7"/>
    <x v="32"/>
    <x v="32"/>
    <d v="2025-06-11T00:00:00"/>
    <d v="1899-12-30T08:15:00"/>
    <s v="Non Telecom"/>
    <d v="1899-12-30T19:15:00"/>
    <s v="+3:30 AM"/>
    <n v="29700"/>
    <x v="0"/>
  </r>
  <r>
    <x v="0"/>
    <s v="Egypt"/>
    <x v="7"/>
    <x v="32"/>
    <x v="32"/>
    <m/>
    <m/>
    <s v="Break 15 Night"/>
    <d v="1899-12-30T21:15:00"/>
    <d v="1899-12-30T21:30:00"/>
    <n v="0"/>
    <x v="1"/>
  </r>
  <r>
    <x v="0"/>
    <s v="Egypt"/>
    <x v="7"/>
    <x v="32"/>
    <x v="32"/>
    <m/>
    <m/>
    <s v="Break 30 Night"/>
    <s v="+12:00 AM"/>
    <s v="+12:30 AM"/>
    <n v="0"/>
    <x v="1"/>
  </r>
  <r>
    <x v="0"/>
    <s v="Egypt"/>
    <x v="7"/>
    <x v="32"/>
    <x v="32"/>
    <d v="2025-06-12T00:00:00"/>
    <d v="1899-12-30T08:15:00"/>
    <s v="Sick"/>
    <m/>
    <m/>
    <n v="29700"/>
    <x v="1"/>
  </r>
  <r>
    <x v="0"/>
    <s v="Egypt"/>
    <x v="7"/>
    <x v="32"/>
    <x v="32"/>
    <d v="2025-06-13T00:00:00"/>
    <d v="1899-12-30T08:15:00"/>
    <s v="Planned Sick"/>
    <m/>
    <m/>
    <n v="29700"/>
    <x v="1"/>
  </r>
  <r>
    <x v="0"/>
    <s v="Egypt"/>
    <x v="7"/>
    <x v="32"/>
    <x v="32"/>
    <d v="2025-06-14T00:00:00"/>
    <d v="1899-12-30T08:15:00"/>
    <s v="Sick"/>
    <m/>
    <m/>
    <n v="29700"/>
    <x v="1"/>
  </r>
  <r>
    <x v="0"/>
    <s v="Egypt"/>
    <x v="7"/>
    <x v="32"/>
    <x v="32"/>
    <d v="2025-06-15T00:00:00"/>
    <d v="1899-12-30T08:15:00"/>
    <s v="Planned Sick"/>
    <m/>
    <m/>
    <n v="29700"/>
    <x v="1"/>
  </r>
  <r>
    <x v="0"/>
    <s v="Egypt"/>
    <x v="7"/>
    <x v="32"/>
    <x v="32"/>
    <d v="2025-06-16T00:00:00"/>
    <d v="1899-12-30T08:15:00"/>
    <s v="Sick"/>
    <m/>
    <m/>
    <n v="29700"/>
    <x v="1"/>
  </r>
  <r>
    <x v="0"/>
    <s v="Egypt"/>
    <x v="7"/>
    <x v="32"/>
    <x v="32"/>
    <d v="2025-06-17T00:00:00"/>
    <d v="1899-12-30T08:15:00"/>
    <s v="Annual Exception"/>
    <m/>
    <m/>
    <n v="29700"/>
    <x v="1"/>
  </r>
  <r>
    <x v="0"/>
    <s v="Egypt"/>
    <x v="7"/>
    <x v="32"/>
    <x v="32"/>
    <d v="2025-06-18T00:00:00"/>
    <d v="1899-12-30T08:15:00"/>
    <s v="Non Telecom"/>
    <d v="1899-12-30T19:15:00"/>
    <s v="+3:30 AM"/>
    <n v="29700"/>
    <x v="0"/>
  </r>
  <r>
    <x v="0"/>
    <s v="Egypt"/>
    <x v="7"/>
    <x v="32"/>
    <x v="32"/>
    <m/>
    <m/>
    <s v="Break 15 Night"/>
    <d v="1899-12-30T21:00:00"/>
    <d v="1899-12-30T21:15:00"/>
    <n v="0"/>
    <x v="1"/>
  </r>
  <r>
    <x v="0"/>
    <s v="Egypt"/>
    <x v="7"/>
    <x v="32"/>
    <x v="32"/>
    <m/>
    <m/>
    <s v="Break 30 Night"/>
    <s v="+12:15 AM"/>
    <s v="+12:45 AM"/>
    <n v="0"/>
    <x v="1"/>
  </r>
  <r>
    <x v="0"/>
    <s v="Egypt"/>
    <x v="7"/>
    <x v="32"/>
    <x v="32"/>
    <d v="2025-06-19T00:00:00"/>
    <d v="1899-12-30T08:15:00"/>
    <s v="Non Telecom"/>
    <d v="1899-12-30T19:15:00"/>
    <s v="+3:30 AM"/>
    <n v="29700"/>
    <x v="0"/>
  </r>
  <r>
    <x v="0"/>
    <s v="Egypt"/>
    <x v="7"/>
    <x v="32"/>
    <x v="32"/>
    <m/>
    <m/>
    <s v="Break 15 Night"/>
    <d v="1899-12-30T21:00:00"/>
    <d v="1899-12-30T21:15:00"/>
    <n v="0"/>
    <x v="1"/>
  </r>
  <r>
    <x v="0"/>
    <s v="Egypt"/>
    <x v="7"/>
    <x v="32"/>
    <x v="32"/>
    <m/>
    <m/>
    <s v="Break 30 Night"/>
    <s v="+12:30 AM"/>
    <s v="+1:00 AM"/>
    <n v="0"/>
    <x v="1"/>
  </r>
  <r>
    <x v="0"/>
    <s v="Egypt"/>
    <x v="7"/>
    <x v="32"/>
    <x v="32"/>
    <d v="2025-06-20T00:00:00"/>
    <d v="1899-12-30T08:15:00"/>
    <s v="Non Telecom"/>
    <d v="1899-12-30T16:15:00"/>
    <s v="+12:30 AM"/>
    <n v="29700"/>
    <x v="0"/>
  </r>
  <r>
    <x v="0"/>
    <s v="Egypt"/>
    <x v="7"/>
    <x v="32"/>
    <x v="32"/>
    <m/>
    <m/>
    <s v="Break 15 Night"/>
    <d v="1899-12-30T17:45:00"/>
    <d v="1899-12-30T18:00:00"/>
    <n v="0"/>
    <x v="1"/>
  </r>
  <r>
    <x v="0"/>
    <s v="Egypt"/>
    <x v="7"/>
    <x v="32"/>
    <x v="32"/>
    <m/>
    <m/>
    <s v="Break 30 Night"/>
    <d v="1899-12-30T20:45:00"/>
    <d v="1899-12-30T21:15:00"/>
    <n v="0"/>
    <x v="1"/>
  </r>
  <r>
    <x v="0"/>
    <s v="Egypt"/>
    <x v="7"/>
    <x v="32"/>
    <x v="32"/>
    <d v="2025-06-21T00:00:00"/>
    <m/>
    <s v="Day Off"/>
    <m/>
    <m/>
    <n v="0"/>
    <x v="1"/>
  </r>
  <r>
    <x v="0"/>
    <s v="Egypt"/>
    <x v="7"/>
    <x v="32"/>
    <x v="32"/>
    <d v="2025-06-22T00:00:00"/>
    <d v="1899-12-30T08:15:00"/>
    <s v="Non Telecom"/>
    <d v="1899-12-30T13:00:00"/>
    <d v="1899-12-30T21:15:00"/>
    <n v="29700"/>
    <x v="0"/>
  </r>
  <r>
    <x v="0"/>
    <s v="Egypt"/>
    <x v="7"/>
    <x v="32"/>
    <x v="32"/>
    <m/>
    <m/>
    <s v="Break 15 Morning"/>
    <d v="1899-12-30T15:30:00"/>
    <d v="1899-12-30T15:45:00"/>
    <n v="0"/>
    <x v="1"/>
  </r>
  <r>
    <x v="0"/>
    <s v="Egypt"/>
    <x v="7"/>
    <x v="32"/>
    <x v="32"/>
    <m/>
    <m/>
    <s v="Break 30 Morning"/>
    <d v="1899-12-30T18:15:00"/>
    <d v="1899-12-30T18:45:00"/>
    <n v="0"/>
    <x v="1"/>
  </r>
  <r>
    <x v="0"/>
    <s v="Egypt"/>
    <x v="7"/>
    <x v="32"/>
    <x v="32"/>
    <d v="2025-06-23T00:00:00"/>
    <d v="1899-12-30T08:15:00"/>
    <s v="Non Telecom"/>
    <d v="1899-12-30T13:00:00"/>
    <d v="1899-12-30T21:15:00"/>
    <n v="29700"/>
    <x v="0"/>
  </r>
  <r>
    <x v="0"/>
    <s v="Egypt"/>
    <x v="7"/>
    <x v="32"/>
    <x v="32"/>
    <m/>
    <m/>
    <s v="Break 15 Morning"/>
    <d v="1899-12-30T15:15:00"/>
    <d v="1899-12-30T15:30:00"/>
    <n v="0"/>
    <x v="1"/>
  </r>
  <r>
    <x v="0"/>
    <s v="Egypt"/>
    <x v="7"/>
    <x v="32"/>
    <x v="32"/>
    <m/>
    <m/>
    <s v="Break 30 Morning"/>
    <d v="1899-12-30T17:45:00"/>
    <d v="1899-12-30T18:15:00"/>
    <n v="0"/>
    <x v="1"/>
  </r>
  <r>
    <x v="0"/>
    <s v="Egypt"/>
    <x v="7"/>
    <x v="32"/>
    <x v="32"/>
    <d v="2025-06-24T00:00:00"/>
    <d v="1899-12-30T08:15:00"/>
    <s v="Non Telecom"/>
    <d v="1899-12-30T09:00:00"/>
    <d v="1899-12-30T17:15:00"/>
    <n v="29700"/>
    <x v="0"/>
  </r>
  <r>
    <x v="0"/>
    <s v="Egypt"/>
    <x v="7"/>
    <x v="32"/>
    <x v="32"/>
    <m/>
    <m/>
    <s v="Break 15 Morning"/>
    <d v="1899-12-30T12:30:00"/>
    <d v="1899-12-30T12:45:00"/>
    <n v="0"/>
    <x v="1"/>
  </r>
  <r>
    <x v="0"/>
    <s v="Egypt"/>
    <x v="7"/>
    <x v="32"/>
    <x v="32"/>
    <m/>
    <m/>
    <s v="Break 30 Morning"/>
    <d v="1899-12-30T15:45:00"/>
    <d v="1899-12-30T16:15:00"/>
    <n v="0"/>
    <x v="1"/>
  </r>
  <r>
    <x v="0"/>
    <s v="Egypt"/>
    <x v="7"/>
    <x v="32"/>
    <x v="32"/>
    <d v="2025-06-25T00:00:00"/>
    <d v="1899-12-30T08:15:00"/>
    <s v="Non Telecom"/>
    <d v="1899-12-30T16:15:00"/>
    <s v="+12:30 AM"/>
    <n v="29700"/>
    <x v="0"/>
  </r>
  <r>
    <x v="0"/>
    <s v="Egypt"/>
    <x v="7"/>
    <x v="32"/>
    <x v="32"/>
    <m/>
    <m/>
    <s v="Break 15 Night"/>
    <d v="1899-12-30T17:45:00"/>
    <d v="1899-12-30T18:00:00"/>
    <n v="0"/>
    <x v="1"/>
  </r>
  <r>
    <x v="0"/>
    <s v="Egypt"/>
    <x v="7"/>
    <x v="32"/>
    <x v="32"/>
    <m/>
    <m/>
    <s v="Break 30 Night"/>
    <d v="1899-12-30T20:30:00"/>
    <d v="1899-12-30T21:00:00"/>
    <n v="0"/>
    <x v="1"/>
  </r>
  <r>
    <x v="0"/>
    <s v="Egypt"/>
    <x v="7"/>
    <x v="32"/>
    <x v="32"/>
    <d v="2025-06-26T00:00:00"/>
    <d v="1899-12-30T08:15:00"/>
    <s v="Non Telecom"/>
    <d v="1899-12-30T16:15:00"/>
    <s v="+12:30 AM"/>
    <n v="29700"/>
    <x v="0"/>
  </r>
  <r>
    <x v="0"/>
    <s v="Egypt"/>
    <x v="7"/>
    <x v="32"/>
    <x v="32"/>
    <m/>
    <m/>
    <s v="Break 15 Night"/>
    <d v="1899-12-30T17:30:00"/>
    <d v="1899-12-30T17:45:00"/>
    <n v="0"/>
    <x v="1"/>
  </r>
  <r>
    <x v="0"/>
    <s v="Egypt"/>
    <x v="7"/>
    <x v="32"/>
    <x v="32"/>
    <m/>
    <m/>
    <s v="Break 30 Night"/>
    <d v="1899-12-30T20:30:00"/>
    <d v="1899-12-30T21:00:00"/>
    <n v="0"/>
    <x v="1"/>
  </r>
  <r>
    <x v="0"/>
    <s v="Egypt"/>
    <x v="7"/>
    <x v="32"/>
    <x v="32"/>
    <d v="2025-06-27T00:00:00"/>
    <m/>
    <s v="Day Off"/>
    <m/>
    <m/>
    <n v="0"/>
    <x v="1"/>
  </r>
  <r>
    <x v="0"/>
    <s v="Egypt"/>
    <x v="7"/>
    <x v="32"/>
    <x v="32"/>
    <d v="2025-06-28T00:00:00"/>
    <m/>
    <s v="Day Off"/>
    <m/>
    <m/>
    <n v="0"/>
    <x v="1"/>
  </r>
  <r>
    <x v="0"/>
    <s v="Egypt"/>
    <x v="7"/>
    <x v="32"/>
    <x v="32"/>
    <d v="2025-06-29T00:00:00"/>
    <d v="1899-12-30T08:15:00"/>
    <s v="Annual Exception"/>
    <m/>
    <m/>
    <n v="29700"/>
    <x v="1"/>
  </r>
  <r>
    <x v="0"/>
    <s v="Egypt"/>
    <x v="7"/>
    <x v="32"/>
    <x v="32"/>
    <d v="2025-06-30T00:00:00"/>
    <d v="1899-12-30T08:15:00"/>
    <s v="Non Telecom"/>
    <d v="1899-12-30T19:15:00"/>
    <s v="+3:30 AM"/>
    <n v="29700"/>
    <x v="0"/>
  </r>
  <r>
    <x v="0"/>
    <s v="Egypt"/>
    <x v="7"/>
    <x v="32"/>
    <x v="32"/>
    <m/>
    <m/>
    <s v="Break 15 Night"/>
    <d v="1899-12-30T21:30:00"/>
    <d v="1899-12-30T21:45:00"/>
    <n v="0"/>
    <x v="1"/>
  </r>
  <r>
    <x v="0"/>
    <s v="Egypt"/>
    <x v="7"/>
    <x v="32"/>
    <x v="32"/>
    <m/>
    <m/>
    <s v="Break 30 Night"/>
    <s v="+12:30 AM"/>
    <s v="+1:00 AM"/>
    <n v="0"/>
    <x v="1"/>
  </r>
  <r>
    <x v="0"/>
    <s v="Egypt"/>
    <x v="7"/>
    <x v="33"/>
    <x v="33"/>
    <d v="2025-06-01T00:00:00"/>
    <d v="1899-12-30T08:15:00"/>
    <s v="Non Telecom"/>
    <d v="1899-12-30T17:15:00"/>
    <s v="+1:30 AM"/>
    <n v="29700"/>
    <x v="0"/>
  </r>
  <r>
    <x v="0"/>
    <s v="Egypt"/>
    <x v="7"/>
    <x v="33"/>
    <x v="33"/>
    <m/>
    <m/>
    <s v="Break 15 Night"/>
    <d v="1899-12-30T18:45:00"/>
    <d v="1899-12-30T19:00:00"/>
    <n v="0"/>
    <x v="1"/>
  </r>
  <r>
    <x v="0"/>
    <s v="Egypt"/>
    <x v="7"/>
    <x v="33"/>
    <x v="33"/>
    <m/>
    <m/>
    <s v="Break 30 Night"/>
    <d v="1899-12-30T22:15:00"/>
    <d v="1899-12-30T22:45:00"/>
    <n v="0"/>
    <x v="1"/>
  </r>
  <r>
    <x v="0"/>
    <s v="Egypt"/>
    <x v="7"/>
    <x v="33"/>
    <x v="33"/>
    <d v="2025-06-02T00:00:00"/>
    <m/>
    <s v="Day Off"/>
    <m/>
    <m/>
    <n v="0"/>
    <x v="1"/>
  </r>
  <r>
    <x v="0"/>
    <s v="Egypt"/>
    <x v="7"/>
    <x v="33"/>
    <x v="33"/>
    <d v="2025-06-03T00:00:00"/>
    <m/>
    <s v="Day Off"/>
    <m/>
    <m/>
    <n v="0"/>
    <x v="1"/>
  </r>
  <r>
    <x v="0"/>
    <s v="Egypt"/>
    <x v="7"/>
    <x v="33"/>
    <x v="33"/>
    <d v="2025-06-04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7:45:00"/>
    <d v="1899-12-30T18:00:00"/>
    <n v="0"/>
    <x v="1"/>
  </r>
  <r>
    <x v="0"/>
    <s v="Egypt"/>
    <x v="7"/>
    <x v="33"/>
    <x v="33"/>
    <m/>
    <m/>
    <s v="Break 30 Night"/>
    <d v="1899-12-30T21:00:00"/>
    <d v="1899-12-30T21:30:00"/>
    <n v="0"/>
    <x v="1"/>
  </r>
  <r>
    <x v="0"/>
    <s v="Egypt"/>
    <x v="7"/>
    <x v="33"/>
    <x v="33"/>
    <d v="2025-06-05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8:00:00"/>
    <d v="1899-12-30T18:15:00"/>
    <n v="0"/>
    <x v="1"/>
  </r>
  <r>
    <x v="0"/>
    <s v="Egypt"/>
    <x v="7"/>
    <x v="33"/>
    <x v="33"/>
    <m/>
    <m/>
    <s v="Break 30 Night"/>
    <d v="1899-12-30T21:15:00"/>
    <d v="1899-12-30T21:45:00"/>
    <n v="0"/>
    <x v="1"/>
  </r>
  <r>
    <x v="0"/>
    <s v="Egypt"/>
    <x v="7"/>
    <x v="33"/>
    <x v="33"/>
    <d v="2025-06-06T00:00:00"/>
    <d v="1899-12-30T08:15:00"/>
    <s v="Public holiday"/>
    <m/>
    <m/>
    <n v="29700"/>
    <x v="1"/>
  </r>
  <r>
    <x v="0"/>
    <s v="Egypt"/>
    <x v="7"/>
    <x v="33"/>
    <x v="33"/>
    <d v="2025-06-07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7:45:00"/>
    <d v="1899-12-30T18:00:00"/>
    <n v="0"/>
    <x v="1"/>
  </r>
  <r>
    <x v="0"/>
    <s v="Egypt"/>
    <x v="7"/>
    <x v="33"/>
    <x v="33"/>
    <m/>
    <m/>
    <s v="Break 30 Night"/>
    <d v="1899-12-30T20:30:00"/>
    <d v="1899-12-30T21:00:00"/>
    <n v="0"/>
    <x v="1"/>
  </r>
  <r>
    <x v="0"/>
    <s v="Egypt"/>
    <x v="7"/>
    <x v="33"/>
    <x v="33"/>
    <d v="2025-06-08T00:00:00"/>
    <m/>
    <s v="Day Off"/>
    <m/>
    <m/>
    <n v="0"/>
    <x v="1"/>
  </r>
  <r>
    <x v="0"/>
    <s v="Egypt"/>
    <x v="7"/>
    <x v="33"/>
    <x v="33"/>
    <d v="2025-06-09T00:00:00"/>
    <m/>
    <s v="Day Off"/>
    <m/>
    <m/>
    <n v="0"/>
    <x v="1"/>
  </r>
  <r>
    <x v="0"/>
    <s v="Egypt"/>
    <x v="7"/>
    <x v="33"/>
    <x v="33"/>
    <d v="2025-06-10T00:00:00"/>
    <d v="1899-12-30T08:15:00"/>
    <s v="Annual"/>
    <m/>
    <m/>
    <n v="29700"/>
    <x v="1"/>
  </r>
  <r>
    <x v="0"/>
    <s v="Egypt"/>
    <x v="7"/>
    <x v="33"/>
    <x v="33"/>
    <d v="2025-06-11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30:00"/>
    <d v="1899-12-30T21:45:00"/>
    <n v="0"/>
    <x v="1"/>
  </r>
  <r>
    <x v="0"/>
    <s v="Egypt"/>
    <x v="7"/>
    <x v="33"/>
    <x v="33"/>
    <m/>
    <m/>
    <s v="Break 30 Night"/>
    <s v="+12:30 AM"/>
    <s v="+1:00 AM"/>
    <n v="0"/>
    <x v="1"/>
  </r>
  <r>
    <x v="0"/>
    <s v="Egypt"/>
    <x v="7"/>
    <x v="33"/>
    <x v="33"/>
    <d v="2025-06-12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30:00"/>
    <d v="1899-12-30T21:45:00"/>
    <n v="0"/>
    <x v="1"/>
  </r>
  <r>
    <x v="0"/>
    <s v="Egypt"/>
    <x v="7"/>
    <x v="33"/>
    <x v="33"/>
    <m/>
    <m/>
    <s v="Break 30 Night"/>
    <s v="+12:30 AM"/>
    <s v="+1:00 AM"/>
    <n v="0"/>
    <x v="1"/>
  </r>
  <r>
    <x v="0"/>
    <s v="Egypt"/>
    <x v="7"/>
    <x v="33"/>
    <x v="33"/>
    <d v="2025-06-13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15:00"/>
    <d v="1899-12-30T21:30:00"/>
    <n v="0"/>
    <x v="1"/>
  </r>
  <r>
    <x v="0"/>
    <s v="Egypt"/>
    <x v="7"/>
    <x v="33"/>
    <x v="33"/>
    <m/>
    <m/>
    <s v="Break 30 Night"/>
    <s v="+12:00 AM"/>
    <s v="+12:30 AM"/>
    <n v="0"/>
    <x v="1"/>
  </r>
  <r>
    <x v="0"/>
    <s v="Egypt"/>
    <x v="7"/>
    <x v="33"/>
    <x v="33"/>
    <d v="2025-06-14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15:00"/>
    <d v="1899-12-30T21:30:00"/>
    <n v="0"/>
    <x v="1"/>
  </r>
  <r>
    <x v="0"/>
    <s v="Egypt"/>
    <x v="7"/>
    <x v="33"/>
    <x v="33"/>
    <m/>
    <m/>
    <s v="Break 30 Night"/>
    <s v="+12:00 AM"/>
    <s v="+12:30 AM"/>
    <n v="0"/>
    <x v="1"/>
  </r>
  <r>
    <x v="0"/>
    <s v="Egypt"/>
    <x v="7"/>
    <x v="33"/>
    <x v="33"/>
    <d v="2025-06-15T00:00:00"/>
    <m/>
    <s v="Day Off"/>
    <m/>
    <m/>
    <n v="0"/>
    <x v="1"/>
  </r>
  <r>
    <x v="0"/>
    <s v="Egypt"/>
    <x v="7"/>
    <x v="33"/>
    <x v="33"/>
    <d v="2025-06-16T00:00:00"/>
    <d v="1899-12-30T08:15:00"/>
    <s v="Annual Exception"/>
    <m/>
    <m/>
    <n v="29700"/>
    <x v="1"/>
  </r>
  <r>
    <x v="0"/>
    <s v="Egypt"/>
    <x v="7"/>
    <x v="33"/>
    <x v="33"/>
    <d v="2025-06-17T00:00:00"/>
    <d v="1899-12-30T08:15:00"/>
    <s v="Annual Exception"/>
    <m/>
    <m/>
    <n v="29700"/>
    <x v="1"/>
  </r>
  <r>
    <x v="0"/>
    <s v="Egypt"/>
    <x v="7"/>
    <x v="33"/>
    <x v="33"/>
    <d v="2025-06-18T00:00:00"/>
    <d v="1899-12-30T08:15:00"/>
    <s v="No show"/>
    <d v="1899-12-30T19:15:00"/>
    <s v="+3:30 AM"/>
    <n v="29700"/>
    <x v="1"/>
  </r>
  <r>
    <x v="0"/>
    <s v="Egypt"/>
    <x v="7"/>
    <x v="33"/>
    <x v="33"/>
    <d v="2025-06-19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15:00"/>
    <d v="1899-12-30T21:30:00"/>
    <n v="0"/>
    <x v="1"/>
  </r>
  <r>
    <x v="0"/>
    <s v="Egypt"/>
    <x v="7"/>
    <x v="33"/>
    <x v="33"/>
    <m/>
    <m/>
    <s v="Break 30 Night"/>
    <s v="+12:30 AM"/>
    <s v="+1:00 AM"/>
    <n v="0"/>
    <x v="1"/>
  </r>
  <r>
    <x v="0"/>
    <s v="Egypt"/>
    <x v="7"/>
    <x v="33"/>
    <x v="33"/>
    <d v="2025-06-20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8:00:00"/>
    <d v="1899-12-30T18:15:00"/>
    <n v="0"/>
    <x v="1"/>
  </r>
  <r>
    <x v="0"/>
    <s v="Egypt"/>
    <x v="7"/>
    <x v="33"/>
    <x v="33"/>
    <m/>
    <m/>
    <s v="Break 30 Night"/>
    <d v="1899-12-30T20:45:00"/>
    <d v="1899-12-30T21:15:00"/>
    <n v="0"/>
    <x v="1"/>
  </r>
  <r>
    <x v="0"/>
    <s v="Egypt"/>
    <x v="7"/>
    <x v="33"/>
    <x v="33"/>
    <d v="2025-06-21T00:00:00"/>
    <m/>
    <s v="Day Off"/>
    <m/>
    <m/>
    <n v="0"/>
    <x v="1"/>
  </r>
  <r>
    <x v="0"/>
    <s v="Egypt"/>
    <x v="7"/>
    <x v="33"/>
    <x v="33"/>
    <d v="2025-06-22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8:30:00"/>
    <d v="1899-12-30T18:45:00"/>
    <n v="0"/>
    <x v="1"/>
  </r>
  <r>
    <x v="0"/>
    <s v="Egypt"/>
    <x v="7"/>
    <x v="33"/>
    <x v="33"/>
    <m/>
    <m/>
    <s v="Break 30 Night"/>
    <d v="1899-12-30T20:45:00"/>
    <d v="1899-12-30T21:15:00"/>
    <n v="0"/>
    <x v="1"/>
  </r>
  <r>
    <x v="0"/>
    <s v="Egypt"/>
    <x v="7"/>
    <x v="33"/>
    <x v="33"/>
    <d v="2025-06-23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8:30:00"/>
    <d v="1899-12-30T18:45:00"/>
    <n v="0"/>
    <x v="1"/>
  </r>
  <r>
    <x v="0"/>
    <s v="Egypt"/>
    <x v="7"/>
    <x v="33"/>
    <x v="33"/>
    <m/>
    <m/>
    <s v="Break 30 Night"/>
    <d v="1899-12-30T20:45:00"/>
    <d v="1899-12-30T21:15:00"/>
    <n v="0"/>
    <x v="1"/>
  </r>
  <r>
    <x v="0"/>
    <s v="Egypt"/>
    <x v="7"/>
    <x v="33"/>
    <x v="33"/>
    <d v="2025-06-24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8:15:00"/>
    <d v="1899-12-30T18:30:00"/>
    <n v="0"/>
    <x v="1"/>
  </r>
  <r>
    <x v="0"/>
    <s v="Egypt"/>
    <x v="7"/>
    <x v="33"/>
    <x v="33"/>
    <m/>
    <m/>
    <s v="Break 30 Night"/>
    <d v="1899-12-30T20:45:00"/>
    <d v="1899-12-30T21:15:00"/>
    <n v="0"/>
    <x v="1"/>
  </r>
  <r>
    <x v="0"/>
    <s v="Egypt"/>
    <x v="7"/>
    <x v="33"/>
    <x v="33"/>
    <d v="2025-06-25T00:00:00"/>
    <d v="1899-12-30T08:15:00"/>
    <s v="Annual Exception"/>
    <m/>
    <m/>
    <n v="29700"/>
    <x v="1"/>
  </r>
  <r>
    <x v="0"/>
    <s v="Egypt"/>
    <x v="7"/>
    <x v="33"/>
    <x v="33"/>
    <d v="2025-06-26T00:00:00"/>
    <d v="1899-12-30T08:15:00"/>
    <s v="Non Telecom"/>
    <d v="1899-12-30T16:15:00"/>
    <s v="+12:30 AM"/>
    <n v="29700"/>
    <x v="0"/>
  </r>
  <r>
    <x v="0"/>
    <s v="Egypt"/>
    <x v="7"/>
    <x v="33"/>
    <x v="33"/>
    <m/>
    <m/>
    <s v="Break 15 Night"/>
    <d v="1899-12-30T17:45:00"/>
    <d v="1899-12-30T18:00:00"/>
    <n v="0"/>
    <x v="1"/>
  </r>
  <r>
    <x v="0"/>
    <s v="Egypt"/>
    <x v="7"/>
    <x v="33"/>
    <x v="33"/>
    <m/>
    <m/>
    <s v="Break 30 Night"/>
    <d v="1899-12-30T20:30:00"/>
    <d v="1899-12-30T21:00:00"/>
    <n v="0"/>
    <x v="1"/>
  </r>
  <r>
    <x v="0"/>
    <s v="Egypt"/>
    <x v="7"/>
    <x v="33"/>
    <x v="33"/>
    <d v="2025-06-27T00:00:00"/>
    <m/>
    <s v="Day Off"/>
    <m/>
    <m/>
    <n v="0"/>
    <x v="1"/>
  </r>
  <r>
    <x v="0"/>
    <s v="Egypt"/>
    <x v="7"/>
    <x v="33"/>
    <x v="33"/>
    <d v="2025-06-28T00:00:00"/>
    <m/>
    <s v="Day Off"/>
    <m/>
    <m/>
    <n v="0"/>
    <x v="1"/>
  </r>
  <r>
    <x v="0"/>
    <s v="Egypt"/>
    <x v="7"/>
    <x v="33"/>
    <x v="33"/>
    <d v="2025-06-29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45:00"/>
    <d v="1899-12-30T22:00:00"/>
    <n v="0"/>
    <x v="1"/>
  </r>
  <r>
    <x v="0"/>
    <s v="Egypt"/>
    <x v="7"/>
    <x v="33"/>
    <x v="33"/>
    <m/>
    <m/>
    <s v="Break 30 Night"/>
    <s v="+1:00 AM"/>
    <s v="+1:30 AM"/>
    <n v="0"/>
    <x v="1"/>
  </r>
  <r>
    <x v="0"/>
    <s v="Egypt"/>
    <x v="7"/>
    <x v="33"/>
    <x v="33"/>
    <d v="2025-06-30T00:00:00"/>
    <d v="1899-12-30T08:15:00"/>
    <s v="Non Telecom"/>
    <d v="1899-12-30T19:15:00"/>
    <s v="+3:30 AM"/>
    <n v="29700"/>
    <x v="0"/>
  </r>
  <r>
    <x v="0"/>
    <s v="Egypt"/>
    <x v="7"/>
    <x v="33"/>
    <x v="33"/>
    <m/>
    <m/>
    <s v="Break 15 Night"/>
    <d v="1899-12-30T21:45:00"/>
    <d v="1899-12-30T22:00:00"/>
    <n v="0"/>
    <x v="1"/>
  </r>
  <r>
    <x v="0"/>
    <s v="Egypt"/>
    <x v="7"/>
    <x v="33"/>
    <x v="33"/>
    <m/>
    <m/>
    <s v="Break 30 Night"/>
    <s v="+1:00 AM"/>
    <s v="+1:30 AM"/>
    <n v="0"/>
    <x v="1"/>
  </r>
  <r>
    <x v="0"/>
    <s v="Egypt"/>
    <x v="7"/>
    <x v="34"/>
    <x v="34"/>
    <d v="2025-06-01T00:00:00"/>
    <d v="1899-12-30T08:15:00"/>
    <s v="Planned Training"/>
    <m/>
    <m/>
    <n v="29700"/>
    <x v="1"/>
  </r>
  <r>
    <x v="0"/>
    <s v="Egypt"/>
    <x v="7"/>
    <x v="34"/>
    <x v="34"/>
    <d v="2025-06-02T00:00:00"/>
    <m/>
    <s v="Day Off"/>
    <m/>
    <m/>
    <n v="0"/>
    <x v="1"/>
  </r>
  <r>
    <x v="0"/>
    <s v="Egypt"/>
    <x v="7"/>
    <x v="34"/>
    <x v="34"/>
    <d v="2025-06-03T00:00:00"/>
    <m/>
    <s v="Day Off"/>
    <m/>
    <m/>
    <n v="0"/>
    <x v="1"/>
  </r>
  <r>
    <x v="0"/>
    <s v="Egypt"/>
    <x v="7"/>
    <x v="34"/>
    <x v="34"/>
    <d v="2025-06-04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00:00"/>
    <d v="1899-12-30T18:15:00"/>
    <n v="0"/>
    <x v="1"/>
  </r>
  <r>
    <x v="0"/>
    <s v="Egypt"/>
    <x v="7"/>
    <x v="34"/>
    <x v="34"/>
    <m/>
    <m/>
    <s v="Break 30 Night"/>
    <d v="1899-12-30T21:00:00"/>
    <d v="1899-12-30T21:30:00"/>
    <n v="0"/>
    <x v="1"/>
  </r>
  <r>
    <x v="0"/>
    <s v="Egypt"/>
    <x v="7"/>
    <x v="34"/>
    <x v="34"/>
    <d v="2025-06-05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00:00"/>
    <d v="1899-12-30T18:15:00"/>
    <n v="0"/>
    <x v="1"/>
  </r>
  <r>
    <x v="0"/>
    <s v="Egypt"/>
    <x v="7"/>
    <x v="34"/>
    <x v="34"/>
    <m/>
    <m/>
    <s v="Break 30 Night"/>
    <d v="1899-12-30T21:15:00"/>
    <d v="1899-12-30T21:45:00"/>
    <n v="0"/>
    <x v="1"/>
  </r>
  <r>
    <x v="0"/>
    <s v="Egypt"/>
    <x v="7"/>
    <x v="34"/>
    <x v="34"/>
    <d v="2025-06-06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45:00"/>
    <d v="1899-12-30T18:00:00"/>
    <n v="0"/>
    <x v="1"/>
  </r>
  <r>
    <x v="0"/>
    <s v="Egypt"/>
    <x v="7"/>
    <x v="34"/>
    <x v="34"/>
    <m/>
    <m/>
    <s v="Break 30 Night"/>
    <d v="1899-12-30T21:00:00"/>
    <d v="1899-12-30T21:30:00"/>
    <n v="0"/>
    <x v="1"/>
  </r>
  <r>
    <x v="0"/>
    <s v="Egypt"/>
    <x v="7"/>
    <x v="34"/>
    <x v="34"/>
    <d v="2025-06-07T00:00:00"/>
    <d v="1899-12-30T08:15:00"/>
    <s v="Public holiday"/>
    <m/>
    <m/>
    <n v="29700"/>
    <x v="1"/>
  </r>
  <r>
    <x v="0"/>
    <s v="Egypt"/>
    <x v="7"/>
    <x v="34"/>
    <x v="34"/>
    <d v="2025-06-08T00:00:00"/>
    <m/>
    <s v="Day Off"/>
    <m/>
    <m/>
    <n v="0"/>
    <x v="1"/>
  </r>
  <r>
    <x v="0"/>
    <s v="Egypt"/>
    <x v="7"/>
    <x v="34"/>
    <x v="34"/>
    <d v="2025-06-09T00:00:00"/>
    <m/>
    <s v="Day Off"/>
    <m/>
    <m/>
    <n v="0"/>
    <x v="1"/>
  </r>
  <r>
    <x v="0"/>
    <s v="Egypt"/>
    <x v="7"/>
    <x v="34"/>
    <x v="34"/>
    <d v="2025-06-10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30:00"/>
    <d v="1899-12-30T17:45:00"/>
    <n v="0"/>
    <x v="1"/>
  </r>
  <r>
    <x v="0"/>
    <s v="Egypt"/>
    <x v="7"/>
    <x v="34"/>
    <x v="34"/>
    <m/>
    <m/>
    <s v="Break 30 Night"/>
    <d v="1899-12-30T20:30:00"/>
    <d v="1899-12-30T21:00:00"/>
    <n v="0"/>
    <x v="1"/>
  </r>
  <r>
    <x v="0"/>
    <s v="Egypt"/>
    <x v="7"/>
    <x v="34"/>
    <x v="34"/>
    <d v="2025-06-11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45:00"/>
    <d v="1899-12-30T18:00:00"/>
    <n v="0"/>
    <x v="1"/>
  </r>
  <r>
    <x v="0"/>
    <s v="Egypt"/>
    <x v="7"/>
    <x v="34"/>
    <x v="34"/>
    <m/>
    <m/>
    <s v="Break 30 Night"/>
    <d v="1899-12-30T20:30:00"/>
    <d v="1899-12-30T21:00:00"/>
    <n v="0"/>
    <x v="1"/>
  </r>
  <r>
    <x v="0"/>
    <s v="Egypt"/>
    <x v="7"/>
    <x v="34"/>
    <x v="34"/>
    <d v="2025-06-12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00:00"/>
    <d v="1899-12-30T18:15:00"/>
    <n v="0"/>
    <x v="1"/>
  </r>
  <r>
    <x v="0"/>
    <s v="Egypt"/>
    <x v="7"/>
    <x v="34"/>
    <x v="34"/>
    <m/>
    <m/>
    <s v="Break 30 Night"/>
    <d v="1899-12-30T21:00:00"/>
    <d v="1899-12-30T21:30:00"/>
    <n v="0"/>
    <x v="1"/>
  </r>
  <r>
    <x v="0"/>
    <s v="Egypt"/>
    <x v="7"/>
    <x v="34"/>
    <x v="34"/>
    <d v="2025-06-13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15:00"/>
    <d v="1899-12-30T17:30:00"/>
    <n v="0"/>
    <x v="1"/>
  </r>
  <r>
    <x v="0"/>
    <s v="Egypt"/>
    <x v="7"/>
    <x v="34"/>
    <x v="34"/>
    <m/>
    <m/>
    <s v="Break 30 Night"/>
    <d v="1899-12-30T20:30:00"/>
    <d v="1899-12-30T21:00:00"/>
    <n v="0"/>
    <x v="1"/>
  </r>
  <r>
    <x v="0"/>
    <s v="Egypt"/>
    <x v="7"/>
    <x v="34"/>
    <x v="34"/>
    <d v="2025-06-14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15:00"/>
    <d v="1899-12-30T17:30:00"/>
    <n v="0"/>
    <x v="1"/>
  </r>
  <r>
    <x v="0"/>
    <s v="Egypt"/>
    <x v="7"/>
    <x v="34"/>
    <x v="34"/>
    <m/>
    <m/>
    <s v="Break 30 Night"/>
    <d v="1899-12-30T20:30:00"/>
    <d v="1899-12-30T21:00:00"/>
    <n v="0"/>
    <x v="1"/>
  </r>
  <r>
    <x v="0"/>
    <s v="Egypt"/>
    <x v="7"/>
    <x v="34"/>
    <x v="34"/>
    <d v="2025-06-15T00:00:00"/>
    <m/>
    <s v="Day Off"/>
    <m/>
    <m/>
    <n v="0"/>
    <x v="1"/>
  </r>
  <r>
    <x v="0"/>
    <s v="Egypt"/>
    <x v="7"/>
    <x v="34"/>
    <x v="34"/>
    <d v="2025-06-16T00:00:00"/>
    <d v="1899-12-30T08:15:00"/>
    <s v="Annual Exception"/>
    <m/>
    <m/>
    <n v="29700"/>
    <x v="1"/>
  </r>
  <r>
    <x v="0"/>
    <s v="Egypt"/>
    <x v="7"/>
    <x v="34"/>
    <x v="34"/>
    <d v="2025-06-17T00:00:00"/>
    <d v="1899-12-30T08:15:00"/>
    <s v="Annual Exception"/>
    <m/>
    <m/>
    <n v="29700"/>
    <x v="1"/>
  </r>
  <r>
    <x v="0"/>
    <s v="Egypt"/>
    <x v="7"/>
    <x v="34"/>
    <x v="34"/>
    <d v="2025-06-18T00:00:00"/>
    <d v="1899-12-30T08:15:00"/>
    <s v="Annual Exception"/>
    <m/>
    <m/>
    <n v="29700"/>
    <x v="1"/>
  </r>
  <r>
    <x v="0"/>
    <s v="Egypt"/>
    <x v="7"/>
    <x v="34"/>
    <x v="34"/>
    <d v="2025-06-19T00:00:00"/>
    <d v="1899-12-30T08:15:00"/>
    <s v="Annual Exception"/>
    <m/>
    <m/>
    <n v="29700"/>
    <x v="1"/>
  </r>
  <r>
    <x v="0"/>
    <s v="Egypt"/>
    <x v="7"/>
    <x v="34"/>
    <x v="34"/>
    <d v="2025-06-20T00:00:00"/>
    <d v="1899-12-30T08:15:00"/>
    <s v="Annual Exception"/>
    <m/>
    <m/>
    <n v="29700"/>
    <x v="1"/>
  </r>
  <r>
    <x v="0"/>
    <s v="Egypt"/>
    <x v="7"/>
    <x v="34"/>
    <x v="34"/>
    <d v="2025-06-21T00:00:00"/>
    <m/>
    <s v="Day Off"/>
    <m/>
    <m/>
    <n v="0"/>
    <x v="1"/>
  </r>
  <r>
    <x v="0"/>
    <s v="Egypt"/>
    <x v="7"/>
    <x v="34"/>
    <x v="34"/>
    <d v="2025-06-22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30:00"/>
    <d v="1899-12-30T18:45:00"/>
    <n v="0"/>
    <x v="1"/>
  </r>
  <r>
    <x v="0"/>
    <s v="Egypt"/>
    <x v="7"/>
    <x v="34"/>
    <x v="34"/>
    <m/>
    <m/>
    <s v="Break 30 Night"/>
    <d v="1899-12-30T21:15:00"/>
    <d v="1899-12-30T21:45:00"/>
    <n v="0"/>
    <x v="1"/>
  </r>
  <r>
    <x v="0"/>
    <s v="Egypt"/>
    <x v="7"/>
    <x v="34"/>
    <x v="34"/>
    <d v="2025-06-23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30:00"/>
    <d v="1899-12-30T18:45:00"/>
    <n v="0"/>
    <x v="1"/>
  </r>
  <r>
    <x v="0"/>
    <s v="Egypt"/>
    <x v="7"/>
    <x v="34"/>
    <x v="34"/>
    <m/>
    <m/>
    <s v="Break 30 Night"/>
    <d v="1899-12-30T20:45:00"/>
    <d v="1899-12-30T21:15:00"/>
    <n v="0"/>
    <x v="1"/>
  </r>
  <r>
    <x v="0"/>
    <s v="Egypt"/>
    <x v="7"/>
    <x v="34"/>
    <x v="34"/>
    <d v="2025-06-24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8:15:00"/>
    <d v="1899-12-30T18:30:00"/>
    <n v="0"/>
    <x v="1"/>
  </r>
  <r>
    <x v="0"/>
    <s v="Egypt"/>
    <x v="7"/>
    <x v="34"/>
    <x v="34"/>
    <m/>
    <m/>
    <s v="Break 30 Night"/>
    <d v="1899-12-30T20:45:00"/>
    <d v="1899-12-30T21:15:00"/>
    <n v="0"/>
    <x v="1"/>
  </r>
  <r>
    <x v="0"/>
    <s v="Egypt"/>
    <x v="7"/>
    <x v="34"/>
    <x v="34"/>
    <d v="2025-06-25T00:00:00"/>
    <d v="1899-12-30T08:00:00"/>
    <s v="Non Reserved Annual"/>
    <d v="1899-12-30T09:15:00"/>
    <d v="1899-12-30T17:15:00"/>
    <n v="28800"/>
    <x v="1"/>
  </r>
  <r>
    <x v="0"/>
    <s v="Egypt"/>
    <x v="7"/>
    <x v="34"/>
    <x v="34"/>
    <m/>
    <m/>
    <s v="Non Reserved Annual"/>
    <d v="1899-12-30T09:15:00"/>
    <d v="1899-12-30T17:15:00"/>
    <n v="0"/>
    <x v="1"/>
  </r>
  <r>
    <x v="0"/>
    <s v="Egypt"/>
    <x v="7"/>
    <x v="34"/>
    <x v="34"/>
    <d v="2025-06-26T00:00:00"/>
    <d v="1899-12-30T08:15:00"/>
    <s v="Non Telecom"/>
    <d v="1899-12-30T16:15:00"/>
    <s v="+12:30 AM"/>
    <n v="29700"/>
    <x v="0"/>
  </r>
  <r>
    <x v="0"/>
    <s v="Egypt"/>
    <x v="7"/>
    <x v="34"/>
    <x v="34"/>
    <m/>
    <m/>
    <s v="Break 15 Night"/>
    <d v="1899-12-30T17:45:00"/>
    <d v="1899-12-30T18:00:00"/>
    <n v="0"/>
    <x v="1"/>
  </r>
  <r>
    <x v="0"/>
    <s v="Egypt"/>
    <x v="7"/>
    <x v="34"/>
    <x v="34"/>
    <m/>
    <m/>
    <s v="Break 30 Night"/>
    <d v="1899-12-30T21:00:00"/>
    <d v="1899-12-30T21:30:00"/>
    <n v="0"/>
    <x v="1"/>
  </r>
  <r>
    <x v="0"/>
    <s v="Egypt"/>
    <x v="7"/>
    <x v="34"/>
    <x v="34"/>
    <d v="2025-06-27T00:00:00"/>
    <m/>
    <s v="Day Off"/>
    <m/>
    <m/>
    <n v="0"/>
    <x v="1"/>
  </r>
  <r>
    <x v="0"/>
    <s v="Egypt"/>
    <x v="7"/>
    <x v="34"/>
    <x v="34"/>
    <d v="2025-06-28T00:00:00"/>
    <m/>
    <s v="Day Off"/>
    <m/>
    <m/>
    <n v="0"/>
    <x v="1"/>
  </r>
  <r>
    <x v="0"/>
    <s v="Egypt"/>
    <x v="7"/>
    <x v="34"/>
    <x v="34"/>
    <d v="2025-06-29T00:00:00"/>
    <d v="1899-12-30T08:15:00"/>
    <s v="Non Telecom"/>
    <d v="1899-12-30T19:15:00"/>
    <s v="+3:30 AM"/>
    <n v="29700"/>
    <x v="0"/>
  </r>
  <r>
    <x v="0"/>
    <s v="Egypt"/>
    <x v="7"/>
    <x v="34"/>
    <x v="34"/>
    <m/>
    <m/>
    <s v="Break 15 Night"/>
    <d v="1899-12-30T21:45:00"/>
    <d v="1899-12-30T22:00:00"/>
    <n v="0"/>
    <x v="1"/>
  </r>
  <r>
    <x v="0"/>
    <s v="Egypt"/>
    <x v="7"/>
    <x v="34"/>
    <x v="34"/>
    <m/>
    <m/>
    <s v="Break 30 Night"/>
    <s v="+1:00 AM"/>
    <s v="+1:30 AM"/>
    <n v="0"/>
    <x v="1"/>
  </r>
  <r>
    <x v="0"/>
    <s v="Egypt"/>
    <x v="7"/>
    <x v="34"/>
    <x v="34"/>
    <d v="2025-06-30T00:00:00"/>
    <d v="1899-12-30T08:15:00"/>
    <s v="Non Telecom"/>
    <d v="1899-12-30T19:15:00"/>
    <s v="+3:30 AM"/>
    <n v="29700"/>
    <x v="0"/>
  </r>
  <r>
    <x v="0"/>
    <s v="Egypt"/>
    <x v="7"/>
    <x v="34"/>
    <x v="34"/>
    <m/>
    <m/>
    <s v="Break 15 Night"/>
    <d v="1899-12-30T21:45:00"/>
    <d v="1899-12-30T22:00:00"/>
    <n v="0"/>
    <x v="1"/>
  </r>
  <r>
    <x v="0"/>
    <s v="Egypt"/>
    <x v="7"/>
    <x v="34"/>
    <x v="34"/>
    <m/>
    <m/>
    <s v="Break 30 Night"/>
    <s v="+1:00 AM"/>
    <s v="+1:30 AM"/>
    <n v="0"/>
    <x v="1"/>
  </r>
  <r>
    <x v="0"/>
    <s v="Egypt"/>
    <x v="7"/>
    <x v="35"/>
    <x v="35"/>
    <d v="2025-06-01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7:45:00"/>
    <d v="1899-12-30T18:00:00"/>
    <n v="0"/>
    <x v="1"/>
  </r>
  <r>
    <x v="0"/>
    <s v="Egypt"/>
    <x v="7"/>
    <x v="35"/>
    <x v="35"/>
    <m/>
    <m/>
    <s v="Break 30 Night"/>
    <d v="1899-12-30T20:45:00"/>
    <d v="1899-12-30T21:15:00"/>
    <n v="0"/>
    <x v="1"/>
  </r>
  <r>
    <x v="0"/>
    <s v="Egypt"/>
    <x v="7"/>
    <x v="35"/>
    <x v="35"/>
    <d v="2025-06-02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7:45:00"/>
    <d v="1899-12-30T18:00:00"/>
    <n v="0"/>
    <x v="1"/>
  </r>
  <r>
    <x v="0"/>
    <s v="Egypt"/>
    <x v="7"/>
    <x v="35"/>
    <x v="35"/>
    <m/>
    <m/>
    <s v="Break 30 Night"/>
    <d v="1899-12-30T21:15:00"/>
    <d v="1899-12-30T21:45:00"/>
    <n v="0"/>
    <x v="1"/>
  </r>
  <r>
    <x v="0"/>
    <s v="Egypt"/>
    <x v="7"/>
    <x v="35"/>
    <x v="35"/>
    <d v="2025-06-03T00:00:00"/>
    <m/>
    <s v="Day Off"/>
    <m/>
    <m/>
    <n v="0"/>
    <x v="1"/>
  </r>
  <r>
    <x v="0"/>
    <s v="Egypt"/>
    <x v="7"/>
    <x v="35"/>
    <x v="35"/>
    <d v="2025-06-04T00:00:00"/>
    <m/>
    <s v="Day Off"/>
    <m/>
    <m/>
    <n v="0"/>
    <x v="1"/>
  </r>
  <r>
    <x v="0"/>
    <s v="Egypt"/>
    <x v="7"/>
    <x v="35"/>
    <x v="35"/>
    <d v="2025-06-05T00:00:00"/>
    <d v="1899-12-30T08:15:00"/>
    <s v="Unpaid Leave"/>
    <m/>
    <m/>
    <n v="29700"/>
    <x v="1"/>
  </r>
  <r>
    <x v="0"/>
    <s v="Egypt"/>
    <x v="7"/>
    <x v="35"/>
    <x v="35"/>
    <d v="2025-06-06T00:00:00"/>
    <d v="1899-12-30T08:15:00"/>
    <s v="Public holiday"/>
    <m/>
    <m/>
    <n v="29700"/>
    <x v="1"/>
  </r>
  <r>
    <x v="0"/>
    <s v="Egypt"/>
    <x v="7"/>
    <x v="35"/>
    <x v="35"/>
    <d v="2025-06-07T00:00:00"/>
    <d v="1899-12-30T08:15:00"/>
    <s v="Public holiday"/>
    <m/>
    <m/>
    <n v="29700"/>
    <x v="1"/>
  </r>
  <r>
    <x v="0"/>
    <s v="Egypt"/>
    <x v="7"/>
    <x v="35"/>
    <x v="35"/>
    <d v="2025-06-08T00:00:00"/>
    <d v="1899-12-30T11:15:00"/>
    <s v="Non Telecom"/>
    <d v="1899-12-30T16:15:00"/>
    <s v="+3:30 AM"/>
    <n v="40500"/>
    <x v="0"/>
  </r>
  <r>
    <x v="0"/>
    <s v="Egypt"/>
    <x v="7"/>
    <x v="35"/>
    <x v="35"/>
    <m/>
    <m/>
    <s v="Break 15 Night"/>
    <d v="1899-12-30T19:00:00"/>
    <d v="1899-12-30T19:15:00"/>
    <n v="0"/>
    <x v="1"/>
  </r>
  <r>
    <x v="0"/>
    <s v="Egypt"/>
    <x v="7"/>
    <x v="35"/>
    <x v="35"/>
    <m/>
    <m/>
    <s v="Break 30 Night"/>
    <d v="1899-12-30T21:45:00"/>
    <d v="1899-12-30T22:15:00"/>
    <n v="0"/>
    <x v="1"/>
  </r>
  <r>
    <x v="0"/>
    <s v="Egypt"/>
    <x v="7"/>
    <x v="35"/>
    <x v="35"/>
    <m/>
    <m/>
    <s v="Shift Move"/>
    <s v="+12:30 AM"/>
    <s v="+3:30 AM"/>
    <n v="0"/>
    <x v="1"/>
  </r>
  <r>
    <x v="0"/>
    <s v="Egypt"/>
    <x v="7"/>
    <x v="35"/>
    <x v="35"/>
    <d v="2025-06-09T00:00:00"/>
    <m/>
    <s v="Day Off"/>
    <m/>
    <m/>
    <n v="0"/>
    <x v="1"/>
  </r>
  <r>
    <x v="0"/>
    <s v="Egypt"/>
    <x v="7"/>
    <x v="35"/>
    <x v="35"/>
    <d v="2025-06-10T00:00:00"/>
    <m/>
    <s v="Day Off"/>
    <m/>
    <m/>
    <n v="0"/>
    <x v="1"/>
  </r>
  <r>
    <x v="0"/>
    <s v="Egypt"/>
    <x v="7"/>
    <x v="35"/>
    <x v="35"/>
    <d v="2025-06-11T00:00:00"/>
    <d v="1899-12-30T08:15:00"/>
    <s v="Non Telecom"/>
    <d v="1899-12-30T17:15:00"/>
    <s v="+1:30 AM"/>
    <n v="29700"/>
    <x v="0"/>
  </r>
  <r>
    <x v="0"/>
    <s v="Egypt"/>
    <x v="7"/>
    <x v="35"/>
    <x v="35"/>
    <m/>
    <m/>
    <s v="Break 15 Night"/>
    <d v="1899-12-30T19:00:00"/>
    <d v="1899-12-30T19:15:00"/>
    <n v="0"/>
    <x v="1"/>
  </r>
  <r>
    <x v="0"/>
    <s v="Egypt"/>
    <x v="7"/>
    <x v="35"/>
    <x v="35"/>
    <m/>
    <m/>
    <s v="Break 30 Night"/>
    <d v="1899-12-30T22:00:00"/>
    <d v="1899-12-30T22:30:00"/>
    <n v="0"/>
    <x v="1"/>
  </r>
  <r>
    <x v="0"/>
    <s v="Egypt"/>
    <x v="7"/>
    <x v="35"/>
    <x v="35"/>
    <d v="2025-06-12T00:00:00"/>
    <d v="1899-12-30T08:15:00"/>
    <s v="Non Telecom"/>
    <d v="1899-12-30T17:15:00"/>
    <s v="+1:30 AM"/>
    <n v="29700"/>
    <x v="0"/>
  </r>
  <r>
    <x v="0"/>
    <s v="Egypt"/>
    <x v="7"/>
    <x v="35"/>
    <x v="35"/>
    <m/>
    <m/>
    <s v="Break 15 Night"/>
    <d v="1899-12-30T20:00:00"/>
    <d v="1899-12-30T20:15:00"/>
    <n v="0"/>
    <x v="1"/>
  </r>
  <r>
    <x v="0"/>
    <s v="Egypt"/>
    <x v="7"/>
    <x v="35"/>
    <x v="35"/>
    <m/>
    <m/>
    <s v="Break 30 Night"/>
    <d v="1899-12-30T23:00:00"/>
    <d v="1899-12-30T23:30:00"/>
    <n v="0"/>
    <x v="1"/>
  </r>
  <r>
    <x v="0"/>
    <s v="Egypt"/>
    <x v="7"/>
    <x v="35"/>
    <x v="35"/>
    <d v="2025-06-13T00:00:00"/>
    <d v="1899-12-30T11:15:00"/>
    <s v="Non Telecom"/>
    <d v="1899-12-30T16:15:00"/>
    <s v="+3:30 AM"/>
    <n v="40500"/>
    <x v="0"/>
  </r>
  <r>
    <x v="0"/>
    <s v="Egypt"/>
    <x v="7"/>
    <x v="35"/>
    <x v="35"/>
    <m/>
    <m/>
    <s v="Break 15 Night"/>
    <d v="1899-12-30T18:45:00"/>
    <d v="1899-12-30T19:00:00"/>
    <n v="0"/>
    <x v="1"/>
  </r>
  <r>
    <x v="0"/>
    <s v="Egypt"/>
    <x v="7"/>
    <x v="35"/>
    <x v="35"/>
    <m/>
    <m/>
    <s v="Break 30 Night"/>
    <d v="1899-12-30T21:15:00"/>
    <d v="1899-12-30T21:45:00"/>
    <n v="0"/>
    <x v="1"/>
  </r>
  <r>
    <x v="0"/>
    <s v="Egypt"/>
    <x v="7"/>
    <x v="35"/>
    <x v="35"/>
    <m/>
    <m/>
    <s v="Shift Move"/>
    <s v="+12:30 AM"/>
    <s v="+3:30 AM"/>
    <n v="0"/>
    <x v="1"/>
  </r>
  <r>
    <x v="0"/>
    <s v="Egypt"/>
    <x v="7"/>
    <x v="35"/>
    <x v="35"/>
    <d v="2025-06-14T00:00:00"/>
    <d v="1899-12-30T08:15:00"/>
    <s v="Uncertified Sick Leave"/>
    <m/>
    <m/>
    <n v="29700"/>
    <x v="1"/>
  </r>
  <r>
    <x v="0"/>
    <s v="Egypt"/>
    <x v="7"/>
    <x v="35"/>
    <x v="35"/>
    <d v="2025-06-15T00:00:00"/>
    <m/>
    <s v="Day Off"/>
    <m/>
    <m/>
    <n v="0"/>
    <x v="1"/>
  </r>
  <r>
    <x v="0"/>
    <s v="Egypt"/>
    <x v="7"/>
    <x v="35"/>
    <x v="35"/>
    <d v="2025-06-16T00:00:00"/>
    <m/>
    <s v="Day Off"/>
    <m/>
    <m/>
    <n v="0"/>
    <x v="1"/>
  </r>
  <r>
    <x v="0"/>
    <s v="Egypt"/>
    <x v="7"/>
    <x v="35"/>
    <x v="35"/>
    <d v="2025-06-17T00:00:00"/>
    <d v="1899-12-30T08:15:00"/>
    <s v="Non Telecom"/>
    <d v="1899-12-30T17:15:00"/>
    <s v="+1:30 AM"/>
    <n v="29700"/>
    <x v="0"/>
  </r>
  <r>
    <x v="0"/>
    <s v="Egypt"/>
    <x v="7"/>
    <x v="35"/>
    <x v="35"/>
    <m/>
    <m/>
    <s v="Break 15 Night"/>
    <d v="1899-12-30T20:15:00"/>
    <d v="1899-12-30T20:30:00"/>
    <n v="0"/>
    <x v="1"/>
  </r>
  <r>
    <x v="0"/>
    <s v="Egypt"/>
    <x v="7"/>
    <x v="35"/>
    <x v="35"/>
    <m/>
    <m/>
    <s v="Break 30 Night"/>
    <d v="1899-12-30T23:00:00"/>
    <d v="1899-12-30T23:30:00"/>
    <n v="0"/>
    <x v="1"/>
  </r>
  <r>
    <x v="0"/>
    <s v="Egypt"/>
    <x v="7"/>
    <x v="35"/>
    <x v="35"/>
    <d v="2025-06-18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30:00"/>
    <d v="1899-12-30T18:45:00"/>
    <n v="0"/>
    <x v="1"/>
  </r>
  <r>
    <x v="0"/>
    <s v="Egypt"/>
    <x v="7"/>
    <x v="35"/>
    <x v="35"/>
    <m/>
    <m/>
    <s v="Break 30 Night"/>
    <d v="1899-12-30T21:15:00"/>
    <d v="1899-12-30T21:45:00"/>
    <n v="0"/>
    <x v="1"/>
  </r>
  <r>
    <x v="0"/>
    <s v="Egypt"/>
    <x v="7"/>
    <x v="35"/>
    <x v="35"/>
    <d v="2025-06-19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45:00"/>
    <d v="1899-12-30T19:00:00"/>
    <n v="0"/>
    <x v="1"/>
  </r>
  <r>
    <x v="0"/>
    <s v="Egypt"/>
    <x v="7"/>
    <x v="35"/>
    <x v="35"/>
    <m/>
    <m/>
    <s v="Break 30 Night"/>
    <d v="1899-12-30T21:30:00"/>
    <d v="1899-12-30T22:00:00"/>
    <n v="0"/>
    <x v="1"/>
  </r>
  <r>
    <x v="0"/>
    <s v="Egypt"/>
    <x v="7"/>
    <x v="35"/>
    <x v="35"/>
    <d v="2025-06-20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15:00"/>
    <d v="1899-12-30T18:30:00"/>
    <n v="0"/>
    <x v="1"/>
  </r>
  <r>
    <x v="0"/>
    <s v="Egypt"/>
    <x v="7"/>
    <x v="35"/>
    <x v="35"/>
    <m/>
    <m/>
    <s v="Break 30 Night"/>
    <d v="1899-12-30T21:15:00"/>
    <d v="1899-12-30T21:45:00"/>
    <n v="0"/>
    <x v="1"/>
  </r>
  <r>
    <x v="0"/>
    <s v="Egypt"/>
    <x v="7"/>
    <x v="35"/>
    <x v="35"/>
    <d v="2025-06-21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00:00"/>
    <d v="1899-12-30T18:15:00"/>
    <n v="0"/>
    <x v="1"/>
  </r>
  <r>
    <x v="0"/>
    <s v="Egypt"/>
    <x v="7"/>
    <x v="35"/>
    <x v="35"/>
    <m/>
    <m/>
    <s v="Break 30 Night"/>
    <d v="1899-12-30T21:00:00"/>
    <d v="1899-12-30T21:30:00"/>
    <n v="0"/>
    <x v="1"/>
  </r>
  <r>
    <x v="0"/>
    <s v="Egypt"/>
    <x v="7"/>
    <x v="35"/>
    <x v="35"/>
    <d v="2025-06-22T00:00:00"/>
    <m/>
    <s v="Day Off"/>
    <m/>
    <m/>
    <n v="0"/>
    <x v="1"/>
  </r>
  <r>
    <x v="0"/>
    <s v="Egypt"/>
    <x v="7"/>
    <x v="35"/>
    <x v="35"/>
    <d v="2025-06-23T00:00:00"/>
    <d v="1899-12-30T08:15:00"/>
    <s v="Non Telecom"/>
    <d v="1899-12-30T09:00:00"/>
    <d v="1899-12-30T17:15:00"/>
    <n v="29700"/>
    <x v="0"/>
  </r>
  <r>
    <x v="0"/>
    <s v="Egypt"/>
    <x v="7"/>
    <x v="35"/>
    <x v="35"/>
    <m/>
    <m/>
    <s v="Break 15 Morning"/>
    <d v="1899-12-30T12:00:00"/>
    <d v="1899-12-30T12:15:00"/>
    <n v="0"/>
    <x v="1"/>
  </r>
  <r>
    <x v="0"/>
    <s v="Egypt"/>
    <x v="7"/>
    <x v="35"/>
    <x v="35"/>
    <m/>
    <m/>
    <s v="Break 30 Morning"/>
    <d v="1899-12-30T14:45:00"/>
    <d v="1899-12-30T15:15:00"/>
    <n v="0"/>
    <x v="1"/>
  </r>
  <r>
    <x v="0"/>
    <s v="Egypt"/>
    <x v="7"/>
    <x v="35"/>
    <x v="35"/>
    <d v="2025-06-24T00:00:00"/>
    <d v="1899-12-30T08:15:00"/>
    <s v="Sick"/>
    <m/>
    <m/>
    <n v="29700"/>
    <x v="1"/>
  </r>
  <r>
    <x v="0"/>
    <s v="Egypt"/>
    <x v="7"/>
    <x v="35"/>
    <x v="35"/>
    <d v="2025-06-25T00:00:00"/>
    <d v="1899-12-30T08:15:00"/>
    <s v="Sick"/>
    <m/>
    <m/>
    <n v="29700"/>
    <x v="1"/>
  </r>
  <r>
    <x v="0"/>
    <s v="Egypt"/>
    <x v="7"/>
    <x v="35"/>
    <x v="35"/>
    <d v="2025-06-26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15:00"/>
    <d v="1899-12-30T18:30:00"/>
    <n v="0"/>
    <x v="1"/>
  </r>
  <r>
    <x v="0"/>
    <s v="Egypt"/>
    <x v="7"/>
    <x v="35"/>
    <x v="35"/>
    <m/>
    <m/>
    <s v="Break 30 Night"/>
    <d v="1899-12-30T21:00:00"/>
    <d v="1899-12-30T21:30:00"/>
    <n v="0"/>
    <x v="1"/>
  </r>
  <r>
    <x v="0"/>
    <s v="Egypt"/>
    <x v="7"/>
    <x v="35"/>
    <x v="35"/>
    <d v="2025-06-27T00:00:00"/>
    <d v="1899-12-30T08:15:00"/>
    <s v="Non Telecom"/>
    <d v="1899-12-30T16:15:00"/>
    <s v="+12:30 AM"/>
    <n v="29700"/>
    <x v="0"/>
  </r>
  <r>
    <x v="0"/>
    <s v="Egypt"/>
    <x v="7"/>
    <x v="35"/>
    <x v="35"/>
    <m/>
    <m/>
    <s v="Break 15 Night"/>
    <d v="1899-12-30T18:00:00"/>
    <d v="1899-12-30T18:15:00"/>
    <n v="0"/>
    <x v="1"/>
  </r>
  <r>
    <x v="0"/>
    <s v="Egypt"/>
    <x v="7"/>
    <x v="35"/>
    <x v="35"/>
    <m/>
    <m/>
    <s v="Break 30 Night"/>
    <d v="1899-12-30T21:15:00"/>
    <d v="1899-12-30T21:45:00"/>
    <n v="0"/>
    <x v="1"/>
  </r>
  <r>
    <x v="0"/>
    <s v="Egypt"/>
    <x v="7"/>
    <x v="35"/>
    <x v="35"/>
    <d v="2025-06-28T00:00:00"/>
    <m/>
    <s v="Day Off"/>
    <m/>
    <m/>
    <n v="0"/>
    <x v="1"/>
  </r>
  <r>
    <x v="0"/>
    <s v="Egypt"/>
    <x v="7"/>
    <x v="35"/>
    <x v="35"/>
    <d v="2025-06-29T00:00:00"/>
    <d v="1899-12-30T08:15:00"/>
    <s v="No show"/>
    <d v="1899-12-30T19:15:00"/>
    <s v="+3:30 AM"/>
    <n v="29700"/>
    <x v="1"/>
  </r>
  <r>
    <x v="0"/>
    <s v="Egypt"/>
    <x v="7"/>
    <x v="35"/>
    <x v="35"/>
    <d v="2025-06-30T00:00:00"/>
    <d v="1899-12-30T08:15:00"/>
    <s v="Non Telecom"/>
    <d v="1899-12-30T13:00:00"/>
    <d v="1899-12-30T21:15:00"/>
    <n v="29700"/>
    <x v="0"/>
  </r>
  <r>
    <x v="0"/>
    <s v="Egypt"/>
    <x v="7"/>
    <x v="35"/>
    <x v="35"/>
    <m/>
    <m/>
    <s v="Break 15 Morning"/>
    <d v="1899-12-30T14:45:00"/>
    <d v="1899-12-30T15:00:00"/>
    <n v="0"/>
    <x v="1"/>
  </r>
  <r>
    <x v="0"/>
    <s v="Egypt"/>
    <x v="7"/>
    <x v="35"/>
    <x v="35"/>
    <m/>
    <m/>
    <s v="Break 30 Morning"/>
    <d v="1899-12-30T17:45:00"/>
    <d v="1899-12-30T18:15:00"/>
    <n v="0"/>
    <x v="1"/>
  </r>
  <r>
    <x v="0"/>
    <s v="Egypt"/>
    <x v="7"/>
    <x v="36"/>
    <x v="36"/>
    <d v="2025-06-01T00:00:00"/>
    <d v="1899-12-30T08:15:00"/>
    <s v="Annual Exception"/>
    <m/>
    <m/>
    <n v="29700"/>
    <x v="1"/>
  </r>
  <r>
    <x v="0"/>
    <s v="Egypt"/>
    <x v="7"/>
    <x v="36"/>
    <x v="36"/>
    <d v="2025-06-02T00:00:00"/>
    <d v="1899-12-30T08:15:00"/>
    <s v="Annual Exception"/>
    <m/>
    <m/>
    <n v="29700"/>
    <x v="1"/>
  </r>
  <r>
    <x v="0"/>
    <s v="Egypt"/>
    <x v="7"/>
    <x v="36"/>
    <x v="36"/>
    <d v="2025-06-03T00:00:00"/>
    <d v="1899-12-30T08:15:00"/>
    <s v="Non Telecom"/>
    <d v="1899-12-30T13:00:00"/>
    <d v="1899-12-30T21:15:00"/>
    <n v="29700"/>
    <x v="0"/>
  </r>
  <r>
    <x v="0"/>
    <s v="Egypt"/>
    <x v="7"/>
    <x v="36"/>
    <x v="36"/>
    <m/>
    <m/>
    <s v="Break 15 Morning"/>
    <d v="1899-12-30T15:15:00"/>
    <d v="1899-12-30T15:30:00"/>
    <n v="0"/>
    <x v="1"/>
  </r>
  <r>
    <x v="0"/>
    <s v="Egypt"/>
    <x v="7"/>
    <x v="36"/>
    <x v="36"/>
    <m/>
    <m/>
    <s v="Break 30 Morning"/>
    <d v="1899-12-30T18:15:00"/>
    <d v="1899-12-30T18:45:00"/>
    <n v="0"/>
    <x v="1"/>
  </r>
  <r>
    <x v="0"/>
    <s v="Egypt"/>
    <x v="7"/>
    <x v="36"/>
    <x v="36"/>
    <d v="2025-06-04T00:00:00"/>
    <d v="1899-12-30T08:15:00"/>
    <s v="Non Telecom"/>
    <d v="1899-12-30T13:00:00"/>
    <d v="1899-12-30T21:15:00"/>
    <n v="29700"/>
    <x v="0"/>
  </r>
  <r>
    <x v="0"/>
    <s v="Egypt"/>
    <x v="7"/>
    <x v="36"/>
    <x v="36"/>
    <m/>
    <m/>
    <s v="Break 15 Morning"/>
    <d v="1899-12-30T14:45:00"/>
    <d v="1899-12-30T15:00:00"/>
    <n v="0"/>
    <x v="1"/>
  </r>
  <r>
    <x v="0"/>
    <s v="Egypt"/>
    <x v="7"/>
    <x v="36"/>
    <x v="36"/>
    <m/>
    <m/>
    <s v="Break 30 Morning"/>
    <d v="1899-12-30T18:00:00"/>
    <d v="1899-12-30T18:30:00"/>
    <n v="0"/>
    <x v="1"/>
  </r>
  <r>
    <x v="0"/>
    <s v="Egypt"/>
    <x v="7"/>
    <x v="36"/>
    <x v="36"/>
    <d v="2025-06-05T00:00:00"/>
    <d v="1899-12-30T08:15:00"/>
    <s v="Non Telecom"/>
    <d v="1899-12-30T13:00:00"/>
    <d v="1899-12-30T21:15:00"/>
    <n v="29700"/>
    <x v="0"/>
  </r>
  <r>
    <x v="0"/>
    <s v="Egypt"/>
    <x v="7"/>
    <x v="36"/>
    <x v="36"/>
    <m/>
    <m/>
    <s v="Break 15 Morning"/>
    <d v="1899-12-30T15:00:00"/>
    <d v="1899-12-30T15:15:00"/>
    <n v="0"/>
    <x v="1"/>
  </r>
  <r>
    <x v="0"/>
    <s v="Egypt"/>
    <x v="7"/>
    <x v="36"/>
    <x v="36"/>
    <m/>
    <m/>
    <s v="Break 30 Morning"/>
    <d v="1899-12-30T18:15:00"/>
    <d v="1899-12-30T18:45:00"/>
    <n v="0"/>
    <x v="1"/>
  </r>
  <r>
    <x v="0"/>
    <s v="Egypt"/>
    <x v="7"/>
    <x v="36"/>
    <x v="36"/>
    <d v="2025-06-06T00:00:00"/>
    <m/>
    <s v="Day Off"/>
    <m/>
    <m/>
    <n v="0"/>
    <x v="1"/>
  </r>
  <r>
    <x v="0"/>
    <s v="Egypt"/>
    <x v="7"/>
    <x v="36"/>
    <x v="36"/>
    <d v="2025-06-07T00:00:00"/>
    <m/>
    <s v="Day Off"/>
    <m/>
    <m/>
    <n v="0"/>
    <x v="1"/>
  </r>
  <r>
    <x v="0"/>
    <s v="Egypt"/>
    <x v="7"/>
    <x v="36"/>
    <x v="36"/>
    <d v="2025-06-08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7:45:00"/>
    <d v="1899-12-30T18:00:00"/>
    <n v="0"/>
    <x v="1"/>
  </r>
  <r>
    <x v="0"/>
    <s v="Egypt"/>
    <x v="7"/>
    <x v="36"/>
    <x v="36"/>
    <m/>
    <m/>
    <s v="Break 30 Night"/>
    <d v="1899-12-30T20:45:00"/>
    <d v="1899-12-30T21:15:00"/>
    <n v="0"/>
    <x v="1"/>
  </r>
  <r>
    <x v="0"/>
    <s v="Egypt"/>
    <x v="7"/>
    <x v="36"/>
    <x v="36"/>
    <d v="2025-06-09T00:00:00"/>
    <m/>
    <s v="Day Off"/>
    <m/>
    <m/>
    <n v="0"/>
    <x v="1"/>
  </r>
  <r>
    <x v="0"/>
    <s v="Egypt"/>
    <x v="7"/>
    <x v="36"/>
    <x v="36"/>
    <d v="2025-06-10T00:00:00"/>
    <m/>
    <s v="Day Off"/>
    <m/>
    <m/>
    <n v="0"/>
    <x v="1"/>
  </r>
  <r>
    <x v="0"/>
    <s v="Egypt"/>
    <x v="7"/>
    <x v="36"/>
    <x v="36"/>
    <d v="2025-06-11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7:45:00"/>
    <d v="1899-12-30T18:00:00"/>
    <n v="0"/>
    <x v="1"/>
  </r>
  <r>
    <x v="0"/>
    <s v="Egypt"/>
    <x v="7"/>
    <x v="36"/>
    <x v="36"/>
    <m/>
    <m/>
    <s v="Break 30 Night"/>
    <d v="1899-12-30T21:00:00"/>
    <d v="1899-12-30T21:30:00"/>
    <n v="0"/>
    <x v="1"/>
  </r>
  <r>
    <x v="0"/>
    <s v="Egypt"/>
    <x v="7"/>
    <x v="36"/>
    <x v="36"/>
    <d v="2025-06-12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8:15:00"/>
    <d v="1899-12-30T18:30:00"/>
    <n v="0"/>
    <x v="1"/>
  </r>
  <r>
    <x v="0"/>
    <s v="Egypt"/>
    <x v="7"/>
    <x v="36"/>
    <x v="36"/>
    <m/>
    <m/>
    <s v="Break 30 Night"/>
    <d v="1899-12-30T21:00:00"/>
    <d v="1899-12-30T21:30:00"/>
    <n v="0"/>
    <x v="1"/>
  </r>
  <r>
    <x v="0"/>
    <s v="Egypt"/>
    <x v="7"/>
    <x v="36"/>
    <x v="36"/>
    <d v="2025-06-13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8:00:00"/>
    <d v="1899-12-30T18:15:00"/>
    <n v="0"/>
    <x v="1"/>
  </r>
  <r>
    <x v="0"/>
    <s v="Egypt"/>
    <x v="7"/>
    <x v="36"/>
    <x v="36"/>
    <m/>
    <m/>
    <s v="Break 30 Night"/>
    <d v="1899-12-30T21:00:00"/>
    <d v="1899-12-30T21:30:00"/>
    <n v="0"/>
    <x v="1"/>
  </r>
  <r>
    <x v="0"/>
    <s v="Egypt"/>
    <x v="7"/>
    <x v="36"/>
    <x v="36"/>
    <d v="2025-06-14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7:45:00"/>
    <d v="1899-12-30T18:00:00"/>
    <n v="0"/>
    <x v="1"/>
  </r>
  <r>
    <x v="0"/>
    <s v="Egypt"/>
    <x v="7"/>
    <x v="36"/>
    <x v="36"/>
    <m/>
    <m/>
    <s v="Break 30 Night"/>
    <d v="1899-12-30T21:00:00"/>
    <d v="1899-12-30T21:30:00"/>
    <n v="0"/>
    <x v="1"/>
  </r>
  <r>
    <x v="0"/>
    <s v="Egypt"/>
    <x v="7"/>
    <x v="36"/>
    <x v="36"/>
    <d v="2025-06-15T00:00:00"/>
    <m/>
    <s v="Day Off"/>
    <m/>
    <m/>
    <n v="0"/>
    <x v="1"/>
  </r>
  <r>
    <x v="0"/>
    <s v="Egypt"/>
    <x v="7"/>
    <x v="36"/>
    <x v="36"/>
    <d v="2025-06-16T00:00:00"/>
    <m/>
    <s v="Day Off"/>
    <m/>
    <m/>
    <n v="0"/>
    <x v="1"/>
  </r>
  <r>
    <x v="0"/>
    <s v="Egypt"/>
    <x v="7"/>
    <x v="36"/>
    <x v="36"/>
    <d v="2025-06-17T00:00:00"/>
    <d v="1899-12-30T08:15:00"/>
    <s v="Annual Exception"/>
    <m/>
    <m/>
    <n v="29700"/>
    <x v="1"/>
  </r>
  <r>
    <x v="0"/>
    <s v="Egypt"/>
    <x v="7"/>
    <x v="36"/>
    <x v="36"/>
    <d v="2025-06-18T00:00:00"/>
    <d v="1899-12-30T08:15:00"/>
    <s v="Non Telecom"/>
    <d v="1899-12-30T19:15:00"/>
    <s v="+3:30 AM"/>
    <n v="29700"/>
    <x v="0"/>
  </r>
  <r>
    <x v="0"/>
    <s v="Egypt"/>
    <x v="7"/>
    <x v="36"/>
    <x v="36"/>
    <m/>
    <m/>
    <s v="Break 15 Night"/>
    <d v="1899-12-30T21:45:00"/>
    <d v="1899-12-30T22:00:00"/>
    <n v="0"/>
    <x v="1"/>
  </r>
  <r>
    <x v="0"/>
    <s v="Egypt"/>
    <x v="7"/>
    <x v="36"/>
    <x v="36"/>
    <m/>
    <m/>
    <s v="Break 30 Night"/>
    <s v="+12:45 AM"/>
    <s v="+1:15 AM"/>
    <n v="0"/>
    <x v="1"/>
  </r>
  <r>
    <x v="0"/>
    <s v="Egypt"/>
    <x v="7"/>
    <x v="36"/>
    <x v="36"/>
    <d v="2025-06-19T00:00:00"/>
    <d v="1899-12-30T08:15:00"/>
    <s v="Non Telecom"/>
    <d v="1899-12-30T19:15:00"/>
    <s v="+3:30 AM"/>
    <n v="29700"/>
    <x v="0"/>
  </r>
  <r>
    <x v="0"/>
    <s v="Egypt"/>
    <x v="7"/>
    <x v="36"/>
    <x v="36"/>
    <m/>
    <m/>
    <s v="Break 15 Night"/>
    <d v="1899-12-30T21:45:00"/>
    <d v="1899-12-30T22:00:00"/>
    <n v="0"/>
    <x v="1"/>
  </r>
  <r>
    <x v="0"/>
    <s v="Egypt"/>
    <x v="7"/>
    <x v="36"/>
    <x v="36"/>
    <m/>
    <m/>
    <s v="Break 30 Night"/>
    <s v="+1:00 AM"/>
    <s v="+1:30 AM"/>
    <n v="0"/>
    <x v="1"/>
  </r>
  <r>
    <x v="0"/>
    <s v="Egypt"/>
    <x v="7"/>
    <x v="36"/>
    <x v="36"/>
    <d v="2025-06-20T00:00:00"/>
    <d v="1899-12-30T08:15:00"/>
    <s v="Non Telecom"/>
    <d v="1899-12-30T16:15:00"/>
    <s v="+12:30 AM"/>
    <n v="29700"/>
    <x v="0"/>
  </r>
  <r>
    <x v="0"/>
    <s v="Egypt"/>
    <x v="7"/>
    <x v="36"/>
    <x v="36"/>
    <m/>
    <m/>
    <s v="Break 15 Night"/>
    <d v="1899-12-30T18:30:00"/>
    <d v="1899-12-30T18:45:00"/>
    <n v="0"/>
    <x v="1"/>
  </r>
  <r>
    <x v="0"/>
    <s v="Egypt"/>
    <x v="7"/>
    <x v="36"/>
    <x v="36"/>
    <m/>
    <m/>
    <s v="Break 30 Night"/>
    <d v="1899-12-30T21:15:00"/>
    <d v="1899-12-30T21:45:00"/>
    <n v="0"/>
    <x v="1"/>
  </r>
  <r>
    <x v="0"/>
    <s v="Egypt"/>
    <x v="7"/>
    <x v="36"/>
    <x v="36"/>
    <d v="2025-06-21T00:00:00"/>
    <d v="1899-12-30T08:15:00"/>
    <s v="Annual Exception"/>
    <m/>
    <m/>
    <n v="29700"/>
    <x v="1"/>
  </r>
  <r>
    <x v="0"/>
    <s v="Egypt"/>
    <x v="7"/>
    <x v="36"/>
    <x v="36"/>
    <d v="2025-06-22T00:00:00"/>
    <m/>
    <s v="Day Off"/>
    <m/>
    <m/>
    <n v="0"/>
    <x v="1"/>
  </r>
  <r>
    <x v="0"/>
    <s v="Egypt"/>
    <x v="7"/>
    <x v="36"/>
    <x v="36"/>
    <d v="2025-06-23T00:00:00"/>
    <d v="1899-12-30T08:15:00"/>
    <s v="Non Telecom"/>
    <d v="1899-12-30T09:00:00"/>
    <d v="1899-12-30T17:15:00"/>
    <n v="29700"/>
    <x v="0"/>
  </r>
  <r>
    <x v="0"/>
    <s v="Egypt"/>
    <x v="7"/>
    <x v="36"/>
    <x v="36"/>
    <m/>
    <m/>
    <s v="Break 15 Morning"/>
    <d v="1899-12-30T11:00:00"/>
    <d v="1899-12-30T11:15:00"/>
    <n v="0"/>
    <x v="1"/>
  </r>
  <r>
    <x v="0"/>
    <s v="Egypt"/>
    <x v="7"/>
    <x v="36"/>
    <x v="36"/>
    <m/>
    <m/>
    <s v="Break 30 Morning"/>
    <d v="1899-12-30T13:45:00"/>
    <d v="1899-12-30T14:15:00"/>
    <n v="0"/>
    <x v="1"/>
  </r>
  <r>
    <x v="0"/>
    <s v="Egypt"/>
    <x v="7"/>
    <x v="36"/>
    <x v="36"/>
    <d v="2025-06-24T00:00:00"/>
    <d v="1899-12-30T08:15:00"/>
    <s v="Non Telecom"/>
    <d v="1899-12-30T19:15:00"/>
    <s v="+3:30 AM"/>
    <n v="29700"/>
    <x v="0"/>
  </r>
  <r>
    <x v="0"/>
    <s v="Egypt"/>
    <x v="7"/>
    <x v="36"/>
    <x v="36"/>
    <m/>
    <m/>
    <s v="Break 15 Night"/>
    <d v="1899-12-30T21:45:00"/>
    <d v="1899-12-30T22:00:00"/>
    <n v="0"/>
    <x v="1"/>
  </r>
  <r>
    <x v="0"/>
    <s v="Egypt"/>
    <x v="7"/>
    <x v="36"/>
    <x v="36"/>
    <m/>
    <m/>
    <s v="Break 30 Night"/>
    <s v="+12:15 AM"/>
    <s v="+12:45 AM"/>
    <n v="0"/>
    <x v="1"/>
  </r>
  <r>
    <x v="0"/>
    <s v="Egypt"/>
    <x v="7"/>
    <x v="36"/>
    <x v="36"/>
    <d v="2025-06-25T00:00:00"/>
    <d v="1899-12-30T08:15:00"/>
    <s v="Annual Exception"/>
    <m/>
    <m/>
    <n v="29700"/>
    <x v="1"/>
  </r>
  <r>
    <x v="0"/>
    <s v="Egypt"/>
    <x v="7"/>
    <x v="36"/>
    <x v="36"/>
    <d v="2025-06-26T00:00:00"/>
    <d v="1899-12-30T08:15:00"/>
    <s v="Non Telecom"/>
    <d v="1899-12-30T19:15:00"/>
    <s v="+3:30 AM"/>
    <n v="29700"/>
    <x v="0"/>
  </r>
  <r>
    <x v="0"/>
    <s v="Egypt"/>
    <x v="7"/>
    <x v="36"/>
    <x v="36"/>
    <m/>
    <m/>
    <s v="Break 15 Night"/>
    <d v="1899-12-30T21:30:00"/>
    <d v="1899-12-30T21:45:00"/>
    <n v="0"/>
    <x v="1"/>
  </r>
  <r>
    <x v="0"/>
    <s v="Egypt"/>
    <x v="7"/>
    <x v="36"/>
    <x v="36"/>
    <m/>
    <m/>
    <s v="Break 30 Night"/>
    <s v="+12:30 AM"/>
    <s v="+1:00 AM"/>
    <n v="0"/>
    <x v="1"/>
  </r>
  <r>
    <x v="0"/>
    <s v="Egypt"/>
    <x v="7"/>
    <x v="36"/>
    <x v="36"/>
    <d v="2025-06-27T00:00:00"/>
    <d v="1899-12-30T08:15:00"/>
    <s v="Non Telecom"/>
    <d v="1899-12-30T19:15:00"/>
    <s v="+3:30 AM"/>
    <n v="29700"/>
    <x v="0"/>
  </r>
  <r>
    <x v="0"/>
    <s v="Egypt"/>
    <x v="7"/>
    <x v="36"/>
    <x v="36"/>
    <m/>
    <m/>
    <s v="Break 15 Night"/>
    <d v="1899-12-30T21:30:00"/>
    <d v="1899-12-30T21:45:00"/>
    <n v="0"/>
    <x v="1"/>
  </r>
  <r>
    <x v="0"/>
    <s v="Egypt"/>
    <x v="7"/>
    <x v="36"/>
    <x v="36"/>
    <m/>
    <m/>
    <s v="Break 30 Night"/>
    <s v="+12:15 AM"/>
    <s v="+12:45 AM"/>
    <n v="0"/>
    <x v="1"/>
  </r>
  <r>
    <x v="0"/>
    <s v="Egypt"/>
    <x v="7"/>
    <x v="36"/>
    <x v="36"/>
    <d v="2025-06-28T00:00:00"/>
    <m/>
    <s v="Day Off"/>
    <m/>
    <m/>
    <n v="0"/>
    <x v="1"/>
  </r>
  <r>
    <x v="0"/>
    <s v="Egypt"/>
    <x v="7"/>
    <x v="36"/>
    <x v="36"/>
    <d v="2025-06-29T00:00:00"/>
    <d v="1899-12-30T08:15:00"/>
    <s v="Planned Task"/>
    <m/>
    <m/>
    <n v="29700"/>
    <x v="1"/>
  </r>
  <r>
    <x v="0"/>
    <s v="Egypt"/>
    <x v="7"/>
    <x v="36"/>
    <x v="36"/>
    <d v="2025-06-30T00:00:00"/>
    <d v="1899-12-30T08:15:00"/>
    <s v="Planned Task"/>
    <m/>
    <m/>
    <n v="29700"/>
    <x v="1"/>
  </r>
  <r>
    <x v="0"/>
    <s v="Egypt"/>
    <x v="7"/>
    <x v="37"/>
    <x v="37"/>
    <d v="2025-06-01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Break 15 Night"/>
    <d v="1899-12-30T18:30:00"/>
    <d v="1899-12-30T18:45:00"/>
    <n v="0"/>
    <x v="1"/>
  </r>
  <r>
    <x v="0"/>
    <s v="Egypt"/>
    <x v="7"/>
    <x v="37"/>
    <x v="37"/>
    <m/>
    <m/>
    <s v="Break 30 Night"/>
    <d v="1899-12-30T21:45:00"/>
    <d v="1899-12-30T22:15:00"/>
    <n v="0"/>
    <x v="1"/>
  </r>
  <r>
    <x v="0"/>
    <s v="Egypt"/>
    <x v="7"/>
    <x v="37"/>
    <x v="37"/>
    <d v="2025-06-02T00:00:00"/>
    <m/>
    <s v="Day Off"/>
    <m/>
    <m/>
    <n v="0"/>
    <x v="1"/>
  </r>
  <r>
    <x v="0"/>
    <s v="Egypt"/>
    <x v="7"/>
    <x v="37"/>
    <x v="37"/>
    <d v="2025-06-03T00:00:00"/>
    <d v="1899-12-30T08:15:00"/>
    <s v="Planned Training"/>
    <m/>
    <m/>
    <n v="29700"/>
    <x v="1"/>
  </r>
  <r>
    <x v="0"/>
    <s v="Egypt"/>
    <x v="7"/>
    <x v="37"/>
    <x v="37"/>
    <d v="2025-06-04T00:00:00"/>
    <d v="1899-12-30T08:15:00"/>
    <s v="Planned Training"/>
    <m/>
    <m/>
    <n v="29700"/>
    <x v="1"/>
  </r>
  <r>
    <x v="0"/>
    <s v="Egypt"/>
    <x v="7"/>
    <x v="37"/>
    <x v="37"/>
    <d v="2025-06-05T00:00:00"/>
    <d v="1899-12-30T08:15:00"/>
    <s v="Planned Training"/>
    <m/>
    <m/>
    <n v="29700"/>
    <x v="1"/>
  </r>
  <r>
    <x v="0"/>
    <s v="Egypt"/>
    <x v="7"/>
    <x v="37"/>
    <x v="37"/>
    <d v="2025-06-06T00:00:00"/>
    <m/>
    <s v="Day Off"/>
    <m/>
    <m/>
    <n v="0"/>
    <x v="1"/>
  </r>
  <r>
    <x v="0"/>
    <s v="Egypt"/>
    <x v="7"/>
    <x v="37"/>
    <x v="37"/>
    <d v="2025-06-07T00:00:00"/>
    <d v="1899-12-30T08:15:00"/>
    <s v="Public holiday"/>
    <m/>
    <m/>
    <n v="29700"/>
    <x v="1"/>
  </r>
  <r>
    <x v="0"/>
    <s v="Egypt"/>
    <x v="7"/>
    <x v="37"/>
    <x v="37"/>
    <d v="2025-06-08T00:00:00"/>
    <d v="1899-12-30T08:15:00"/>
    <s v="Planned Training"/>
    <m/>
    <m/>
    <n v="29700"/>
    <x v="1"/>
  </r>
  <r>
    <x v="0"/>
    <s v="Egypt"/>
    <x v="7"/>
    <x v="37"/>
    <x v="37"/>
    <d v="2025-06-09T00:00:00"/>
    <d v="1899-12-30T08:15:00"/>
    <s v="Planned Training"/>
    <m/>
    <m/>
    <n v="29700"/>
    <x v="1"/>
  </r>
  <r>
    <x v="0"/>
    <s v="Egypt"/>
    <x v="7"/>
    <x v="37"/>
    <x v="37"/>
    <d v="2025-06-10T00:00:00"/>
    <d v="1899-12-30T08:15:00"/>
    <s v="Planned Training"/>
    <m/>
    <m/>
    <n v="29700"/>
    <x v="1"/>
  </r>
  <r>
    <x v="0"/>
    <s v="Egypt"/>
    <x v="7"/>
    <x v="37"/>
    <x v="37"/>
    <d v="2025-06-11T00:00:00"/>
    <d v="1899-12-30T08:15:00"/>
    <s v="Planned Training"/>
    <m/>
    <m/>
    <n v="29700"/>
    <x v="1"/>
  </r>
  <r>
    <x v="0"/>
    <s v="Egypt"/>
    <x v="7"/>
    <x v="37"/>
    <x v="37"/>
    <d v="2025-06-12T00:00:00"/>
    <d v="1899-12-30T08:15:00"/>
    <s v="Planned Training"/>
    <m/>
    <m/>
    <n v="29700"/>
    <x v="1"/>
  </r>
  <r>
    <x v="0"/>
    <s v="Egypt"/>
    <x v="7"/>
    <x v="37"/>
    <x v="37"/>
    <d v="2025-06-13T00:00:00"/>
    <m/>
    <s v="Day Off"/>
    <m/>
    <m/>
    <n v="0"/>
    <x v="1"/>
  </r>
  <r>
    <x v="0"/>
    <s v="Egypt"/>
    <x v="7"/>
    <x v="37"/>
    <x v="37"/>
    <d v="2025-06-14T00:00:00"/>
    <m/>
    <s v="Day Off"/>
    <m/>
    <m/>
    <n v="0"/>
    <x v="1"/>
  </r>
  <r>
    <x v="0"/>
    <s v="Egypt"/>
    <x v="7"/>
    <x v="37"/>
    <x v="37"/>
    <d v="2025-06-15T00:00:00"/>
    <d v="1899-12-30T08:15:00"/>
    <s v="Non Telecom"/>
    <d v="1899-12-30T13:00:00"/>
    <d v="1899-12-30T21:15:00"/>
    <n v="29700"/>
    <x v="0"/>
  </r>
  <r>
    <x v="0"/>
    <s v="Egypt"/>
    <x v="7"/>
    <x v="37"/>
    <x v="37"/>
    <m/>
    <m/>
    <s v="No Swap"/>
    <d v="1899-12-30T13:00:00"/>
    <d v="1899-12-30T13:15:00"/>
    <n v="0"/>
    <x v="1"/>
  </r>
  <r>
    <x v="0"/>
    <s v="Egypt"/>
    <x v="7"/>
    <x v="37"/>
    <x v="37"/>
    <m/>
    <m/>
    <s v="Break 15 Morning"/>
    <d v="1899-12-30T15:15:00"/>
    <d v="1899-12-30T15:30:00"/>
    <n v="0"/>
    <x v="1"/>
  </r>
  <r>
    <x v="0"/>
    <s v="Egypt"/>
    <x v="7"/>
    <x v="37"/>
    <x v="37"/>
    <m/>
    <m/>
    <s v="Break 30 Morning"/>
    <d v="1899-12-30T18:45:00"/>
    <d v="1899-12-30T19:15:00"/>
    <n v="0"/>
    <x v="1"/>
  </r>
  <r>
    <x v="0"/>
    <s v="Egypt"/>
    <x v="7"/>
    <x v="37"/>
    <x v="37"/>
    <d v="2025-06-16T00:00:00"/>
    <d v="1899-12-30T08:15:00"/>
    <s v="Non Telecom"/>
    <d v="1899-12-30T13:00:00"/>
    <d v="1899-12-30T21:15:00"/>
    <n v="29700"/>
    <x v="0"/>
  </r>
  <r>
    <x v="0"/>
    <s v="Egypt"/>
    <x v="7"/>
    <x v="37"/>
    <x v="37"/>
    <m/>
    <m/>
    <s v="Break 15 Morning"/>
    <d v="1899-12-30T14:00:00"/>
    <d v="1899-12-30T14:15:00"/>
    <n v="0"/>
    <x v="1"/>
  </r>
  <r>
    <x v="0"/>
    <s v="Egypt"/>
    <x v="7"/>
    <x v="37"/>
    <x v="37"/>
    <m/>
    <m/>
    <s v="Break 30 Morning"/>
    <d v="1899-12-30T16:30:00"/>
    <d v="1899-12-30T17:00:00"/>
    <n v="0"/>
    <x v="1"/>
  </r>
  <r>
    <x v="0"/>
    <s v="Egypt"/>
    <x v="7"/>
    <x v="37"/>
    <x v="37"/>
    <m/>
    <m/>
    <s v="Leave Early"/>
    <d v="1899-12-30T19:15:00"/>
    <d v="1899-12-30T21:15:00"/>
    <n v="0"/>
    <x v="1"/>
  </r>
  <r>
    <x v="0"/>
    <s v="Egypt"/>
    <x v="7"/>
    <x v="37"/>
    <x v="37"/>
    <d v="2025-06-17T00:00:00"/>
    <m/>
    <s v="Day Off"/>
    <m/>
    <m/>
    <n v="0"/>
    <x v="1"/>
  </r>
  <r>
    <x v="0"/>
    <s v="Egypt"/>
    <x v="7"/>
    <x v="37"/>
    <x v="37"/>
    <d v="2025-06-18T00:00:00"/>
    <m/>
    <s v="Day Off"/>
    <m/>
    <m/>
    <n v="0"/>
    <x v="1"/>
  </r>
  <r>
    <x v="0"/>
    <s v="Egypt"/>
    <x v="7"/>
    <x v="37"/>
    <x v="37"/>
    <d v="2025-06-19T00:00:00"/>
    <d v="1899-12-30T08:15:00"/>
    <s v="Non Telecom"/>
    <d v="1899-12-30T13:00:00"/>
    <d v="1899-12-30T21:15:00"/>
    <n v="29700"/>
    <x v="0"/>
  </r>
  <r>
    <x v="0"/>
    <s v="Egypt"/>
    <x v="7"/>
    <x v="37"/>
    <x v="37"/>
    <m/>
    <m/>
    <s v="No Swap"/>
    <d v="1899-12-30T13:00:00"/>
    <d v="1899-12-30T13:15:00"/>
    <n v="0"/>
    <x v="1"/>
  </r>
  <r>
    <x v="0"/>
    <s v="Egypt"/>
    <x v="7"/>
    <x v="37"/>
    <x v="37"/>
    <m/>
    <m/>
    <s v="Break 15 Morning"/>
    <d v="1899-12-30T14:45:00"/>
    <d v="1899-12-30T15:00:00"/>
    <n v="0"/>
    <x v="1"/>
  </r>
  <r>
    <x v="0"/>
    <s v="Egypt"/>
    <x v="7"/>
    <x v="37"/>
    <x v="37"/>
    <m/>
    <m/>
    <s v="Break 30 Morning"/>
    <d v="1899-12-30T17:45:00"/>
    <d v="1899-12-30T18:15:00"/>
    <n v="0"/>
    <x v="1"/>
  </r>
  <r>
    <x v="0"/>
    <s v="Egypt"/>
    <x v="7"/>
    <x v="37"/>
    <x v="37"/>
    <d v="2025-06-20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6:15:00"/>
    <d v="1899-12-30T16:30:00"/>
    <n v="0"/>
    <x v="1"/>
  </r>
  <r>
    <x v="0"/>
    <s v="Egypt"/>
    <x v="7"/>
    <x v="37"/>
    <x v="37"/>
    <m/>
    <m/>
    <s v="Break 15 Night"/>
    <d v="1899-12-30T18:45:00"/>
    <d v="1899-12-30T19:00:00"/>
    <n v="0"/>
    <x v="1"/>
  </r>
  <r>
    <x v="0"/>
    <s v="Egypt"/>
    <x v="7"/>
    <x v="37"/>
    <x v="37"/>
    <m/>
    <m/>
    <s v="Break 30 Night"/>
    <d v="1899-12-30T21:15:00"/>
    <d v="1899-12-30T21:45:00"/>
    <n v="0"/>
    <x v="1"/>
  </r>
  <r>
    <x v="0"/>
    <s v="Egypt"/>
    <x v="7"/>
    <x v="37"/>
    <x v="37"/>
    <d v="2025-06-21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6:15:00"/>
    <d v="1899-12-30T16:30:00"/>
    <n v="0"/>
    <x v="1"/>
  </r>
  <r>
    <x v="0"/>
    <s v="Egypt"/>
    <x v="7"/>
    <x v="37"/>
    <x v="37"/>
    <m/>
    <m/>
    <s v="Break 15 Night"/>
    <d v="1899-12-30T18:15:00"/>
    <d v="1899-12-30T18:30:00"/>
    <n v="0"/>
    <x v="1"/>
  </r>
  <r>
    <x v="0"/>
    <s v="Egypt"/>
    <x v="7"/>
    <x v="37"/>
    <x v="37"/>
    <m/>
    <m/>
    <s v="Break 30 Night"/>
    <d v="1899-12-30T21:00:00"/>
    <d v="1899-12-30T21:30:00"/>
    <n v="0"/>
    <x v="1"/>
  </r>
  <r>
    <x v="0"/>
    <s v="Egypt"/>
    <x v="7"/>
    <x v="37"/>
    <x v="37"/>
    <d v="2025-06-22T00:00:00"/>
    <m/>
    <s v="Day Off"/>
    <m/>
    <m/>
    <n v="0"/>
    <x v="1"/>
  </r>
  <r>
    <x v="0"/>
    <s v="Egypt"/>
    <x v="7"/>
    <x v="37"/>
    <x v="37"/>
    <d v="2025-06-23T00:00:00"/>
    <m/>
    <s v="Day Off"/>
    <m/>
    <m/>
    <n v="0"/>
    <x v="1"/>
  </r>
  <r>
    <x v="0"/>
    <s v="Egypt"/>
    <x v="7"/>
    <x v="37"/>
    <x v="37"/>
    <d v="2025-06-24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7:15:00"/>
    <d v="1899-12-30T17:30:00"/>
    <n v="0"/>
    <x v="1"/>
  </r>
  <r>
    <x v="0"/>
    <s v="Egypt"/>
    <x v="7"/>
    <x v="37"/>
    <x v="37"/>
    <m/>
    <m/>
    <s v="Break 15 Night"/>
    <d v="1899-12-30T18:30:00"/>
    <d v="1899-12-30T18:45:00"/>
    <n v="0"/>
    <x v="1"/>
  </r>
  <r>
    <x v="0"/>
    <s v="Egypt"/>
    <x v="7"/>
    <x v="37"/>
    <x v="37"/>
    <m/>
    <m/>
    <s v="Break 30 Night"/>
    <d v="1899-12-30T20:45:00"/>
    <d v="1899-12-30T21:15:00"/>
    <n v="0"/>
    <x v="1"/>
  </r>
  <r>
    <x v="0"/>
    <s v="Egypt"/>
    <x v="7"/>
    <x v="37"/>
    <x v="37"/>
    <d v="2025-06-25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6:45:00"/>
    <d v="1899-12-30T17:00:00"/>
    <n v="0"/>
    <x v="1"/>
  </r>
  <r>
    <x v="0"/>
    <s v="Egypt"/>
    <x v="7"/>
    <x v="37"/>
    <x v="37"/>
    <m/>
    <m/>
    <s v="Break 15 Night"/>
    <d v="1899-12-30T18:45:00"/>
    <d v="1899-12-30T19:00:00"/>
    <n v="0"/>
    <x v="1"/>
  </r>
  <r>
    <x v="0"/>
    <s v="Egypt"/>
    <x v="7"/>
    <x v="37"/>
    <x v="37"/>
    <m/>
    <m/>
    <s v="Break 30 Night"/>
    <d v="1899-12-30T21:30:00"/>
    <d v="1899-12-30T22:00:00"/>
    <n v="0"/>
    <x v="1"/>
  </r>
  <r>
    <x v="0"/>
    <s v="Egypt"/>
    <x v="7"/>
    <x v="37"/>
    <x v="37"/>
    <d v="2025-06-26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6:30:00"/>
    <d v="1899-12-30T16:45:00"/>
    <n v="0"/>
    <x v="1"/>
  </r>
  <r>
    <x v="0"/>
    <s v="Egypt"/>
    <x v="7"/>
    <x v="37"/>
    <x v="37"/>
    <m/>
    <m/>
    <s v="Break 15 Night"/>
    <d v="1899-12-30T18:30:00"/>
    <d v="1899-12-30T18:45:00"/>
    <n v="0"/>
    <x v="1"/>
  </r>
  <r>
    <x v="0"/>
    <s v="Egypt"/>
    <x v="7"/>
    <x v="37"/>
    <x v="37"/>
    <m/>
    <m/>
    <s v="Break 30 Night"/>
    <d v="1899-12-30T21:30:00"/>
    <d v="1899-12-30T22:00:00"/>
    <n v="0"/>
    <x v="1"/>
  </r>
  <r>
    <x v="0"/>
    <s v="Egypt"/>
    <x v="7"/>
    <x v="37"/>
    <x v="37"/>
    <d v="2025-06-27T00:00:00"/>
    <d v="1899-12-30T08:15:00"/>
    <s v="Annual Exception"/>
    <m/>
    <m/>
    <n v="29700"/>
    <x v="1"/>
  </r>
  <r>
    <x v="0"/>
    <s v="Egypt"/>
    <x v="7"/>
    <x v="37"/>
    <x v="37"/>
    <d v="2025-06-28T00:00:00"/>
    <d v="1899-12-30T08:15:00"/>
    <s v="Non Telecom"/>
    <d v="1899-12-30T16:15:00"/>
    <s v="+12:30 AM"/>
    <n v="29700"/>
    <x v="0"/>
  </r>
  <r>
    <x v="0"/>
    <s v="Egypt"/>
    <x v="7"/>
    <x v="37"/>
    <x v="37"/>
    <m/>
    <m/>
    <s v="No Swap"/>
    <d v="1899-12-30T16:15:00"/>
    <d v="1899-12-30T16:30:00"/>
    <n v="0"/>
    <x v="1"/>
  </r>
  <r>
    <x v="0"/>
    <s v="Egypt"/>
    <x v="7"/>
    <x v="37"/>
    <x v="37"/>
    <m/>
    <m/>
    <s v="Break 15 Night"/>
    <d v="1899-12-30T18:00:00"/>
    <d v="1899-12-30T18:15:00"/>
    <n v="0"/>
    <x v="1"/>
  </r>
  <r>
    <x v="0"/>
    <s v="Egypt"/>
    <x v="7"/>
    <x v="37"/>
    <x v="37"/>
    <m/>
    <m/>
    <s v="Break 30 Night"/>
    <d v="1899-12-30T21:00:00"/>
    <d v="1899-12-30T21:30:00"/>
    <n v="0"/>
    <x v="1"/>
  </r>
  <r>
    <x v="0"/>
    <s v="Egypt"/>
    <x v="7"/>
    <x v="37"/>
    <x v="37"/>
    <d v="2025-06-29T00:00:00"/>
    <m/>
    <s v="Day Off"/>
    <m/>
    <m/>
    <n v="0"/>
    <x v="1"/>
  </r>
  <r>
    <x v="0"/>
    <s v="Egypt"/>
    <x v="7"/>
    <x v="37"/>
    <x v="37"/>
    <d v="2025-06-30T00:00:00"/>
    <d v="1899-12-30T08:15:00"/>
    <s v="Non Telecom"/>
    <d v="1899-12-30T13:00:00"/>
    <d v="1899-12-30T21:15:00"/>
    <n v="29700"/>
    <x v="0"/>
  </r>
  <r>
    <x v="0"/>
    <s v="Egypt"/>
    <x v="7"/>
    <x v="37"/>
    <x v="37"/>
    <m/>
    <m/>
    <s v="Break 15 Morning"/>
    <d v="1899-12-30T14:45:00"/>
    <d v="1899-12-30T15:00:00"/>
    <n v="0"/>
    <x v="1"/>
  </r>
  <r>
    <x v="0"/>
    <s v="Egypt"/>
    <x v="7"/>
    <x v="37"/>
    <x v="37"/>
    <m/>
    <m/>
    <s v="Break 30 Morning"/>
    <d v="1899-12-30T17:45:00"/>
    <d v="1899-12-30T18:15:00"/>
    <n v="0"/>
    <x v="1"/>
  </r>
  <r>
    <x v="0"/>
    <s v="Egypt"/>
    <x v="7"/>
    <x v="38"/>
    <x v="38"/>
    <d v="2025-06-01T00:00:00"/>
    <d v="1899-12-30T08:15:00"/>
    <s v="Non Telecom"/>
    <d v="1899-12-30T17:15:00"/>
    <s v="+1:30 AM"/>
    <n v="29700"/>
    <x v="0"/>
  </r>
  <r>
    <x v="0"/>
    <s v="Egypt"/>
    <x v="7"/>
    <x v="38"/>
    <x v="38"/>
    <m/>
    <m/>
    <s v="Break 15 Night"/>
    <d v="1899-12-30T19:45:00"/>
    <d v="1899-12-30T20:00:00"/>
    <n v="0"/>
    <x v="1"/>
  </r>
  <r>
    <x v="0"/>
    <s v="Egypt"/>
    <x v="7"/>
    <x v="38"/>
    <x v="38"/>
    <m/>
    <m/>
    <s v="Break 30 Night"/>
    <d v="1899-12-30T23:15:00"/>
    <d v="1899-12-30T23:45:00"/>
    <n v="0"/>
    <x v="1"/>
  </r>
  <r>
    <x v="0"/>
    <s v="Egypt"/>
    <x v="7"/>
    <x v="38"/>
    <x v="38"/>
    <d v="2025-06-02T00:00:00"/>
    <m/>
    <s v="Day Off"/>
    <m/>
    <m/>
    <n v="0"/>
    <x v="1"/>
  </r>
  <r>
    <x v="0"/>
    <s v="Egypt"/>
    <x v="7"/>
    <x v="38"/>
    <x v="38"/>
    <d v="2025-06-03T00:00:00"/>
    <m/>
    <s v="Day Off"/>
    <m/>
    <m/>
    <n v="0"/>
    <x v="1"/>
  </r>
  <r>
    <x v="0"/>
    <s v="Egypt"/>
    <x v="7"/>
    <x v="38"/>
    <x v="38"/>
    <d v="2025-06-04T00:00:00"/>
    <d v="1899-12-30T08:15:00"/>
    <s v="Non Telecom"/>
    <d v="1899-12-30T17:15:00"/>
    <s v="+1:30 AM"/>
    <n v="29700"/>
    <x v="0"/>
  </r>
  <r>
    <x v="0"/>
    <s v="Egypt"/>
    <x v="7"/>
    <x v="38"/>
    <x v="38"/>
    <m/>
    <m/>
    <s v="Break 15 Night"/>
    <d v="1899-12-30T20:00:00"/>
    <d v="1899-12-30T20:15:00"/>
    <n v="0"/>
    <x v="1"/>
  </r>
  <r>
    <x v="0"/>
    <s v="Egypt"/>
    <x v="7"/>
    <x v="38"/>
    <x v="38"/>
    <m/>
    <m/>
    <s v="Break 30 Night"/>
    <d v="1899-12-30T23:00:00"/>
    <d v="1899-12-30T23:30:00"/>
    <n v="0"/>
    <x v="1"/>
  </r>
  <r>
    <x v="0"/>
    <s v="Egypt"/>
    <x v="7"/>
    <x v="38"/>
    <x v="38"/>
    <d v="2025-06-05T00:00:00"/>
    <d v="1899-12-30T08:15:00"/>
    <s v="Non Telecom"/>
    <d v="1899-12-30T17:15:00"/>
    <s v="+1:30 AM"/>
    <n v="29700"/>
    <x v="0"/>
  </r>
  <r>
    <x v="0"/>
    <s v="Egypt"/>
    <x v="7"/>
    <x v="38"/>
    <x v="38"/>
    <m/>
    <m/>
    <s v="Break 15 Night"/>
    <d v="1899-12-30T20:15:00"/>
    <d v="1899-12-30T20:30:00"/>
    <n v="0"/>
    <x v="1"/>
  </r>
  <r>
    <x v="0"/>
    <s v="Egypt"/>
    <x v="7"/>
    <x v="38"/>
    <x v="38"/>
    <m/>
    <m/>
    <s v="Break 30 Night"/>
    <d v="1899-12-30T23:45:00"/>
    <s v="+12:15 AM"/>
    <n v="0"/>
    <x v="1"/>
  </r>
  <r>
    <x v="0"/>
    <s v="Egypt"/>
    <x v="7"/>
    <x v="38"/>
    <x v="38"/>
    <d v="2025-06-06T00:00:00"/>
    <d v="1899-12-30T08:15:00"/>
    <s v="Non Telecom"/>
    <d v="1899-12-30T08:00:00"/>
    <d v="1899-12-30T16:15:00"/>
    <n v="29700"/>
    <x v="0"/>
  </r>
  <r>
    <x v="0"/>
    <s v="Egypt"/>
    <x v="7"/>
    <x v="38"/>
    <x v="38"/>
    <m/>
    <m/>
    <s v="Break 15 Morning"/>
    <d v="1899-12-30T09:45:00"/>
    <d v="1899-12-30T10:00:00"/>
    <n v="0"/>
    <x v="1"/>
  </r>
  <r>
    <x v="0"/>
    <s v="Egypt"/>
    <x v="7"/>
    <x v="38"/>
    <x v="38"/>
    <m/>
    <m/>
    <s v="Break 30 Morning"/>
    <d v="1899-12-30T12:15:00"/>
    <d v="1899-12-30T12:45:00"/>
    <n v="0"/>
    <x v="1"/>
  </r>
  <r>
    <x v="0"/>
    <s v="Egypt"/>
    <x v="7"/>
    <x v="38"/>
    <x v="38"/>
    <m/>
    <m/>
    <s v="Friday Pray"/>
    <d v="1899-12-30T12:50:00"/>
    <d v="1899-12-30T13:35:00"/>
    <n v="0"/>
    <x v="1"/>
  </r>
  <r>
    <x v="0"/>
    <s v="Egypt"/>
    <x v="7"/>
    <x v="38"/>
    <x v="38"/>
    <d v="2025-06-07T00:00:00"/>
    <d v="1899-12-30T08:15:00"/>
    <s v="Public holiday"/>
    <m/>
    <m/>
    <n v="29700"/>
    <x v="1"/>
  </r>
  <r>
    <x v="0"/>
    <s v="Egypt"/>
    <x v="7"/>
    <x v="38"/>
    <x v="38"/>
    <d v="2025-06-08T00:00:00"/>
    <m/>
    <s v="Day Off"/>
    <m/>
    <m/>
    <n v="0"/>
    <x v="1"/>
  </r>
  <r>
    <x v="0"/>
    <s v="Egypt"/>
    <x v="7"/>
    <x v="38"/>
    <x v="38"/>
    <d v="2025-06-09T00:00:00"/>
    <m/>
    <s v="Day Off"/>
    <m/>
    <m/>
    <n v="0"/>
    <x v="1"/>
  </r>
  <r>
    <x v="0"/>
    <s v="Egypt"/>
    <x v="7"/>
    <x v="38"/>
    <x v="38"/>
    <d v="2025-06-10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7:45:00"/>
    <d v="1899-12-30T18:00:00"/>
    <n v="0"/>
    <x v="1"/>
  </r>
  <r>
    <x v="0"/>
    <s v="Egypt"/>
    <x v="7"/>
    <x v="38"/>
    <x v="38"/>
    <m/>
    <m/>
    <s v="Break 30 Night"/>
    <d v="1899-12-30T21:00:00"/>
    <d v="1899-12-30T21:30:00"/>
    <n v="0"/>
    <x v="1"/>
  </r>
  <r>
    <x v="0"/>
    <s v="Egypt"/>
    <x v="7"/>
    <x v="38"/>
    <x v="38"/>
    <d v="2025-06-11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00:00"/>
    <d v="1899-12-30T18:15:00"/>
    <n v="0"/>
    <x v="1"/>
  </r>
  <r>
    <x v="0"/>
    <s v="Egypt"/>
    <x v="7"/>
    <x v="38"/>
    <x v="38"/>
    <m/>
    <m/>
    <s v="Break 30 Night"/>
    <d v="1899-12-30T21:00:00"/>
    <d v="1899-12-30T21:30:00"/>
    <n v="0"/>
    <x v="1"/>
  </r>
  <r>
    <x v="0"/>
    <s v="Egypt"/>
    <x v="7"/>
    <x v="38"/>
    <x v="38"/>
    <d v="2025-06-12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30:00"/>
    <d v="1899-12-30T18:45:00"/>
    <n v="0"/>
    <x v="1"/>
  </r>
  <r>
    <x v="0"/>
    <s v="Egypt"/>
    <x v="7"/>
    <x v="38"/>
    <x v="38"/>
    <m/>
    <m/>
    <s v="Break 30 Night"/>
    <d v="1899-12-30T21:30:00"/>
    <d v="1899-12-30T22:00:00"/>
    <n v="0"/>
    <x v="1"/>
  </r>
  <r>
    <x v="0"/>
    <s v="Egypt"/>
    <x v="7"/>
    <x v="38"/>
    <x v="38"/>
    <d v="2025-06-13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15:00"/>
    <d v="1899-12-30T18:30:00"/>
    <n v="0"/>
    <x v="1"/>
  </r>
  <r>
    <x v="0"/>
    <s v="Egypt"/>
    <x v="7"/>
    <x v="38"/>
    <x v="38"/>
    <m/>
    <m/>
    <s v="Break 30 Night"/>
    <d v="1899-12-30T21:00:00"/>
    <d v="1899-12-30T21:30:00"/>
    <n v="0"/>
    <x v="1"/>
  </r>
  <r>
    <x v="0"/>
    <s v="Egypt"/>
    <x v="7"/>
    <x v="38"/>
    <x v="38"/>
    <d v="2025-06-14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00:00"/>
    <d v="1899-12-30T18:15:00"/>
    <n v="0"/>
    <x v="1"/>
  </r>
  <r>
    <x v="0"/>
    <s v="Egypt"/>
    <x v="7"/>
    <x v="38"/>
    <x v="38"/>
    <m/>
    <m/>
    <s v="Break 30 Night"/>
    <d v="1899-12-30T21:00:00"/>
    <d v="1899-12-30T21:30:00"/>
    <n v="0"/>
    <x v="1"/>
  </r>
  <r>
    <x v="0"/>
    <s v="Egypt"/>
    <x v="7"/>
    <x v="38"/>
    <x v="38"/>
    <d v="2025-06-15T00:00:00"/>
    <m/>
    <s v="Day Off"/>
    <m/>
    <m/>
    <n v="0"/>
    <x v="1"/>
  </r>
  <r>
    <x v="0"/>
    <s v="Egypt"/>
    <x v="7"/>
    <x v="38"/>
    <x v="38"/>
    <d v="2025-06-16T00:00:00"/>
    <d v="1899-12-30T08:15:00"/>
    <s v="Non Telecom"/>
    <d v="1899-12-30T19:15:00"/>
    <s v="+3:30 AM"/>
    <n v="29700"/>
    <x v="0"/>
  </r>
  <r>
    <x v="0"/>
    <s v="Egypt"/>
    <x v="7"/>
    <x v="38"/>
    <x v="38"/>
    <m/>
    <m/>
    <s v="Break 15 Night"/>
    <d v="1899-12-30T22:00:00"/>
    <d v="1899-12-30T22:15:00"/>
    <n v="0"/>
    <x v="1"/>
  </r>
  <r>
    <x v="0"/>
    <s v="Egypt"/>
    <x v="7"/>
    <x v="38"/>
    <x v="38"/>
    <m/>
    <m/>
    <s v="Break 30 Night"/>
    <s v="+12:30 AM"/>
    <s v="+1:00 AM"/>
    <n v="0"/>
    <x v="1"/>
  </r>
  <r>
    <x v="0"/>
    <s v="Egypt"/>
    <x v="7"/>
    <x v="38"/>
    <x v="38"/>
    <d v="2025-06-17T00:00:00"/>
    <d v="1899-12-30T08:15:00"/>
    <s v="Annual Exception"/>
    <m/>
    <m/>
    <n v="29700"/>
    <x v="1"/>
  </r>
  <r>
    <x v="0"/>
    <s v="Egypt"/>
    <x v="7"/>
    <x v="38"/>
    <x v="38"/>
    <d v="2025-06-18T00:00:00"/>
    <d v="1899-12-30T08:15:00"/>
    <s v="Non Telecom"/>
    <d v="1899-12-30T19:15:00"/>
    <s v="+3:30 AM"/>
    <n v="29700"/>
    <x v="0"/>
  </r>
  <r>
    <x v="0"/>
    <s v="Egypt"/>
    <x v="7"/>
    <x v="38"/>
    <x v="38"/>
    <m/>
    <m/>
    <s v="Break 15 Night"/>
    <d v="1899-12-30T20:15:00"/>
    <d v="1899-12-30T20:30:00"/>
    <n v="0"/>
    <x v="1"/>
  </r>
  <r>
    <x v="0"/>
    <s v="Egypt"/>
    <x v="7"/>
    <x v="38"/>
    <x v="38"/>
    <m/>
    <m/>
    <s v="Break 30 Night"/>
    <d v="1899-12-30T23:15:00"/>
    <d v="1899-12-30T23:45:00"/>
    <n v="0"/>
    <x v="1"/>
  </r>
  <r>
    <x v="0"/>
    <s v="Egypt"/>
    <x v="7"/>
    <x v="38"/>
    <x v="38"/>
    <m/>
    <m/>
    <s v="Leave Early"/>
    <s v="+1:30 AM"/>
    <s v="+3:30 AM"/>
    <n v="0"/>
    <x v="1"/>
  </r>
  <r>
    <x v="0"/>
    <s v="Egypt"/>
    <x v="7"/>
    <x v="38"/>
    <x v="38"/>
    <d v="2025-06-19T00:00:00"/>
    <d v="1899-12-30T08:15:00"/>
    <s v="Annual Exception"/>
    <m/>
    <m/>
    <n v="29700"/>
    <x v="1"/>
  </r>
  <r>
    <x v="0"/>
    <s v="Egypt"/>
    <x v="7"/>
    <x v="38"/>
    <x v="38"/>
    <d v="2025-06-20T00:00:00"/>
    <d v="1899-12-30T08:15:00"/>
    <s v="Annual Exception"/>
    <m/>
    <m/>
    <n v="29700"/>
    <x v="1"/>
  </r>
  <r>
    <x v="0"/>
    <s v="Egypt"/>
    <x v="7"/>
    <x v="38"/>
    <x v="38"/>
    <d v="2025-06-21T00:00:00"/>
    <m/>
    <s v="Day Off"/>
    <m/>
    <m/>
    <n v="0"/>
    <x v="1"/>
  </r>
  <r>
    <x v="0"/>
    <s v="Egypt"/>
    <x v="7"/>
    <x v="38"/>
    <x v="38"/>
    <d v="2025-06-22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9:00:00"/>
    <d v="1899-12-30T19:15:00"/>
    <n v="0"/>
    <x v="1"/>
  </r>
  <r>
    <x v="0"/>
    <s v="Egypt"/>
    <x v="7"/>
    <x v="38"/>
    <x v="38"/>
    <m/>
    <m/>
    <s v="Break 30 Night"/>
    <d v="1899-12-30T21:15:00"/>
    <d v="1899-12-30T21:45:00"/>
    <n v="0"/>
    <x v="1"/>
  </r>
  <r>
    <x v="0"/>
    <s v="Egypt"/>
    <x v="7"/>
    <x v="38"/>
    <x v="38"/>
    <d v="2025-06-23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9:00:00"/>
    <d v="1899-12-30T19:15:00"/>
    <n v="0"/>
    <x v="1"/>
  </r>
  <r>
    <x v="0"/>
    <s v="Egypt"/>
    <x v="7"/>
    <x v="38"/>
    <x v="38"/>
    <m/>
    <m/>
    <s v="Break 30 Night"/>
    <d v="1899-12-30T21:15:00"/>
    <d v="1899-12-30T21:45:00"/>
    <n v="0"/>
    <x v="1"/>
  </r>
  <r>
    <x v="0"/>
    <s v="Egypt"/>
    <x v="7"/>
    <x v="38"/>
    <x v="38"/>
    <d v="2025-06-24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45:00"/>
    <d v="1899-12-30T19:00:00"/>
    <n v="0"/>
    <x v="1"/>
  </r>
  <r>
    <x v="0"/>
    <s v="Egypt"/>
    <x v="7"/>
    <x v="38"/>
    <x v="38"/>
    <m/>
    <m/>
    <s v="Break 30 Night"/>
    <d v="1899-12-30T21:15:00"/>
    <d v="1899-12-30T21:45:00"/>
    <n v="0"/>
    <x v="1"/>
  </r>
  <r>
    <x v="0"/>
    <s v="Egypt"/>
    <x v="7"/>
    <x v="38"/>
    <x v="38"/>
    <d v="2025-06-25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45:00"/>
    <d v="1899-12-30T19:00:00"/>
    <n v="0"/>
    <x v="1"/>
  </r>
  <r>
    <x v="0"/>
    <s v="Egypt"/>
    <x v="7"/>
    <x v="38"/>
    <x v="38"/>
    <m/>
    <m/>
    <s v="Break 30 Night"/>
    <d v="1899-12-30T21:30:00"/>
    <d v="1899-12-30T22:00:00"/>
    <n v="0"/>
    <x v="1"/>
  </r>
  <r>
    <x v="0"/>
    <s v="Egypt"/>
    <x v="7"/>
    <x v="38"/>
    <x v="38"/>
    <d v="2025-06-26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30:00"/>
    <d v="1899-12-30T18:45:00"/>
    <n v="0"/>
    <x v="1"/>
  </r>
  <r>
    <x v="0"/>
    <s v="Egypt"/>
    <x v="7"/>
    <x v="38"/>
    <x v="38"/>
    <m/>
    <m/>
    <s v="Break 30 Night"/>
    <d v="1899-12-30T21:30:00"/>
    <d v="1899-12-30T22:00:00"/>
    <n v="0"/>
    <x v="1"/>
  </r>
  <r>
    <x v="0"/>
    <s v="Egypt"/>
    <x v="7"/>
    <x v="38"/>
    <x v="38"/>
    <d v="2025-06-27T00:00:00"/>
    <m/>
    <s v="Day Off"/>
    <m/>
    <m/>
    <n v="0"/>
    <x v="1"/>
  </r>
  <r>
    <x v="0"/>
    <s v="Egypt"/>
    <x v="7"/>
    <x v="38"/>
    <x v="38"/>
    <d v="2025-06-28T00:00:00"/>
    <m/>
    <s v="Day Off"/>
    <m/>
    <m/>
    <n v="0"/>
    <x v="1"/>
  </r>
  <r>
    <x v="0"/>
    <s v="Egypt"/>
    <x v="7"/>
    <x v="38"/>
    <x v="38"/>
    <d v="2025-06-29T00:00:00"/>
    <m/>
    <s v="Day Off"/>
    <m/>
    <m/>
    <n v="0"/>
    <x v="1"/>
  </r>
  <r>
    <x v="0"/>
    <s v="Egypt"/>
    <x v="7"/>
    <x v="38"/>
    <x v="38"/>
    <d v="2025-06-30T00:00:00"/>
    <d v="1899-12-30T08:15:00"/>
    <s v="Non Telecom"/>
    <d v="1899-12-30T16:15:00"/>
    <s v="+12:30 AM"/>
    <n v="29700"/>
    <x v="0"/>
  </r>
  <r>
    <x v="0"/>
    <s v="Egypt"/>
    <x v="7"/>
    <x v="38"/>
    <x v="38"/>
    <m/>
    <m/>
    <s v="Break 15 Night"/>
    <d v="1899-12-30T18:00:00"/>
    <d v="1899-12-30T18:15:00"/>
    <n v="0"/>
    <x v="1"/>
  </r>
  <r>
    <x v="0"/>
    <s v="Egypt"/>
    <x v="7"/>
    <x v="38"/>
    <x v="38"/>
    <m/>
    <m/>
    <s v="Break 30 Night"/>
    <d v="1899-12-30T21:00:00"/>
    <d v="1899-12-30T21:30:00"/>
    <n v="0"/>
    <x v="1"/>
  </r>
  <r>
    <x v="0"/>
    <s v="Egypt"/>
    <x v="7"/>
    <x v="39"/>
    <x v="39"/>
    <d v="2025-06-01T00:00:00"/>
    <d v="1899-12-30T08:15:00"/>
    <s v="Non Telecom"/>
    <d v="1899-12-30T19:15:00"/>
    <s v="+3:30 AM"/>
    <n v="29700"/>
    <x v="0"/>
  </r>
  <r>
    <x v="0"/>
    <s v="Egypt"/>
    <x v="7"/>
    <x v="39"/>
    <x v="39"/>
    <m/>
    <m/>
    <s v="Break 15 Night"/>
    <d v="1899-12-30T21:00:00"/>
    <d v="1899-12-30T21:15:00"/>
    <n v="0"/>
    <x v="1"/>
  </r>
  <r>
    <x v="0"/>
    <s v="Egypt"/>
    <x v="7"/>
    <x v="39"/>
    <x v="39"/>
    <m/>
    <m/>
    <s v="Break 30 Night"/>
    <s v="+12:15 AM"/>
    <s v="+12:45 AM"/>
    <n v="0"/>
    <x v="1"/>
  </r>
  <r>
    <x v="0"/>
    <s v="Egypt"/>
    <x v="7"/>
    <x v="39"/>
    <x v="39"/>
    <d v="2025-06-02T00:00:00"/>
    <m/>
    <s v="Day Off"/>
    <m/>
    <m/>
    <n v="0"/>
    <x v="1"/>
  </r>
  <r>
    <x v="0"/>
    <s v="Egypt"/>
    <x v="7"/>
    <x v="39"/>
    <x v="39"/>
    <d v="2025-06-03T00:00:00"/>
    <d v="1899-12-30T08:15:00"/>
    <s v="Planned Training"/>
    <m/>
    <m/>
    <n v="29700"/>
    <x v="1"/>
  </r>
  <r>
    <x v="0"/>
    <s v="Egypt"/>
    <x v="7"/>
    <x v="39"/>
    <x v="39"/>
    <d v="2025-06-04T00:00:00"/>
    <d v="1899-12-30T08:15:00"/>
    <s v="Planned Training"/>
    <m/>
    <m/>
    <n v="29700"/>
    <x v="1"/>
  </r>
  <r>
    <x v="0"/>
    <s v="Egypt"/>
    <x v="7"/>
    <x v="39"/>
    <x v="39"/>
    <d v="2025-06-05T00:00:00"/>
    <d v="1899-12-30T08:15:00"/>
    <s v="Planned Training"/>
    <m/>
    <m/>
    <n v="29700"/>
    <x v="1"/>
  </r>
  <r>
    <x v="0"/>
    <s v="Egypt"/>
    <x v="7"/>
    <x v="39"/>
    <x v="39"/>
    <d v="2025-06-06T00:00:00"/>
    <m/>
    <s v="Day Off"/>
    <m/>
    <m/>
    <n v="0"/>
    <x v="1"/>
  </r>
  <r>
    <x v="0"/>
    <s v="Egypt"/>
    <x v="7"/>
    <x v="39"/>
    <x v="39"/>
    <d v="2025-06-07T00:00:00"/>
    <d v="1899-12-30T08:15:00"/>
    <s v="Public holiday"/>
    <m/>
    <m/>
    <n v="29700"/>
    <x v="1"/>
  </r>
  <r>
    <x v="0"/>
    <s v="Egypt"/>
    <x v="7"/>
    <x v="39"/>
    <x v="39"/>
    <d v="2025-06-08T00:00:00"/>
    <d v="1899-12-30T08:15:00"/>
    <s v="Annual Exception"/>
    <m/>
    <m/>
    <n v="29700"/>
    <x v="1"/>
  </r>
  <r>
    <x v="0"/>
    <s v="Egypt"/>
    <x v="7"/>
    <x v="39"/>
    <x v="39"/>
    <d v="2025-06-09T00:00:00"/>
    <d v="1899-12-30T08:15:00"/>
    <s v="Annual Exception"/>
    <m/>
    <m/>
    <n v="29700"/>
    <x v="1"/>
  </r>
  <r>
    <x v="0"/>
    <s v="Egypt"/>
    <x v="7"/>
    <x v="39"/>
    <x v="39"/>
    <d v="2025-06-10T00:00:00"/>
    <d v="1899-12-30T08:15:00"/>
    <s v="Planned Training"/>
    <m/>
    <m/>
    <n v="29700"/>
    <x v="1"/>
  </r>
  <r>
    <x v="0"/>
    <s v="Egypt"/>
    <x v="7"/>
    <x v="39"/>
    <x v="39"/>
    <d v="2025-06-11T00:00:00"/>
    <d v="1899-12-30T08:15:00"/>
    <s v="Non Telecom"/>
    <d v="1899-12-30T17:15:00"/>
    <s v="+1:30 AM"/>
    <n v="29700"/>
    <x v="0"/>
  </r>
  <r>
    <x v="0"/>
    <s v="Egypt"/>
    <x v="7"/>
    <x v="39"/>
    <x v="39"/>
    <m/>
    <m/>
    <s v="Break 15 Night"/>
    <d v="1899-12-30T18:15:00"/>
    <d v="1899-12-30T18:30:00"/>
    <n v="0"/>
    <x v="1"/>
  </r>
  <r>
    <x v="0"/>
    <s v="Egypt"/>
    <x v="7"/>
    <x v="39"/>
    <x v="39"/>
    <m/>
    <m/>
    <s v="Break 30 Night"/>
    <d v="1899-12-30T21:15:00"/>
    <d v="1899-12-30T21:45:00"/>
    <n v="0"/>
    <x v="1"/>
  </r>
  <r>
    <x v="0"/>
    <s v="Egypt"/>
    <x v="7"/>
    <x v="39"/>
    <x v="39"/>
    <d v="2025-06-12T00:00:00"/>
    <d v="1899-12-30T08:15:00"/>
    <s v="Annual Exception"/>
    <m/>
    <m/>
    <n v="29700"/>
    <x v="1"/>
  </r>
  <r>
    <x v="0"/>
    <s v="Egypt"/>
    <x v="7"/>
    <x v="39"/>
    <x v="39"/>
    <d v="2025-06-13T00:00:00"/>
    <m/>
    <s v="Day Off"/>
    <m/>
    <m/>
    <n v="0"/>
    <x v="1"/>
  </r>
  <r>
    <x v="0"/>
    <s v="Egypt"/>
    <x v="7"/>
    <x v="39"/>
    <x v="39"/>
    <d v="2025-06-14T00:00:00"/>
    <m/>
    <s v="Day Off"/>
    <m/>
    <m/>
    <n v="0"/>
    <x v="1"/>
  </r>
  <r>
    <x v="0"/>
    <s v="Egypt"/>
    <x v="7"/>
    <x v="39"/>
    <x v="39"/>
    <d v="2025-06-15T00:00:00"/>
    <d v="1899-12-30T08:15:00"/>
    <s v="Non Telecom"/>
    <d v="1899-12-30T11:00:00"/>
    <d v="1899-12-30T19:15:00"/>
    <n v="29700"/>
    <x v="0"/>
  </r>
  <r>
    <x v="0"/>
    <s v="Egypt"/>
    <x v="7"/>
    <x v="39"/>
    <x v="39"/>
    <m/>
    <m/>
    <s v="Break 15 Morning"/>
    <d v="1899-12-30T13:15:00"/>
    <d v="1899-12-30T13:30:00"/>
    <n v="0"/>
    <x v="1"/>
  </r>
  <r>
    <x v="0"/>
    <s v="Egypt"/>
    <x v="7"/>
    <x v="39"/>
    <x v="39"/>
    <m/>
    <m/>
    <s v="Break 30 Morning"/>
    <d v="1899-12-30T16:45:00"/>
    <d v="1899-12-30T17:15:00"/>
    <n v="0"/>
    <x v="1"/>
  </r>
  <r>
    <x v="0"/>
    <s v="Egypt"/>
    <x v="7"/>
    <x v="39"/>
    <x v="39"/>
    <d v="2025-06-16T00:00:00"/>
    <d v="1899-12-30T08:15:00"/>
    <s v="Non Telecom"/>
    <d v="1899-12-30T11:00:00"/>
    <d v="1899-12-30T19:15:00"/>
    <n v="29700"/>
    <x v="0"/>
  </r>
  <r>
    <x v="0"/>
    <s v="Egypt"/>
    <x v="7"/>
    <x v="39"/>
    <x v="39"/>
    <m/>
    <m/>
    <s v="Break 15 Morning"/>
    <d v="1899-12-30T13:15:00"/>
    <d v="1899-12-30T13:30:00"/>
    <n v="0"/>
    <x v="1"/>
  </r>
  <r>
    <x v="0"/>
    <s v="Egypt"/>
    <x v="7"/>
    <x v="39"/>
    <x v="39"/>
    <m/>
    <m/>
    <s v="Break 30 Morning"/>
    <d v="1899-12-30T15:45:00"/>
    <d v="1899-12-30T16:15:00"/>
    <n v="0"/>
    <x v="1"/>
  </r>
  <r>
    <x v="0"/>
    <s v="Egypt"/>
    <x v="7"/>
    <x v="39"/>
    <x v="39"/>
    <d v="2025-06-17T00:00:00"/>
    <d v="1899-12-30T08:15:00"/>
    <s v="Non Telecom"/>
    <d v="1899-12-30T11:00:00"/>
    <d v="1899-12-30T19:15:00"/>
    <n v="29700"/>
    <x v="0"/>
  </r>
  <r>
    <x v="0"/>
    <s v="Egypt"/>
    <x v="7"/>
    <x v="39"/>
    <x v="39"/>
    <m/>
    <m/>
    <s v="Break 15 Morning"/>
    <d v="1899-12-30T13:00:00"/>
    <d v="1899-12-30T13:15:00"/>
    <n v="0"/>
    <x v="1"/>
  </r>
  <r>
    <x v="0"/>
    <s v="Egypt"/>
    <x v="7"/>
    <x v="39"/>
    <x v="39"/>
    <m/>
    <m/>
    <s v="Break 30 Morning"/>
    <d v="1899-12-30T16:45:00"/>
    <d v="1899-12-30T17:15:00"/>
    <n v="0"/>
    <x v="1"/>
  </r>
  <r>
    <x v="0"/>
    <s v="Egypt"/>
    <x v="7"/>
    <x v="39"/>
    <x v="39"/>
    <d v="2025-06-18T00:00:00"/>
    <m/>
    <s v="Day Off"/>
    <m/>
    <m/>
    <n v="0"/>
    <x v="1"/>
  </r>
  <r>
    <x v="0"/>
    <s v="Egypt"/>
    <x v="7"/>
    <x v="39"/>
    <x v="39"/>
    <d v="2025-06-19T00:00:00"/>
    <m/>
    <s v="Day Off"/>
    <m/>
    <m/>
    <n v="0"/>
    <x v="1"/>
  </r>
  <r>
    <x v="0"/>
    <s v="Egypt"/>
    <x v="7"/>
    <x v="39"/>
    <x v="39"/>
    <d v="2025-06-20T00:00:00"/>
    <d v="1899-12-30T08:15:00"/>
    <s v="Non Telecom"/>
    <d v="1899-12-30T16:15:00"/>
    <s v="+12:30 AM"/>
    <n v="29700"/>
    <x v="0"/>
  </r>
  <r>
    <x v="0"/>
    <s v="Egypt"/>
    <x v="7"/>
    <x v="39"/>
    <x v="39"/>
    <m/>
    <m/>
    <s v="Break 15 Night"/>
    <d v="1899-12-30T18:45:00"/>
    <d v="1899-12-30T19:00:00"/>
    <n v="0"/>
    <x v="1"/>
  </r>
  <r>
    <x v="0"/>
    <s v="Egypt"/>
    <x v="7"/>
    <x v="39"/>
    <x v="39"/>
    <m/>
    <m/>
    <s v="Break 30 Night"/>
    <d v="1899-12-30T21:15:00"/>
    <d v="1899-12-30T21:45:00"/>
    <n v="0"/>
    <x v="1"/>
  </r>
  <r>
    <x v="0"/>
    <s v="Egypt"/>
    <x v="7"/>
    <x v="39"/>
    <x v="39"/>
    <d v="2025-06-21T00:00:00"/>
    <d v="1899-12-30T08:15:00"/>
    <s v="Non Telecom"/>
    <d v="1899-12-30T16:15:00"/>
    <s v="+12:30 AM"/>
    <n v="29700"/>
    <x v="0"/>
  </r>
  <r>
    <x v="0"/>
    <s v="Egypt"/>
    <x v="7"/>
    <x v="39"/>
    <x v="39"/>
    <m/>
    <m/>
    <s v="Break 15 Night"/>
    <d v="1899-12-30T18:30:00"/>
    <d v="1899-12-30T18:45:00"/>
    <n v="0"/>
    <x v="1"/>
  </r>
  <r>
    <x v="0"/>
    <s v="Egypt"/>
    <x v="7"/>
    <x v="39"/>
    <x v="39"/>
    <m/>
    <m/>
    <s v="Break 30 Night"/>
    <d v="1899-12-30T21:30:00"/>
    <d v="1899-12-30T22:00:00"/>
    <n v="0"/>
    <x v="1"/>
  </r>
  <r>
    <x v="0"/>
    <s v="Egypt"/>
    <x v="7"/>
    <x v="39"/>
    <x v="39"/>
    <d v="2025-06-22T00:00:00"/>
    <d v="1899-12-30T08:15:00"/>
    <s v="Non Telecom"/>
    <d v="1899-12-30T19:15:00"/>
    <s v="+3:30 AM"/>
    <n v="29700"/>
    <x v="0"/>
  </r>
  <r>
    <x v="0"/>
    <s v="Egypt"/>
    <x v="7"/>
    <x v="39"/>
    <x v="39"/>
    <m/>
    <m/>
    <s v="Break 15 Night"/>
    <d v="1899-12-30T21:15:00"/>
    <d v="1899-12-30T21:30:00"/>
    <n v="0"/>
    <x v="1"/>
  </r>
  <r>
    <x v="0"/>
    <s v="Egypt"/>
    <x v="7"/>
    <x v="39"/>
    <x v="39"/>
    <m/>
    <m/>
    <s v="Break 30 Night"/>
    <d v="1899-12-30T23:45:00"/>
    <s v="+12:15 AM"/>
    <n v="0"/>
    <x v="1"/>
  </r>
  <r>
    <x v="0"/>
    <s v="Egypt"/>
    <x v="7"/>
    <x v="39"/>
    <x v="39"/>
    <d v="2025-06-23T00:00:00"/>
    <d v="1899-12-30T08:15:00"/>
    <s v="Non Telecom"/>
    <d v="1899-12-30T19:15:00"/>
    <s v="+3:30 AM"/>
    <n v="29700"/>
    <x v="0"/>
  </r>
  <r>
    <x v="0"/>
    <s v="Egypt"/>
    <x v="7"/>
    <x v="39"/>
    <x v="39"/>
    <m/>
    <m/>
    <s v="Break 15 Night"/>
    <d v="1899-12-30T21:15:00"/>
    <d v="1899-12-30T21:30:00"/>
    <n v="0"/>
    <x v="1"/>
  </r>
  <r>
    <x v="0"/>
    <s v="Egypt"/>
    <x v="7"/>
    <x v="39"/>
    <x v="39"/>
    <m/>
    <m/>
    <s v="Break 30 Night"/>
    <s v="+12:15 AM"/>
    <s v="+12:45 AM"/>
    <n v="0"/>
    <x v="1"/>
  </r>
  <r>
    <x v="0"/>
    <s v="Egypt"/>
    <x v="7"/>
    <x v="39"/>
    <x v="39"/>
    <d v="2025-06-24T00:00:00"/>
    <m/>
    <s v="Day Off"/>
    <m/>
    <m/>
    <n v="0"/>
    <x v="1"/>
  </r>
  <r>
    <x v="0"/>
    <s v="Egypt"/>
    <x v="7"/>
    <x v="39"/>
    <x v="39"/>
    <d v="2025-06-25T00:00:00"/>
    <m/>
    <s v="Day Off"/>
    <m/>
    <m/>
    <n v="0"/>
    <x v="1"/>
  </r>
  <r>
    <x v="0"/>
    <s v="Egypt"/>
    <x v="7"/>
    <x v="39"/>
    <x v="39"/>
    <d v="2025-06-26T00:00:00"/>
    <d v="1899-12-30T08:15:00"/>
    <s v="Non Telecom"/>
    <d v="1899-12-30T16:15:00"/>
    <s v="+12:30 AM"/>
    <n v="29700"/>
    <x v="0"/>
  </r>
  <r>
    <x v="0"/>
    <s v="Egypt"/>
    <x v="7"/>
    <x v="39"/>
    <x v="39"/>
    <m/>
    <m/>
    <s v="Break 15 Night"/>
    <d v="1899-12-30T18:45:00"/>
    <d v="1899-12-30T19:00:00"/>
    <n v="0"/>
    <x v="1"/>
  </r>
  <r>
    <x v="0"/>
    <s v="Egypt"/>
    <x v="7"/>
    <x v="39"/>
    <x v="39"/>
    <m/>
    <m/>
    <s v="Break 30 Night"/>
    <d v="1899-12-30T21:30:00"/>
    <d v="1899-12-30T22:00:00"/>
    <n v="0"/>
    <x v="1"/>
  </r>
  <r>
    <x v="0"/>
    <s v="Egypt"/>
    <x v="7"/>
    <x v="39"/>
    <x v="39"/>
    <d v="2025-06-27T00:00:00"/>
    <d v="1899-12-30T08:15:00"/>
    <s v="Non Telecom"/>
    <d v="1899-12-30T16:15:00"/>
    <s v="+12:30 AM"/>
    <n v="29700"/>
    <x v="0"/>
  </r>
  <r>
    <x v="0"/>
    <s v="Egypt"/>
    <x v="7"/>
    <x v="39"/>
    <x v="39"/>
    <m/>
    <m/>
    <s v="Break 15 Night"/>
    <d v="1899-12-30T18:30:00"/>
    <d v="1899-12-30T18:45:00"/>
    <n v="0"/>
    <x v="1"/>
  </r>
  <r>
    <x v="0"/>
    <s v="Egypt"/>
    <x v="7"/>
    <x v="39"/>
    <x v="39"/>
    <m/>
    <m/>
    <s v="Break 30 Night"/>
    <d v="1899-12-30T21:45:00"/>
    <d v="1899-12-30T22:15:00"/>
    <n v="0"/>
    <x v="1"/>
  </r>
  <r>
    <x v="0"/>
    <s v="Egypt"/>
    <x v="7"/>
    <x v="39"/>
    <x v="39"/>
    <d v="2025-06-28T00:00:00"/>
    <d v="1899-12-30T08:15:00"/>
    <s v="Annual Exception"/>
    <m/>
    <m/>
    <n v="29700"/>
    <x v="1"/>
  </r>
  <r>
    <x v="0"/>
    <s v="Egypt"/>
    <x v="7"/>
    <x v="39"/>
    <x v="39"/>
    <d v="2025-06-29T00:00:00"/>
    <d v="1899-12-30T08:15:00"/>
    <s v="Annual Exception"/>
    <m/>
    <m/>
    <n v="29700"/>
    <x v="1"/>
  </r>
  <r>
    <x v="0"/>
    <s v="Egypt"/>
    <x v="7"/>
    <x v="39"/>
    <x v="39"/>
    <d v="2025-06-30T00:00:00"/>
    <d v="1899-12-30T08:15:00"/>
    <s v="Annual Exception"/>
    <m/>
    <m/>
    <n v="29700"/>
    <x v="1"/>
  </r>
  <r>
    <x v="0"/>
    <s v="Egypt"/>
    <x v="7"/>
    <x v="40"/>
    <x v="40"/>
    <d v="2025-06-01T00:00:00"/>
    <m/>
    <s v="Day Off"/>
    <m/>
    <m/>
    <n v="0"/>
    <x v="1"/>
  </r>
  <r>
    <x v="0"/>
    <s v="Egypt"/>
    <x v="7"/>
    <x v="40"/>
    <x v="40"/>
    <d v="2025-06-02T00:00:00"/>
    <m/>
    <s v="Day Off"/>
    <m/>
    <m/>
    <n v="0"/>
    <x v="1"/>
  </r>
  <r>
    <x v="0"/>
    <s v="Egypt"/>
    <x v="7"/>
    <x v="40"/>
    <x v="40"/>
    <d v="2025-06-03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30:00"/>
    <d v="1899-12-30T21:45:00"/>
    <n v="0"/>
    <x v="1"/>
  </r>
  <r>
    <x v="0"/>
    <s v="Egypt"/>
    <x v="7"/>
    <x v="40"/>
    <x v="40"/>
    <m/>
    <m/>
    <s v="Break 30 Night"/>
    <s v="+12:45 AM"/>
    <s v="+1:15 AM"/>
    <n v="0"/>
    <x v="1"/>
  </r>
  <r>
    <x v="0"/>
    <s v="Egypt"/>
    <x v="7"/>
    <x v="40"/>
    <x v="40"/>
    <d v="2025-06-04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30:00"/>
    <d v="1899-12-30T21:45:00"/>
    <n v="0"/>
    <x v="1"/>
  </r>
  <r>
    <x v="0"/>
    <s v="Egypt"/>
    <x v="7"/>
    <x v="40"/>
    <x v="40"/>
    <m/>
    <m/>
    <s v="Break 30 Night"/>
    <s v="+12:30 AM"/>
    <s v="+1:00 AM"/>
    <n v="0"/>
    <x v="1"/>
  </r>
  <r>
    <x v="0"/>
    <s v="Egypt"/>
    <x v="7"/>
    <x v="40"/>
    <x v="40"/>
    <d v="2025-06-05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45:00"/>
    <d v="1899-12-30T22:00:00"/>
    <n v="0"/>
    <x v="1"/>
  </r>
  <r>
    <x v="0"/>
    <s v="Egypt"/>
    <x v="7"/>
    <x v="40"/>
    <x v="40"/>
    <m/>
    <m/>
    <s v="Break 30 Night"/>
    <s v="+1:15 AM"/>
    <s v="+1:45 AM"/>
    <n v="0"/>
    <x v="1"/>
  </r>
  <r>
    <x v="0"/>
    <s v="Egypt"/>
    <x v="7"/>
    <x v="40"/>
    <x v="40"/>
    <d v="2025-06-06T00:00:00"/>
    <d v="1899-12-30T08:15:00"/>
    <s v="Public holiday"/>
    <m/>
    <m/>
    <n v="29700"/>
    <x v="1"/>
  </r>
  <r>
    <x v="0"/>
    <s v="Egypt"/>
    <x v="7"/>
    <x v="40"/>
    <x v="40"/>
    <d v="2025-06-07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15:00"/>
    <d v="1899-12-30T21:30:00"/>
    <n v="0"/>
    <x v="1"/>
  </r>
  <r>
    <x v="0"/>
    <s v="Egypt"/>
    <x v="7"/>
    <x v="40"/>
    <x v="40"/>
    <m/>
    <m/>
    <s v="Break 30 Night"/>
    <s v="+12:30 AM"/>
    <s v="+1:00 AM"/>
    <n v="0"/>
    <x v="1"/>
  </r>
  <r>
    <x v="0"/>
    <s v="Egypt"/>
    <x v="7"/>
    <x v="40"/>
    <x v="40"/>
    <d v="2025-06-08T00:00:00"/>
    <m/>
    <s v="Day Off"/>
    <m/>
    <m/>
    <n v="0"/>
    <x v="1"/>
  </r>
  <r>
    <x v="0"/>
    <s v="Egypt"/>
    <x v="7"/>
    <x v="40"/>
    <x v="40"/>
    <d v="2025-06-09T00:00:00"/>
    <m/>
    <s v="Day Off"/>
    <m/>
    <m/>
    <n v="0"/>
    <x v="1"/>
  </r>
  <r>
    <x v="0"/>
    <s v="Egypt"/>
    <x v="7"/>
    <x v="40"/>
    <x v="40"/>
    <d v="2025-06-10T00:00:00"/>
    <d v="1899-12-30T08:15:00"/>
    <s v="Non Telecom"/>
    <d v="1899-12-30T13:00:00"/>
    <d v="1899-12-30T21:15:00"/>
    <n v="29700"/>
    <x v="0"/>
  </r>
  <r>
    <x v="0"/>
    <s v="Egypt"/>
    <x v="7"/>
    <x v="40"/>
    <x v="40"/>
    <m/>
    <m/>
    <s v="Break 15 Morning"/>
    <d v="1899-12-30T14:30:00"/>
    <d v="1899-12-30T14:45:00"/>
    <n v="0"/>
    <x v="1"/>
  </r>
  <r>
    <x v="0"/>
    <s v="Egypt"/>
    <x v="7"/>
    <x v="40"/>
    <x v="40"/>
    <m/>
    <m/>
    <s v="Break 30 Morning"/>
    <d v="1899-12-30T18:15:00"/>
    <d v="1899-12-30T18:45:00"/>
    <n v="0"/>
    <x v="1"/>
  </r>
  <r>
    <x v="0"/>
    <s v="Egypt"/>
    <x v="7"/>
    <x v="40"/>
    <x v="40"/>
    <d v="2025-06-11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8:30:00"/>
    <d v="1899-12-30T18:45:00"/>
    <n v="0"/>
    <x v="1"/>
  </r>
  <r>
    <x v="0"/>
    <s v="Egypt"/>
    <x v="7"/>
    <x v="40"/>
    <x v="40"/>
    <m/>
    <m/>
    <s v="Break 30 Night"/>
    <d v="1899-12-30T21:30:00"/>
    <d v="1899-12-30T22:00:00"/>
    <n v="0"/>
    <x v="1"/>
  </r>
  <r>
    <x v="0"/>
    <s v="Egypt"/>
    <x v="7"/>
    <x v="40"/>
    <x v="40"/>
    <d v="2025-06-12T00:00:00"/>
    <d v="1899-12-30T08:15:00"/>
    <s v="Annual"/>
    <m/>
    <m/>
    <n v="29700"/>
    <x v="1"/>
  </r>
  <r>
    <x v="0"/>
    <s v="Egypt"/>
    <x v="7"/>
    <x v="40"/>
    <x v="40"/>
    <d v="2025-06-13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45:00"/>
    <d v="1899-12-30T22:00:00"/>
    <n v="0"/>
    <x v="1"/>
  </r>
  <r>
    <x v="0"/>
    <s v="Egypt"/>
    <x v="7"/>
    <x v="40"/>
    <x v="40"/>
    <m/>
    <m/>
    <s v="Break 30 Night"/>
    <d v="1899-12-30T23:15:00"/>
    <d v="1899-12-30T23:45:00"/>
    <n v="0"/>
    <x v="1"/>
  </r>
  <r>
    <x v="0"/>
    <s v="Egypt"/>
    <x v="7"/>
    <x v="40"/>
    <x v="40"/>
    <d v="2025-06-14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8:00:00"/>
    <d v="1899-12-30T18:15:00"/>
    <n v="0"/>
    <x v="1"/>
  </r>
  <r>
    <x v="0"/>
    <s v="Egypt"/>
    <x v="7"/>
    <x v="40"/>
    <x v="40"/>
    <m/>
    <m/>
    <s v="Break 30 Night"/>
    <d v="1899-12-30T21:00:00"/>
    <d v="1899-12-30T21:30:00"/>
    <n v="0"/>
    <x v="1"/>
  </r>
  <r>
    <x v="0"/>
    <s v="Egypt"/>
    <x v="7"/>
    <x v="40"/>
    <x v="40"/>
    <d v="2025-06-15T00:00:00"/>
    <m/>
    <s v="Day Off"/>
    <m/>
    <m/>
    <n v="0"/>
    <x v="1"/>
  </r>
  <r>
    <x v="0"/>
    <s v="Egypt"/>
    <x v="7"/>
    <x v="40"/>
    <x v="40"/>
    <d v="2025-06-16T00:00:00"/>
    <d v="1899-12-30T08:15:00"/>
    <s v="Non Telecom"/>
    <d v="1899-12-30T13:00:00"/>
    <d v="1899-12-30T21:15:00"/>
    <n v="29700"/>
    <x v="0"/>
  </r>
  <r>
    <x v="0"/>
    <s v="Egypt"/>
    <x v="7"/>
    <x v="40"/>
    <x v="40"/>
    <m/>
    <m/>
    <s v="Break 15 Morning"/>
    <d v="1899-12-30T14:45:00"/>
    <d v="1899-12-30T15:00:00"/>
    <n v="0"/>
    <x v="1"/>
  </r>
  <r>
    <x v="0"/>
    <s v="Egypt"/>
    <x v="7"/>
    <x v="40"/>
    <x v="40"/>
    <m/>
    <m/>
    <s v="Break 30 Morning"/>
    <d v="1899-12-30T18:00:00"/>
    <d v="1899-12-30T18:30:00"/>
    <n v="0"/>
    <x v="1"/>
  </r>
  <r>
    <x v="0"/>
    <s v="Egypt"/>
    <x v="7"/>
    <x v="40"/>
    <x v="40"/>
    <d v="2025-06-17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1:30:00"/>
    <d v="1899-12-30T21:45:00"/>
    <n v="0"/>
    <x v="1"/>
  </r>
  <r>
    <x v="0"/>
    <s v="Egypt"/>
    <x v="7"/>
    <x v="40"/>
    <x v="40"/>
    <m/>
    <m/>
    <s v="Break 30 Night"/>
    <s v="+12:30 AM"/>
    <s v="+1:00 AM"/>
    <n v="0"/>
    <x v="1"/>
  </r>
  <r>
    <x v="0"/>
    <s v="Egypt"/>
    <x v="7"/>
    <x v="40"/>
    <x v="40"/>
    <d v="2025-06-18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2:00:00"/>
    <d v="1899-12-30T22:15:00"/>
    <n v="0"/>
    <x v="1"/>
  </r>
  <r>
    <x v="0"/>
    <s v="Egypt"/>
    <x v="7"/>
    <x v="40"/>
    <x v="40"/>
    <m/>
    <m/>
    <s v="Break 30 Night"/>
    <s v="+1:15 AM"/>
    <s v="+1:45 AM"/>
    <n v="0"/>
    <x v="1"/>
  </r>
  <r>
    <x v="0"/>
    <s v="Egypt"/>
    <x v="7"/>
    <x v="40"/>
    <x v="40"/>
    <d v="2025-06-19T00:00:00"/>
    <d v="1899-12-30T08:15:00"/>
    <s v="Non Telecom"/>
    <d v="1899-12-30T19:15:00"/>
    <s v="+3:30 AM"/>
    <n v="29700"/>
    <x v="0"/>
  </r>
  <r>
    <x v="0"/>
    <s v="Egypt"/>
    <x v="7"/>
    <x v="40"/>
    <x v="40"/>
    <m/>
    <m/>
    <s v="Break 15 Night"/>
    <d v="1899-12-30T22:15:00"/>
    <d v="1899-12-30T22:30:00"/>
    <n v="0"/>
    <x v="1"/>
  </r>
  <r>
    <x v="0"/>
    <s v="Egypt"/>
    <x v="7"/>
    <x v="40"/>
    <x v="40"/>
    <m/>
    <m/>
    <s v="Break 30 Night"/>
    <s v="+1:00 AM"/>
    <s v="+1:30 AM"/>
    <n v="0"/>
    <x v="1"/>
  </r>
  <r>
    <x v="0"/>
    <s v="Egypt"/>
    <x v="7"/>
    <x v="40"/>
    <x v="40"/>
    <d v="2025-06-20T00:00:00"/>
    <d v="1899-12-30T08:15:00"/>
    <s v="Annual Exception"/>
    <m/>
    <m/>
    <n v="29700"/>
    <x v="1"/>
  </r>
  <r>
    <x v="0"/>
    <s v="Egypt"/>
    <x v="7"/>
    <x v="40"/>
    <x v="40"/>
    <d v="2025-06-21T00:00:00"/>
    <m/>
    <s v="Day Off"/>
    <m/>
    <m/>
    <n v="0"/>
    <x v="1"/>
  </r>
  <r>
    <x v="0"/>
    <s v="Egypt"/>
    <x v="7"/>
    <x v="40"/>
    <x v="40"/>
    <d v="2025-06-22T00:00:00"/>
    <d v="1899-12-30T08:15:00"/>
    <s v="Non Telecom"/>
    <d v="1899-12-30T13:00:00"/>
    <d v="1899-12-30T21:15:00"/>
    <n v="29700"/>
    <x v="0"/>
  </r>
  <r>
    <x v="0"/>
    <s v="Egypt"/>
    <x v="7"/>
    <x v="40"/>
    <x v="40"/>
    <m/>
    <m/>
    <s v="Break 15 Morning"/>
    <d v="1899-12-30T15:15:00"/>
    <d v="1899-12-30T15:30:00"/>
    <n v="0"/>
    <x v="1"/>
  </r>
  <r>
    <x v="0"/>
    <s v="Egypt"/>
    <x v="7"/>
    <x v="40"/>
    <x v="40"/>
    <m/>
    <m/>
    <s v="Break 30 Morning"/>
    <d v="1899-12-30T17:45:00"/>
    <d v="1899-12-30T18:15:00"/>
    <n v="0"/>
    <x v="1"/>
  </r>
  <r>
    <x v="0"/>
    <s v="Egypt"/>
    <x v="7"/>
    <x v="40"/>
    <x v="40"/>
    <d v="2025-06-23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9:45:00"/>
    <d v="1899-12-30T20:00:00"/>
    <n v="0"/>
    <x v="1"/>
  </r>
  <r>
    <x v="0"/>
    <s v="Egypt"/>
    <x v="7"/>
    <x v="40"/>
    <x v="40"/>
    <m/>
    <m/>
    <s v="Break 30 Night"/>
    <d v="1899-12-30T22:00:00"/>
    <d v="1899-12-30T22:30:00"/>
    <n v="0"/>
    <x v="1"/>
  </r>
  <r>
    <x v="0"/>
    <s v="Egypt"/>
    <x v="7"/>
    <x v="40"/>
    <x v="40"/>
    <d v="2025-06-24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9:00:00"/>
    <d v="1899-12-30T19:15:00"/>
    <n v="0"/>
    <x v="1"/>
  </r>
  <r>
    <x v="0"/>
    <s v="Egypt"/>
    <x v="7"/>
    <x v="40"/>
    <x v="40"/>
    <m/>
    <m/>
    <s v="Break 30 Night"/>
    <d v="1899-12-30T21:15:00"/>
    <d v="1899-12-30T21:45:00"/>
    <n v="0"/>
    <x v="1"/>
  </r>
  <r>
    <x v="0"/>
    <s v="Egypt"/>
    <x v="7"/>
    <x v="40"/>
    <x v="40"/>
    <d v="2025-06-25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9:00:00"/>
    <d v="1899-12-30T19:15:00"/>
    <n v="0"/>
    <x v="1"/>
  </r>
  <r>
    <x v="0"/>
    <s v="Egypt"/>
    <x v="7"/>
    <x v="40"/>
    <x v="40"/>
    <m/>
    <m/>
    <s v="Break 30 Night"/>
    <d v="1899-12-30T21:30:00"/>
    <d v="1899-12-30T22:00:00"/>
    <n v="0"/>
    <x v="1"/>
  </r>
  <r>
    <x v="0"/>
    <s v="Egypt"/>
    <x v="7"/>
    <x v="40"/>
    <x v="40"/>
    <d v="2025-06-26T00:00:00"/>
    <d v="1899-12-30T08:15:00"/>
    <s v="Non Telecom"/>
    <d v="1899-12-30T16:15:00"/>
    <s v="+12:30 AM"/>
    <n v="29700"/>
    <x v="0"/>
  </r>
  <r>
    <x v="0"/>
    <s v="Egypt"/>
    <x v="7"/>
    <x v="40"/>
    <x v="40"/>
    <m/>
    <m/>
    <s v="Break 15 Night"/>
    <d v="1899-12-30T18:45:00"/>
    <d v="1899-12-30T19:00:00"/>
    <n v="0"/>
    <x v="1"/>
  </r>
  <r>
    <x v="0"/>
    <s v="Egypt"/>
    <x v="7"/>
    <x v="40"/>
    <x v="40"/>
    <m/>
    <m/>
    <s v="Break 30 Night"/>
    <d v="1899-12-30T21:30:00"/>
    <d v="1899-12-30T22:00:00"/>
    <n v="0"/>
    <x v="1"/>
  </r>
  <r>
    <x v="0"/>
    <s v="Egypt"/>
    <x v="7"/>
    <x v="40"/>
    <x v="40"/>
    <d v="2025-06-27T00:00:00"/>
    <m/>
    <s v="Day Off"/>
    <m/>
    <m/>
    <n v="0"/>
    <x v="1"/>
  </r>
  <r>
    <x v="0"/>
    <s v="Egypt"/>
    <x v="7"/>
    <x v="40"/>
    <x v="40"/>
    <d v="2025-06-28T00:00:00"/>
    <m/>
    <s v="Day Off"/>
    <m/>
    <m/>
    <n v="0"/>
    <x v="1"/>
  </r>
  <r>
    <x v="0"/>
    <s v="Egypt"/>
    <x v="7"/>
    <x v="40"/>
    <x v="40"/>
    <d v="2025-06-29T00:00:00"/>
    <d v="1899-12-30T08:15:00"/>
    <s v="Non Telecom"/>
    <d v="1899-12-30T17:15:00"/>
    <s v="+1:30 AM"/>
    <n v="29700"/>
    <x v="0"/>
  </r>
  <r>
    <x v="0"/>
    <s v="Egypt"/>
    <x v="7"/>
    <x v="40"/>
    <x v="40"/>
    <m/>
    <m/>
    <s v="Break 15 Night"/>
    <d v="1899-12-30T20:30:00"/>
    <d v="1899-12-30T20:45:00"/>
    <n v="0"/>
    <x v="1"/>
  </r>
  <r>
    <x v="0"/>
    <s v="Egypt"/>
    <x v="7"/>
    <x v="40"/>
    <x v="40"/>
    <m/>
    <m/>
    <s v="Break 30 Night"/>
    <d v="1899-12-30T23:30:00"/>
    <s v="+12:00 AM"/>
    <n v="0"/>
    <x v="1"/>
  </r>
  <r>
    <x v="0"/>
    <s v="Egypt"/>
    <x v="7"/>
    <x v="40"/>
    <x v="40"/>
    <d v="2025-06-30T00:00:00"/>
    <d v="1899-12-30T08:15:00"/>
    <s v="Non Telecom"/>
    <d v="1899-12-30T17:15:00"/>
    <s v="+1:30 AM"/>
    <n v="29700"/>
    <x v="0"/>
  </r>
  <r>
    <x v="0"/>
    <s v="Egypt"/>
    <x v="7"/>
    <x v="40"/>
    <x v="40"/>
    <m/>
    <m/>
    <s v="Break 15 Night"/>
    <d v="1899-12-30T20:30:00"/>
    <d v="1899-12-30T20:45:00"/>
    <n v="0"/>
    <x v="1"/>
  </r>
  <r>
    <x v="0"/>
    <s v="Egypt"/>
    <x v="7"/>
    <x v="40"/>
    <x v="40"/>
    <m/>
    <m/>
    <s v="Break 30 Night"/>
    <d v="1899-12-30T23:30:00"/>
    <s v="+12:00 AM"/>
    <n v="0"/>
    <x v="1"/>
  </r>
  <r>
    <x v="0"/>
    <s v="Egypt"/>
    <x v="8"/>
    <x v="41"/>
    <x v="41"/>
    <d v="2025-06-01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02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03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00:00"/>
    <d v="1899-12-30T09:15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04T00:00:00"/>
    <m/>
    <s v="Day Off"/>
    <m/>
    <m/>
    <n v="0"/>
    <x v="1"/>
  </r>
  <r>
    <x v="0"/>
    <s v="Egypt"/>
    <x v="8"/>
    <x v="41"/>
    <x v="41"/>
    <d v="2025-06-05T00:00:00"/>
    <m/>
    <s v="Day Off"/>
    <m/>
    <m/>
    <n v="0"/>
    <x v="1"/>
  </r>
  <r>
    <x v="0"/>
    <s v="Egypt"/>
    <x v="8"/>
    <x v="41"/>
    <x v="41"/>
    <d v="2025-06-06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07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08T00:00:00"/>
    <d v="1899-12-30T08:15:00"/>
    <s v="Public holiday"/>
    <m/>
    <m/>
    <n v="29700"/>
    <x v="1"/>
  </r>
  <r>
    <x v="0"/>
    <s v="Egypt"/>
    <x v="8"/>
    <x v="41"/>
    <x v="41"/>
    <d v="2025-06-09T00:00:00"/>
    <d v="1899-12-30T08:15:00"/>
    <s v="Casual"/>
    <m/>
    <m/>
    <n v="29700"/>
    <x v="1"/>
  </r>
  <r>
    <x v="0"/>
    <s v="Egypt"/>
    <x v="8"/>
    <x v="41"/>
    <x v="41"/>
    <d v="2025-06-10T00:00:00"/>
    <m/>
    <s v="Day Off"/>
    <m/>
    <m/>
    <n v="0"/>
    <x v="1"/>
  </r>
  <r>
    <x v="0"/>
    <s v="Egypt"/>
    <x v="8"/>
    <x v="41"/>
    <x v="41"/>
    <d v="2025-06-11T00:00:00"/>
    <m/>
    <s v="Day Off"/>
    <m/>
    <m/>
    <n v="0"/>
    <x v="1"/>
  </r>
  <r>
    <x v="0"/>
    <s v="Egypt"/>
    <x v="8"/>
    <x v="41"/>
    <x v="41"/>
    <d v="2025-06-12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13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30:00"/>
    <d v="1899-12-30T13:00:00"/>
    <n v="0"/>
    <x v="1"/>
  </r>
  <r>
    <x v="0"/>
    <s v="Egypt"/>
    <x v="8"/>
    <x v="41"/>
    <x v="41"/>
    <d v="2025-06-14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15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16T00:00:00"/>
    <m/>
    <s v="Day Off"/>
    <m/>
    <m/>
    <n v="0"/>
    <x v="1"/>
  </r>
  <r>
    <x v="0"/>
    <s v="Egypt"/>
    <x v="8"/>
    <x v="41"/>
    <x v="41"/>
    <d v="2025-06-17T00:00:00"/>
    <m/>
    <s v="Day Off"/>
    <m/>
    <m/>
    <n v="0"/>
    <x v="1"/>
  </r>
  <r>
    <x v="0"/>
    <s v="Egypt"/>
    <x v="8"/>
    <x v="41"/>
    <x v="41"/>
    <d v="2025-06-18T00:00:00"/>
    <d v="1899-12-30T08:15:00"/>
    <s v="Annual Exception"/>
    <m/>
    <m/>
    <n v="29700"/>
    <x v="1"/>
  </r>
  <r>
    <x v="0"/>
    <s v="Egypt"/>
    <x v="8"/>
    <x v="41"/>
    <x v="41"/>
    <d v="2025-06-19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00:00"/>
    <d v="1899-12-30T09:15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20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00:00"/>
    <d v="1899-12-30T09:15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21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22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10:15:00"/>
    <d v="1899-12-30T10:30:00"/>
    <n v="0"/>
    <x v="1"/>
  </r>
  <r>
    <x v="0"/>
    <s v="Egypt"/>
    <x v="8"/>
    <x v="41"/>
    <x v="41"/>
    <m/>
    <m/>
    <s v="Break 30 Morning"/>
    <d v="1899-12-30T13:15:00"/>
    <d v="1899-12-30T13:45:00"/>
    <n v="0"/>
    <x v="1"/>
  </r>
  <r>
    <x v="0"/>
    <s v="Egypt"/>
    <x v="8"/>
    <x v="41"/>
    <x v="41"/>
    <d v="2025-06-23T00:00:00"/>
    <m/>
    <s v="Day Off"/>
    <m/>
    <m/>
    <n v="0"/>
    <x v="1"/>
  </r>
  <r>
    <x v="0"/>
    <s v="Egypt"/>
    <x v="8"/>
    <x v="41"/>
    <x v="41"/>
    <d v="2025-06-24T00:00:00"/>
    <m/>
    <s v="Day Off"/>
    <m/>
    <m/>
    <n v="0"/>
    <x v="1"/>
  </r>
  <r>
    <x v="0"/>
    <s v="Egypt"/>
    <x v="8"/>
    <x v="41"/>
    <x v="41"/>
    <d v="2025-06-25T00:00:00"/>
    <d v="1899-12-30T08:15:00"/>
    <s v="Annual Exception"/>
    <m/>
    <m/>
    <n v="29700"/>
    <x v="1"/>
  </r>
  <r>
    <x v="0"/>
    <s v="Egypt"/>
    <x v="8"/>
    <x v="41"/>
    <x v="41"/>
    <d v="2025-06-26T00:00:00"/>
    <d v="1899-12-30T08:15:00"/>
    <s v="Public holiday"/>
    <m/>
    <m/>
    <n v="29700"/>
    <x v="1"/>
  </r>
  <r>
    <x v="0"/>
    <s v="Egypt"/>
    <x v="8"/>
    <x v="41"/>
    <x v="41"/>
    <d v="2025-06-27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28T00:00:00"/>
    <d v="1899-12-30T08:15:00"/>
    <s v="Non Telecom"/>
    <d v="1899-12-30T08:00:00"/>
    <d v="1899-12-30T16:15:00"/>
    <n v="29700"/>
    <x v="0"/>
  </r>
  <r>
    <x v="0"/>
    <s v="Egypt"/>
    <x v="8"/>
    <x v="41"/>
    <x v="41"/>
    <m/>
    <m/>
    <s v="Break 15 Morning"/>
    <d v="1899-12-30T09:15:00"/>
    <d v="1899-12-30T09:30:00"/>
    <n v="0"/>
    <x v="1"/>
  </r>
  <r>
    <x v="0"/>
    <s v="Egypt"/>
    <x v="8"/>
    <x v="41"/>
    <x v="41"/>
    <m/>
    <m/>
    <s v="Break 30 Morning"/>
    <d v="1899-12-30T12:15:00"/>
    <d v="1899-12-30T12:45:00"/>
    <n v="0"/>
    <x v="1"/>
  </r>
  <r>
    <x v="0"/>
    <s v="Egypt"/>
    <x v="8"/>
    <x v="41"/>
    <x v="41"/>
    <d v="2025-06-29T00:00:00"/>
    <m/>
    <s v="Day Off"/>
    <m/>
    <m/>
    <n v="0"/>
    <x v="1"/>
  </r>
  <r>
    <x v="0"/>
    <s v="Egypt"/>
    <x v="8"/>
    <x v="41"/>
    <x v="41"/>
    <d v="2025-06-30T00:00:00"/>
    <d v="1899-12-30T08:15:00"/>
    <s v="Annual Exception"/>
    <m/>
    <m/>
    <n v="29700"/>
    <x v="1"/>
  </r>
  <r>
    <x v="0"/>
    <s v="Egypt"/>
    <x v="8"/>
    <x v="42"/>
    <x v="42"/>
    <d v="2025-06-01T00:00:00"/>
    <d v="1899-12-30T08:15:00"/>
    <s v="Non Telecom"/>
    <d v="1899-12-30T09:00:00"/>
    <d v="1899-12-30T17:15:00"/>
    <n v="29700"/>
    <x v="0"/>
  </r>
  <r>
    <x v="0"/>
    <s v="Egypt"/>
    <x v="8"/>
    <x v="42"/>
    <x v="42"/>
    <m/>
    <m/>
    <s v="Break 15 Morning"/>
    <d v="1899-12-30T10:00:00"/>
    <d v="1899-12-30T10:15:00"/>
    <n v="0"/>
    <x v="1"/>
  </r>
  <r>
    <x v="0"/>
    <s v="Egypt"/>
    <x v="8"/>
    <x v="42"/>
    <x v="42"/>
    <m/>
    <m/>
    <s v="Break 30 Morning"/>
    <d v="1899-12-30T12:30:00"/>
    <d v="1899-12-30T13:00:00"/>
    <n v="0"/>
    <x v="1"/>
  </r>
  <r>
    <x v="0"/>
    <s v="Egypt"/>
    <x v="8"/>
    <x v="42"/>
    <x v="42"/>
    <d v="2025-06-02T00:00:00"/>
    <d v="1899-12-30T08:15:00"/>
    <s v="Non Telecom"/>
    <d v="1899-12-30T09:00:00"/>
    <d v="1899-12-30T17:15:00"/>
    <n v="29700"/>
    <x v="0"/>
  </r>
  <r>
    <x v="0"/>
    <s v="Egypt"/>
    <x v="8"/>
    <x v="42"/>
    <x v="42"/>
    <m/>
    <m/>
    <s v="Break 15 Morning"/>
    <d v="1899-12-30T12:15:00"/>
    <d v="1899-12-30T12:30:00"/>
    <n v="0"/>
    <x v="1"/>
  </r>
  <r>
    <x v="0"/>
    <s v="Egypt"/>
    <x v="8"/>
    <x v="42"/>
    <x v="42"/>
    <m/>
    <m/>
    <s v="Break 30 Morning"/>
    <d v="1899-12-30T15:45:00"/>
    <d v="1899-12-30T16:15:00"/>
    <n v="0"/>
    <x v="1"/>
  </r>
  <r>
    <x v="0"/>
    <s v="Egypt"/>
    <x v="8"/>
    <x v="42"/>
    <x v="42"/>
    <d v="2025-06-03T00:00:00"/>
    <d v="1899-12-30T08:15:00"/>
    <s v="Non Telecom"/>
    <d v="1899-12-30T09:00:00"/>
    <d v="1899-12-30T17:15:00"/>
    <n v="29700"/>
    <x v="0"/>
  </r>
  <r>
    <x v="0"/>
    <s v="Egypt"/>
    <x v="8"/>
    <x v="42"/>
    <x v="42"/>
    <m/>
    <m/>
    <s v="Break 15 Morning"/>
    <d v="1899-12-30T12:15:00"/>
    <d v="1899-12-30T12:30:00"/>
    <n v="0"/>
    <x v="1"/>
  </r>
  <r>
    <x v="0"/>
    <s v="Egypt"/>
    <x v="8"/>
    <x v="42"/>
    <x v="42"/>
    <m/>
    <m/>
    <s v="Break 30 Morning"/>
    <d v="1899-12-30T15:15:00"/>
    <d v="1899-12-30T15:45:00"/>
    <n v="0"/>
    <x v="1"/>
  </r>
  <r>
    <x v="0"/>
    <s v="Egypt"/>
    <x v="8"/>
    <x v="42"/>
    <x v="42"/>
    <d v="2025-06-04T00:00:00"/>
    <m/>
    <s v="Day Off"/>
    <m/>
    <m/>
    <n v="0"/>
    <x v="1"/>
  </r>
  <r>
    <x v="0"/>
    <s v="Egypt"/>
    <x v="8"/>
    <x v="42"/>
    <x v="42"/>
    <d v="2025-06-05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10:15:00"/>
    <d v="1899-12-30T10:30:00"/>
    <n v="0"/>
    <x v="1"/>
  </r>
  <r>
    <x v="0"/>
    <s v="Egypt"/>
    <x v="8"/>
    <x v="42"/>
    <x v="42"/>
    <m/>
    <m/>
    <s v="Break 30 Morning"/>
    <d v="1899-12-30T13:15:00"/>
    <d v="1899-12-30T13:45:00"/>
    <n v="0"/>
    <x v="1"/>
  </r>
  <r>
    <x v="0"/>
    <s v="Egypt"/>
    <x v="8"/>
    <x v="42"/>
    <x v="42"/>
    <d v="2025-06-06T00:00:00"/>
    <d v="1899-12-30T08:15:00"/>
    <s v="Public holiday"/>
    <m/>
    <m/>
    <n v="29700"/>
    <x v="1"/>
  </r>
  <r>
    <x v="0"/>
    <s v="Egypt"/>
    <x v="8"/>
    <x v="42"/>
    <x v="42"/>
    <d v="2025-06-07T00:00:00"/>
    <d v="1899-12-30T08:15:00"/>
    <s v="Non Telecom"/>
    <d v="1899-12-30T09:00:00"/>
    <d v="1899-12-30T17:15:00"/>
    <n v="29700"/>
    <x v="0"/>
  </r>
  <r>
    <x v="0"/>
    <s v="Egypt"/>
    <x v="8"/>
    <x v="42"/>
    <x v="42"/>
    <m/>
    <m/>
    <s v="Break 15 Morning"/>
    <d v="1899-12-30T11:15:00"/>
    <d v="1899-12-30T11:30:00"/>
    <n v="0"/>
    <x v="1"/>
  </r>
  <r>
    <x v="0"/>
    <s v="Egypt"/>
    <x v="8"/>
    <x v="42"/>
    <x v="42"/>
    <m/>
    <m/>
    <s v="Break 30 Morning"/>
    <d v="1899-12-30T14:15:00"/>
    <d v="1899-12-30T14:45:00"/>
    <n v="0"/>
    <x v="1"/>
  </r>
  <r>
    <x v="0"/>
    <s v="Egypt"/>
    <x v="8"/>
    <x v="42"/>
    <x v="42"/>
    <d v="2025-06-08T00:00:00"/>
    <d v="1899-12-30T08:15:00"/>
    <s v="Public holiday"/>
    <m/>
    <m/>
    <n v="29700"/>
    <x v="1"/>
  </r>
  <r>
    <x v="0"/>
    <s v="Egypt"/>
    <x v="8"/>
    <x v="42"/>
    <x v="42"/>
    <d v="2025-06-09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45:00"/>
    <d v="1899-12-30T10:00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10T00:00:00"/>
    <m/>
    <s v="Day Off"/>
    <m/>
    <m/>
    <n v="0"/>
    <x v="1"/>
  </r>
  <r>
    <x v="0"/>
    <s v="Egypt"/>
    <x v="8"/>
    <x v="42"/>
    <x v="42"/>
    <d v="2025-06-11T00:00:00"/>
    <m/>
    <s v="Day Off"/>
    <m/>
    <m/>
    <n v="0"/>
    <x v="1"/>
  </r>
  <r>
    <x v="0"/>
    <s v="Egypt"/>
    <x v="8"/>
    <x v="42"/>
    <x v="42"/>
    <d v="2025-06-12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45:00"/>
    <d v="1899-12-30T10:00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13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30:00"/>
    <d v="1899-12-30T13:00:00"/>
    <n v="0"/>
    <x v="1"/>
  </r>
  <r>
    <x v="0"/>
    <s v="Egypt"/>
    <x v="8"/>
    <x v="42"/>
    <x v="42"/>
    <d v="2025-06-14T00:00:00"/>
    <d v="1899-12-30T08:15:00"/>
    <s v="Annual Exception"/>
    <m/>
    <m/>
    <n v="29700"/>
    <x v="1"/>
  </r>
  <r>
    <x v="0"/>
    <s v="Egypt"/>
    <x v="8"/>
    <x v="42"/>
    <x v="42"/>
    <d v="2025-06-15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45:00"/>
    <d v="1899-12-30T10:00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16T00:00:00"/>
    <m/>
    <s v="Day Off"/>
    <m/>
    <m/>
    <n v="0"/>
    <x v="1"/>
  </r>
  <r>
    <x v="0"/>
    <s v="Egypt"/>
    <x v="8"/>
    <x v="42"/>
    <x v="42"/>
    <d v="2025-06-17T00:00:00"/>
    <m/>
    <s v="Day Off"/>
    <m/>
    <m/>
    <n v="0"/>
    <x v="1"/>
  </r>
  <r>
    <x v="0"/>
    <s v="Egypt"/>
    <x v="8"/>
    <x v="42"/>
    <x v="42"/>
    <d v="2025-06-18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15:00"/>
    <d v="1899-12-30T12:45:00"/>
    <n v="0"/>
    <x v="1"/>
  </r>
  <r>
    <x v="0"/>
    <s v="Egypt"/>
    <x v="8"/>
    <x v="42"/>
    <x v="42"/>
    <d v="2025-06-19T00:00:00"/>
    <d v="1899-12-30T08:15:00"/>
    <s v="Annual Exception"/>
    <m/>
    <m/>
    <n v="29700"/>
    <x v="1"/>
  </r>
  <r>
    <x v="0"/>
    <s v="Egypt"/>
    <x v="8"/>
    <x v="42"/>
    <x v="42"/>
    <d v="2025-06-20T00:00:00"/>
    <d v="1899-12-30T08:15:00"/>
    <s v="Annual Exception"/>
    <m/>
    <m/>
    <n v="29700"/>
    <x v="1"/>
  </r>
  <r>
    <x v="0"/>
    <s v="Egypt"/>
    <x v="8"/>
    <x v="42"/>
    <x v="42"/>
    <d v="2025-06-21T00:00:00"/>
    <d v="1899-12-30T08:15:00"/>
    <s v="Non Telecom"/>
    <d v="1899-12-30T11:00:00"/>
    <d v="1899-12-30T19:15:00"/>
    <n v="29700"/>
    <x v="0"/>
  </r>
  <r>
    <x v="0"/>
    <s v="Egypt"/>
    <x v="8"/>
    <x v="42"/>
    <x v="42"/>
    <m/>
    <m/>
    <s v="Break 15 Morning"/>
    <d v="1899-12-30T14:00:00"/>
    <d v="1899-12-30T14:15:00"/>
    <n v="0"/>
    <x v="1"/>
  </r>
  <r>
    <x v="0"/>
    <s v="Egypt"/>
    <x v="8"/>
    <x v="42"/>
    <x v="42"/>
    <m/>
    <m/>
    <s v="Break 30 Morning"/>
    <d v="1899-12-30T16:45:00"/>
    <d v="1899-12-30T17:15:00"/>
    <n v="0"/>
    <x v="1"/>
  </r>
  <r>
    <x v="0"/>
    <s v="Egypt"/>
    <x v="8"/>
    <x v="42"/>
    <x v="42"/>
    <d v="2025-06-22T00:00:00"/>
    <m/>
    <s v="Day Off"/>
    <m/>
    <m/>
    <n v="0"/>
    <x v="1"/>
  </r>
  <r>
    <x v="0"/>
    <s v="Egypt"/>
    <x v="8"/>
    <x v="42"/>
    <x v="42"/>
    <d v="2025-06-23T00:00:00"/>
    <m/>
    <s v="Day Off"/>
    <m/>
    <m/>
    <n v="0"/>
    <x v="1"/>
  </r>
  <r>
    <x v="0"/>
    <s v="Egypt"/>
    <x v="8"/>
    <x v="42"/>
    <x v="42"/>
    <d v="2025-06-24T00:00:00"/>
    <d v="1899-12-30T08:15:00"/>
    <s v="Non Telecom"/>
    <d v="1899-12-30T09:00:00"/>
    <d v="1899-12-30T17:15:00"/>
    <n v="29700"/>
    <x v="0"/>
  </r>
  <r>
    <x v="0"/>
    <s v="Egypt"/>
    <x v="8"/>
    <x v="42"/>
    <x v="42"/>
    <m/>
    <m/>
    <s v="Break 15 Morning"/>
    <d v="1899-12-30T11:45:00"/>
    <d v="1899-12-30T12:00:00"/>
    <n v="0"/>
    <x v="1"/>
  </r>
  <r>
    <x v="0"/>
    <s v="Egypt"/>
    <x v="8"/>
    <x v="42"/>
    <x v="42"/>
    <m/>
    <m/>
    <s v="Break 30 Morning"/>
    <d v="1899-12-30T14:15:00"/>
    <d v="1899-12-30T14:45:00"/>
    <n v="0"/>
    <x v="1"/>
  </r>
  <r>
    <x v="0"/>
    <s v="Egypt"/>
    <x v="8"/>
    <x v="42"/>
    <x v="42"/>
    <d v="2025-06-25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26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27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45:00"/>
    <d v="1899-12-30T10:00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28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45:00"/>
    <d v="1899-12-30T13:15:00"/>
    <n v="0"/>
    <x v="1"/>
  </r>
  <r>
    <x v="0"/>
    <s v="Egypt"/>
    <x v="8"/>
    <x v="42"/>
    <x v="42"/>
    <d v="2025-06-29T00:00:00"/>
    <m/>
    <s v="Day Off"/>
    <m/>
    <m/>
    <n v="0"/>
    <x v="1"/>
  </r>
  <r>
    <x v="0"/>
    <s v="Egypt"/>
    <x v="8"/>
    <x v="42"/>
    <x v="42"/>
    <d v="2025-06-30T00:00:00"/>
    <d v="1899-12-30T08:15:00"/>
    <s v="Non Telecom"/>
    <d v="1899-12-30T08:00:00"/>
    <d v="1899-12-30T16:15:00"/>
    <n v="29700"/>
    <x v="0"/>
  </r>
  <r>
    <x v="0"/>
    <s v="Egypt"/>
    <x v="8"/>
    <x v="42"/>
    <x v="42"/>
    <m/>
    <m/>
    <s v="Break 15 Morning"/>
    <d v="1899-12-30T09:30:00"/>
    <d v="1899-12-30T09:45:00"/>
    <n v="0"/>
    <x v="1"/>
  </r>
  <r>
    <x v="0"/>
    <s v="Egypt"/>
    <x v="8"/>
    <x v="42"/>
    <x v="42"/>
    <m/>
    <m/>
    <s v="Break 30 Morning"/>
    <d v="1899-12-30T12:15:00"/>
    <d v="1899-12-30T12:45:00"/>
    <n v="0"/>
    <x v="1"/>
  </r>
  <r>
    <x v="0"/>
    <s v="Egypt"/>
    <x v="8"/>
    <x v="43"/>
    <x v="43"/>
    <d v="2025-06-01T00:00:00"/>
    <d v="1899-12-30T08:15:00"/>
    <s v="Non Telecom"/>
    <d v="1899-12-30T09:00:00"/>
    <d v="1899-12-30T17:15:00"/>
    <n v="29700"/>
    <x v="0"/>
  </r>
  <r>
    <x v="0"/>
    <s v="Egypt"/>
    <x v="8"/>
    <x v="43"/>
    <x v="43"/>
    <m/>
    <m/>
    <s v="Break 15 Morning"/>
    <d v="1899-12-30T12:30:00"/>
    <d v="1899-12-30T12:45:00"/>
    <n v="0"/>
    <x v="1"/>
  </r>
  <r>
    <x v="0"/>
    <s v="Egypt"/>
    <x v="8"/>
    <x v="43"/>
    <x v="43"/>
    <m/>
    <m/>
    <s v="Break 30 Morning"/>
    <d v="1899-12-30T15:45:00"/>
    <d v="1899-12-30T16:15:00"/>
    <n v="0"/>
    <x v="1"/>
  </r>
  <r>
    <x v="0"/>
    <s v="Egypt"/>
    <x v="8"/>
    <x v="43"/>
    <x v="43"/>
    <d v="2025-06-02T00:00:00"/>
    <d v="1899-12-30T08:15:00"/>
    <s v="Non Telecom"/>
    <d v="1899-12-30T09:00:00"/>
    <d v="1899-12-30T17:15:00"/>
    <n v="29700"/>
    <x v="0"/>
  </r>
  <r>
    <x v="0"/>
    <s v="Egypt"/>
    <x v="8"/>
    <x v="43"/>
    <x v="43"/>
    <m/>
    <m/>
    <s v="Break 15 Morning"/>
    <d v="1899-12-30T12:30:00"/>
    <d v="1899-12-30T12:45:00"/>
    <n v="0"/>
    <x v="1"/>
  </r>
  <r>
    <x v="0"/>
    <s v="Egypt"/>
    <x v="8"/>
    <x v="43"/>
    <x v="43"/>
    <m/>
    <m/>
    <s v="Break 30 Morning"/>
    <d v="1899-12-30T15:45:00"/>
    <d v="1899-12-30T16:15:00"/>
    <n v="0"/>
    <x v="1"/>
  </r>
  <r>
    <x v="0"/>
    <s v="Egypt"/>
    <x v="8"/>
    <x v="43"/>
    <x v="43"/>
    <d v="2025-06-03T00:00:00"/>
    <m/>
    <s v="Day Off"/>
    <m/>
    <m/>
    <n v="0"/>
    <x v="1"/>
  </r>
  <r>
    <x v="0"/>
    <s v="Egypt"/>
    <x v="8"/>
    <x v="43"/>
    <x v="43"/>
    <d v="2025-06-04T00:00:00"/>
    <m/>
    <s v="Day Off"/>
    <m/>
    <m/>
    <n v="0"/>
    <x v="1"/>
  </r>
  <r>
    <x v="0"/>
    <s v="Egypt"/>
    <x v="8"/>
    <x v="43"/>
    <x v="43"/>
    <d v="2025-06-05T00:00:00"/>
    <m/>
    <s v="Day Off"/>
    <m/>
    <m/>
    <n v="0"/>
    <x v="1"/>
  </r>
  <r>
    <x v="0"/>
    <s v="Egypt"/>
    <x v="8"/>
    <x v="43"/>
    <x v="43"/>
    <d v="2025-06-06T00:00:00"/>
    <d v="1899-12-30T08:15:00"/>
    <s v="Public holiday"/>
    <m/>
    <m/>
    <n v="29700"/>
    <x v="1"/>
  </r>
  <r>
    <x v="0"/>
    <s v="Egypt"/>
    <x v="8"/>
    <x v="43"/>
    <x v="43"/>
    <d v="2025-06-07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4:00:00"/>
    <d v="1899-12-30T14:15:00"/>
    <n v="0"/>
    <x v="1"/>
  </r>
  <r>
    <x v="0"/>
    <s v="Egypt"/>
    <x v="8"/>
    <x v="43"/>
    <x v="43"/>
    <m/>
    <m/>
    <s v="Break 30 Morning"/>
    <d v="1899-12-30T17:30:00"/>
    <d v="1899-12-30T18:00:00"/>
    <n v="0"/>
    <x v="1"/>
  </r>
  <r>
    <x v="0"/>
    <s v="Egypt"/>
    <x v="8"/>
    <x v="43"/>
    <x v="43"/>
    <d v="2025-06-08T00:00:00"/>
    <d v="1899-12-30T08:15:00"/>
    <s v="Non Telecom"/>
    <d v="1899-12-30T13:00:00"/>
    <d v="1899-12-30T21:15:00"/>
    <n v="29700"/>
    <x v="0"/>
  </r>
  <r>
    <x v="0"/>
    <s v="Egypt"/>
    <x v="8"/>
    <x v="43"/>
    <x v="43"/>
    <m/>
    <m/>
    <s v="Break 15 Morning"/>
    <d v="1899-12-30T15:15:00"/>
    <d v="1899-12-30T15:30:00"/>
    <n v="0"/>
    <x v="1"/>
  </r>
  <r>
    <x v="0"/>
    <s v="Egypt"/>
    <x v="8"/>
    <x v="43"/>
    <x v="43"/>
    <m/>
    <m/>
    <s v="Break 30 Morning"/>
    <d v="1899-12-30T18:15:00"/>
    <d v="1899-12-30T18:45:00"/>
    <n v="0"/>
    <x v="1"/>
  </r>
  <r>
    <x v="0"/>
    <s v="Egypt"/>
    <x v="8"/>
    <x v="43"/>
    <x v="43"/>
    <d v="2025-06-09T00:00:00"/>
    <m/>
    <s v="Day Off"/>
    <m/>
    <m/>
    <n v="0"/>
    <x v="1"/>
  </r>
  <r>
    <x v="0"/>
    <s v="Egypt"/>
    <x v="8"/>
    <x v="43"/>
    <x v="43"/>
    <d v="2025-06-10T00:00:00"/>
    <m/>
    <s v="Day Off"/>
    <m/>
    <m/>
    <n v="0"/>
    <x v="1"/>
  </r>
  <r>
    <x v="0"/>
    <s v="Egypt"/>
    <x v="8"/>
    <x v="43"/>
    <x v="43"/>
    <d v="2025-06-11T00:00:00"/>
    <d v="1899-12-30T08:15:00"/>
    <s v="Non Telecom"/>
    <d v="1899-12-30T08:00:00"/>
    <d v="1899-12-30T16:15:00"/>
    <n v="29700"/>
    <x v="0"/>
  </r>
  <r>
    <x v="0"/>
    <s v="Egypt"/>
    <x v="8"/>
    <x v="43"/>
    <x v="43"/>
    <m/>
    <m/>
    <s v="Break 15 Morning"/>
    <d v="1899-12-30T09:45:00"/>
    <d v="1899-12-30T10:00:00"/>
    <n v="0"/>
    <x v="1"/>
  </r>
  <r>
    <x v="0"/>
    <s v="Egypt"/>
    <x v="8"/>
    <x v="43"/>
    <x v="43"/>
    <m/>
    <m/>
    <s v="Break 30 Morning"/>
    <d v="1899-12-30T12:45:00"/>
    <d v="1899-12-30T13:15:00"/>
    <n v="0"/>
    <x v="1"/>
  </r>
  <r>
    <x v="0"/>
    <s v="Egypt"/>
    <x v="8"/>
    <x v="43"/>
    <x v="43"/>
    <d v="2025-06-12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4:00:00"/>
    <d v="1899-12-30T14:15:00"/>
    <n v="0"/>
    <x v="1"/>
  </r>
  <r>
    <x v="0"/>
    <s v="Egypt"/>
    <x v="8"/>
    <x v="43"/>
    <x v="43"/>
    <m/>
    <m/>
    <s v="Break 30 Morning"/>
    <d v="1899-12-30T17:15:00"/>
    <d v="1899-12-30T17:45:00"/>
    <n v="0"/>
    <x v="1"/>
  </r>
  <r>
    <x v="0"/>
    <s v="Egypt"/>
    <x v="8"/>
    <x v="43"/>
    <x v="43"/>
    <d v="2025-06-13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3:15:00"/>
    <d v="1899-12-30T13:30:00"/>
    <n v="0"/>
    <x v="1"/>
  </r>
  <r>
    <x v="0"/>
    <s v="Egypt"/>
    <x v="8"/>
    <x v="43"/>
    <x v="43"/>
    <m/>
    <m/>
    <s v="Break 30 Morning"/>
    <d v="1899-12-30T16:30:00"/>
    <d v="1899-12-30T17:00:00"/>
    <n v="0"/>
    <x v="1"/>
  </r>
  <r>
    <x v="0"/>
    <s v="Egypt"/>
    <x v="8"/>
    <x v="43"/>
    <x v="43"/>
    <d v="2025-06-14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4:30:00"/>
    <d v="1899-12-30T14:45:00"/>
    <n v="0"/>
    <x v="1"/>
  </r>
  <r>
    <x v="0"/>
    <s v="Egypt"/>
    <x v="8"/>
    <x v="43"/>
    <x v="43"/>
    <m/>
    <m/>
    <s v="Break 30 Morning"/>
    <d v="1899-12-30T17:45:00"/>
    <d v="1899-12-30T18:15:00"/>
    <n v="0"/>
    <x v="1"/>
  </r>
  <r>
    <x v="0"/>
    <s v="Egypt"/>
    <x v="8"/>
    <x v="43"/>
    <x v="43"/>
    <d v="2025-06-15T00:00:00"/>
    <m/>
    <s v="Day Off"/>
    <m/>
    <m/>
    <n v="0"/>
    <x v="1"/>
  </r>
  <r>
    <x v="0"/>
    <s v="Egypt"/>
    <x v="8"/>
    <x v="43"/>
    <x v="43"/>
    <d v="2025-06-16T00:00:00"/>
    <m/>
    <s v="Day Off"/>
    <m/>
    <m/>
    <n v="0"/>
    <x v="1"/>
  </r>
  <r>
    <x v="0"/>
    <s v="Egypt"/>
    <x v="8"/>
    <x v="43"/>
    <x v="43"/>
    <d v="2025-06-17T00:00:00"/>
    <d v="1899-12-30T08:15:00"/>
    <s v="Non Telecom"/>
    <d v="1899-12-30T08:00:00"/>
    <d v="1899-12-30T16:15:00"/>
    <n v="29700"/>
    <x v="0"/>
  </r>
  <r>
    <x v="0"/>
    <s v="Egypt"/>
    <x v="8"/>
    <x v="43"/>
    <x v="43"/>
    <m/>
    <m/>
    <s v="Break 15 Morning"/>
    <d v="1899-12-30T09:45:00"/>
    <d v="1899-12-30T10:00:00"/>
    <n v="0"/>
    <x v="1"/>
  </r>
  <r>
    <x v="0"/>
    <s v="Egypt"/>
    <x v="8"/>
    <x v="43"/>
    <x v="43"/>
    <m/>
    <m/>
    <s v="Break 30 Morning"/>
    <d v="1899-12-30T12:45:00"/>
    <d v="1899-12-30T13:15:00"/>
    <n v="0"/>
    <x v="1"/>
  </r>
  <r>
    <x v="0"/>
    <s v="Egypt"/>
    <x v="8"/>
    <x v="43"/>
    <x v="43"/>
    <d v="2025-06-18T00:00:00"/>
    <d v="1899-12-30T10:15:00"/>
    <s v="Non Telecom"/>
    <d v="1899-12-30T11:00:00"/>
    <d v="1899-12-30T21:15:00"/>
    <n v="36900"/>
    <x v="0"/>
  </r>
  <r>
    <x v="0"/>
    <s v="Egypt"/>
    <x v="8"/>
    <x v="43"/>
    <x v="43"/>
    <m/>
    <m/>
    <s v="Shift Move"/>
    <d v="1899-12-30T11:00:00"/>
    <d v="1899-12-30T13:00:00"/>
    <n v="0"/>
    <x v="1"/>
  </r>
  <r>
    <x v="0"/>
    <s v="Egypt"/>
    <x v="8"/>
    <x v="43"/>
    <x v="43"/>
    <m/>
    <m/>
    <s v="Break 15 Morning"/>
    <d v="1899-12-30T14:45:00"/>
    <d v="1899-12-30T15:00:00"/>
    <n v="0"/>
    <x v="1"/>
  </r>
  <r>
    <x v="0"/>
    <s v="Egypt"/>
    <x v="8"/>
    <x v="43"/>
    <x v="43"/>
    <m/>
    <m/>
    <s v="Break 30 Morning"/>
    <d v="1899-12-30T17:30:00"/>
    <d v="1899-12-30T18:00:00"/>
    <n v="0"/>
    <x v="1"/>
  </r>
  <r>
    <x v="0"/>
    <s v="Egypt"/>
    <x v="8"/>
    <x v="43"/>
    <x v="43"/>
    <d v="2025-06-19T00:00:00"/>
    <d v="1899-12-30T08:15:00"/>
    <s v="Non Telecom"/>
    <d v="1899-12-30T08:00:00"/>
    <d v="1899-12-30T16:15:00"/>
    <n v="29700"/>
    <x v="0"/>
  </r>
  <r>
    <x v="0"/>
    <s v="Egypt"/>
    <x v="8"/>
    <x v="43"/>
    <x v="43"/>
    <m/>
    <m/>
    <s v="Break 15 Morning"/>
    <d v="1899-12-30T09:45:00"/>
    <d v="1899-12-30T10:00:00"/>
    <n v="0"/>
    <x v="1"/>
  </r>
  <r>
    <x v="0"/>
    <s v="Egypt"/>
    <x v="8"/>
    <x v="43"/>
    <x v="43"/>
    <m/>
    <m/>
    <s v="Break 30 Morning"/>
    <d v="1899-12-30T12:45:00"/>
    <d v="1899-12-30T13:15:00"/>
    <n v="0"/>
    <x v="1"/>
  </r>
  <r>
    <x v="0"/>
    <s v="Egypt"/>
    <x v="8"/>
    <x v="43"/>
    <x v="43"/>
    <d v="2025-06-20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4:15:00"/>
    <d v="1899-12-30T14:30:00"/>
    <n v="0"/>
    <x v="1"/>
  </r>
  <r>
    <x v="0"/>
    <s v="Egypt"/>
    <x v="8"/>
    <x v="43"/>
    <x v="43"/>
    <m/>
    <m/>
    <s v="Break 30 Morning"/>
    <d v="1899-12-30T17:15:00"/>
    <d v="1899-12-30T17:45:00"/>
    <n v="0"/>
    <x v="1"/>
  </r>
  <r>
    <x v="0"/>
    <s v="Egypt"/>
    <x v="8"/>
    <x v="43"/>
    <x v="43"/>
    <d v="2025-06-21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4:15:00"/>
    <d v="1899-12-30T14:30:00"/>
    <n v="0"/>
    <x v="1"/>
  </r>
  <r>
    <x v="0"/>
    <s v="Egypt"/>
    <x v="8"/>
    <x v="43"/>
    <x v="43"/>
    <m/>
    <m/>
    <s v="Break 30 Morning"/>
    <d v="1899-12-30T16:45:00"/>
    <d v="1899-12-30T17:15:00"/>
    <n v="0"/>
    <x v="1"/>
  </r>
  <r>
    <x v="0"/>
    <s v="Egypt"/>
    <x v="8"/>
    <x v="43"/>
    <x v="43"/>
    <d v="2025-06-22T00:00:00"/>
    <m/>
    <s v="Day Off"/>
    <m/>
    <m/>
    <n v="0"/>
    <x v="1"/>
  </r>
  <r>
    <x v="0"/>
    <s v="Egypt"/>
    <x v="8"/>
    <x v="43"/>
    <x v="43"/>
    <d v="2025-06-23T00:00:00"/>
    <d v="1899-12-30T08:15:00"/>
    <s v="Non Telecom"/>
    <d v="1899-12-30T11:00:00"/>
    <d v="1899-12-30T19:15:00"/>
    <n v="29700"/>
    <x v="0"/>
  </r>
  <r>
    <x v="0"/>
    <s v="Egypt"/>
    <x v="8"/>
    <x v="43"/>
    <x v="43"/>
    <m/>
    <m/>
    <s v="Break 15 Morning"/>
    <d v="1899-12-30T13:00:00"/>
    <d v="1899-12-30T13:15:00"/>
    <n v="0"/>
    <x v="1"/>
  </r>
  <r>
    <x v="0"/>
    <s v="Egypt"/>
    <x v="8"/>
    <x v="43"/>
    <x v="43"/>
    <m/>
    <m/>
    <s v="Break 30 Morning"/>
    <d v="1899-12-30T15:45:00"/>
    <d v="1899-12-30T16:15:00"/>
    <n v="0"/>
    <x v="1"/>
  </r>
  <r>
    <x v="0"/>
    <s v="Egypt"/>
    <x v="8"/>
    <x v="43"/>
    <x v="43"/>
    <d v="2025-06-24T00:00:00"/>
    <d v="1899-12-30T08:15:00"/>
    <s v="Non Telecom"/>
    <d v="1899-12-30T09:00:00"/>
    <d v="1899-12-30T17:15:00"/>
    <n v="29700"/>
    <x v="0"/>
  </r>
  <r>
    <x v="0"/>
    <s v="Egypt"/>
    <x v="8"/>
    <x v="43"/>
    <x v="43"/>
    <m/>
    <m/>
    <s v="Break 15 Morning"/>
    <d v="1899-12-30T12:00:00"/>
    <d v="1899-12-30T12:15:00"/>
    <n v="0"/>
    <x v="1"/>
  </r>
  <r>
    <x v="0"/>
    <s v="Egypt"/>
    <x v="8"/>
    <x v="43"/>
    <x v="43"/>
    <m/>
    <m/>
    <s v="Break 30 Morning"/>
    <d v="1899-12-30T15:15:00"/>
    <d v="1899-12-30T15:45:00"/>
    <n v="0"/>
    <x v="1"/>
  </r>
  <r>
    <x v="0"/>
    <s v="Egypt"/>
    <x v="8"/>
    <x v="43"/>
    <x v="43"/>
    <d v="2025-06-25T00:00:00"/>
    <d v="1899-12-30T08:15:00"/>
    <s v="Non Telecom"/>
    <d v="1899-12-30T09:00:00"/>
    <d v="1899-12-30T17:15:00"/>
    <n v="29700"/>
    <x v="0"/>
  </r>
  <r>
    <x v="0"/>
    <s v="Egypt"/>
    <x v="8"/>
    <x v="43"/>
    <x v="43"/>
    <m/>
    <m/>
    <s v="Break 15 Morning"/>
    <d v="1899-12-30T11:45:00"/>
    <d v="1899-12-30T12:00:00"/>
    <n v="0"/>
    <x v="1"/>
  </r>
  <r>
    <x v="0"/>
    <s v="Egypt"/>
    <x v="8"/>
    <x v="43"/>
    <x v="43"/>
    <m/>
    <m/>
    <s v="Break 30 Morning"/>
    <d v="1899-12-30T14:45:00"/>
    <d v="1899-12-30T15:15:00"/>
    <n v="0"/>
    <x v="1"/>
  </r>
  <r>
    <x v="0"/>
    <s v="Egypt"/>
    <x v="8"/>
    <x v="43"/>
    <x v="43"/>
    <d v="2025-06-26T00:00:00"/>
    <d v="1899-12-30T08:15:00"/>
    <s v="Non Telecom"/>
    <d v="1899-12-30T09:00:00"/>
    <d v="1899-12-30T17:15:00"/>
    <n v="29700"/>
    <x v="0"/>
  </r>
  <r>
    <x v="0"/>
    <s v="Egypt"/>
    <x v="8"/>
    <x v="43"/>
    <x v="43"/>
    <m/>
    <m/>
    <s v="Break 15 Morning"/>
    <d v="1899-12-30T11:45:00"/>
    <d v="1899-12-30T12:00:00"/>
    <n v="0"/>
    <x v="1"/>
  </r>
  <r>
    <x v="0"/>
    <s v="Egypt"/>
    <x v="8"/>
    <x v="43"/>
    <x v="43"/>
    <m/>
    <m/>
    <s v="Break 30 Morning"/>
    <d v="1899-12-30T15:15:00"/>
    <d v="1899-12-30T15:45:00"/>
    <n v="0"/>
    <x v="1"/>
  </r>
  <r>
    <x v="0"/>
    <s v="Egypt"/>
    <x v="8"/>
    <x v="43"/>
    <x v="43"/>
    <d v="2025-06-27T00:00:00"/>
    <d v="1899-12-30T08:15:00"/>
    <s v="Non Telecom"/>
    <d v="1899-12-30T08:00:00"/>
    <d v="1899-12-30T16:15:00"/>
    <n v="29700"/>
    <x v="0"/>
  </r>
  <r>
    <x v="0"/>
    <s v="Egypt"/>
    <x v="8"/>
    <x v="43"/>
    <x v="43"/>
    <m/>
    <m/>
    <s v="Break 15 Morning"/>
    <d v="1899-12-30T10:15:00"/>
    <d v="1899-12-30T10:30:00"/>
    <n v="0"/>
    <x v="1"/>
  </r>
  <r>
    <x v="0"/>
    <s v="Egypt"/>
    <x v="8"/>
    <x v="43"/>
    <x v="43"/>
    <m/>
    <m/>
    <s v="Break 30 Morning"/>
    <d v="1899-12-30T13:15:00"/>
    <d v="1899-12-30T13:45:00"/>
    <n v="0"/>
    <x v="1"/>
  </r>
  <r>
    <x v="0"/>
    <s v="Egypt"/>
    <x v="8"/>
    <x v="43"/>
    <x v="43"/>
    <d v="2025-06-28T00:00:00"/>
    <m/>
    <s v="Day Off"/>
    <m/>
    <m/>
    <n v="0"/>
    <x v="1"/>
  </r>
  <r>
    <x v="0"/>
    <s v="Egypt"/>
    <x v="8"/>
    <x v="43"/>
    <x v="43"/>
    <d v="2025-06-29T00:00:00"/>
    <d v="1899-12-30T08:15:00"/>
    <s v="Annual Exception"/>
    <m/>
    <m/>
    <n v="29700"/>
    <x v="1"/>
  </r>
  <r>
    <x v="0"/>
    <s v="Egypt"/>
    <x v="8"/>
    <x v="43"/>
    <x v="43"/>
    <d v="2025-06-30T00:00:00"/>
    <d v="1899-12-30T08:15:00"/>
    <s v="No show"/>
    <d v="1899-12-30T09:00:00"/>
    <d v="1899-12-30T17:15:00"/>
    <n v="29700"/>
    <x v="1"/>
  </r>
  <r>
    <x v="0"/>
    <s v="Egypt"/>
    <x v="9"/>
    <x v="44"/>
    <x v="44"/>
    <d v="2025-06-01T00:00:00"/>
    <d v="1899-12-30T08:15:00"/>
    <s v="Planned Training"/>
    <m/>
    <m/>
    <n v="29700"/>
    <x v="1"/>
  </r>
  <r>
    <x v="0"/>
    <s v="Egypt"/>
    <x v="9"/>
    <x v="44"/>
    <x v="44"/>
    <d v="2025-06-02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03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04T00:00:00"/>
    <m/>
    <s v="Day Off"/>
    <m/>
    <m/>
    <n v="0"/>
    <x v="1"/>
  </r>
  <r>
    <x v="0"/>
    <s v="Egypt"/>
    <x v="9"/>
    <x v="44"/>
    <x v="44"/>
    <d v="2025-06-05T00:00:00"/>
    <m/>
    <s v="Day Off"/>
    <m/>
    <m/>
    <n v="0"/>
    <x v="1"/>
  </r>
  <r>
    <x v="0"/>
    <s v="Egypt"/>
    <x v="9"/>
    <x v="44"/>
    <x v="44"/>
    <d v="2025-06-06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15:00"/>
    <d v="1899-12-30T09:30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07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08T00:00:00"/>
    <d v="1899-12-30T08:15:00"/>
    <s v="Public holiday"/>
    <m/>
    <m/>
    <n v="29700"/>
    <x v="1"/>
  </r>
  <r>
    <x v="0"/>
    <s v="Egypt"/>
    <x v="9"/>
    <x v="44"/>
    <x v="44"/>
    <d v="2025-06-09T00:00:00"/>
    <d v="1899-12-30T08:15:00"/>
    <s v="Public holiday"/>
    <m/>
    <m/>
    <n v="29700"/>
    <x v="1"/>
  </r>
  <r>
    <x v="0"/>
    <s v="Egypt"/>
    <x v="9"/>
    <x v="44"/>
    <x v="44"/>
    <d v="2025-06-10T00:00:00"/>
    <m/>
    <s v="Day Off"/>
    <m/>
    <m/>
    <n v="0"/>
    <x v="1"/>
  </r>
  <r>
    <x v="0"/>
    <s v="Egypt"/>
    <x v="9"/>
    <x v="44"/>
    <x v="44"/>
    <d v="2025-06-11T00:00:00"/>
    <m/>
    <s v="Day Off"/>
    <m/>
    <m/>
    <n v="0"/>
    <x v="1"/>
  </r>
  <r>
    <x v="0"/>
    <s v="Egypt"/>
    <x v="9"/>
    <x v="44"/>
    <x v="44"/>
    <d v="2025-06-12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13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30:00"/>
    <d v="1899-12-30T13:00:00"/>
    <n v="0"/>
    <x v="1"/>
  </r>
  <r>
    <x v="0"/>
    <s v="Egypt"/>
    <x v="9"/>
    <x v="44"/>
    <x v="44"/>
    <d v="2025-06-14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15T00:00:00"/>
    <d v="1899-12-30T08:15:00"/>
    <s v="Annual Exception"/>
    <m/>
    <m/>
    <n v="29700"/>
    <x v="1"/>
  </r>
  <r>
    <x v="0"/>
    <s v="Egypt"/>
    <x v="9"/>
    <x v="44"/>
    <x v="44"/>
    <d v="2025-06-16T00:00:00"/>
    <m/>
    <s v="Day Off"/>
    <m/>
    <m/>
    <n v="0"/>
    <x v="1"/>
  </r>
  <r>
    <x v="0"/>
    <s v="Egypt"/>
    <x v="9"/>
    <x v="44"/>
    <x v="44"/>
    <d v="2025-06-17T00:00:00"/>
    <m/>
    <s v="Day Off"/>
    <m/>
    <m/>
    <n v="0"/>
    <x v="1"/>
  </r>
  <r>
    <x v="0"/>
    <s v="Egypt"/>
    <x v="9"/>
    <x v="44"/>
    <x v="44"/>
    <d v="2025-06-18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19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0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1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2T00:00:00"/>
    <m/>
    <s v="Day Off"/>
    <m/>
    <m/>
    <n v="0"/>
    <x v="1"/>
  </r>
  <r>
    <x v="0"/>
    <s v="Egypt"/>
    <x v="9"/>
    <x v="44"/>
    <x v="44"/>
    <d v="2025-06-23T00:00:00"/>
    <m/>
    <s v="Day Off"/>
    <m/>
    <m/>
    <n v="0"/>
    <x v="1"/>
  </r>
  <r>
    <x v="0"/>
    <s v="Egypt"/>
    <x v="9"/>
    <x v="44"/>
    <x v="44"/>
    <d v="2025-06-24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5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6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7T00:00:00"/>
    <d v="1899-12-30T08:15:00"/>
    <s v="Non Telecom"/>
    <d v="1899-12-30T08:00:00"/>
    <d v="1899-12-30T16:15:00"/>
    <n v="29700"/>
    <x v="0"/>
  </r>
  <r>
    <x v="0"/>
    <s v="Egypt"/>
    <x v="9"/>
    <x v="44"/>
    <x v="44"/>
    <m/>
    <m/>
    <s v="Break 15 Morning"/>
    <d v="1899-12-30T09:00:00"/>
    <d v="1899-12-30T09:15:00"/>
    <n v="0"/>
    <x v="1"/>
  </r>
  <r>
    <x v="0"/>
    <s v="Egypt"/>
    <x v="9"/>
    <x v="44"/>
    <x v="44"/>
    <m/>
    <m/>
    <s v="Break 30 Morning"/>
    <d v="1899-12-30T12:15:00"/>
    <d v="1899-12-30T12:45:00"/>
    <n v="0"/>
    <x v="1"/>
  </r>
  <r>
    <x v="0"/>
    <s v="Egypt"/>
    <x v="9"/>
    <x v="44"/>
    <x v="44"/>
    <d v="2025-06-28T00:00:00"/>
    <d v="1899-12-30T08:15:00"/>
    <s v="Annual Exception"/>
    <m/>
    <m/>
    <n v="29700"/>
    <x v="1"/>
  </r>
  <r>
    <x v="0"/>
    <s v="Egypt"/>
    <x v="9"/>
    <x v="44"/>
    <x v="44"/>
    <d v="2025-06-29T00:00:00"/>
    <m/>
    <s v="Day Off"/>
    <m/>
    <m/>
    <n v="0"/>
    <x v="1"/>
  </r>
  <r>
    <x v="0"/>
    <s v="Egypt"/>
    <x v="9"/>
    <x v="44"/>
    <x v="44"/>
    <d v="2025-06-30T00:00:00"/>
    <m/>
    <s v="Day Off"/>
    <m/>
    <m/>
    <n v="0"/>
    <x v="1"/>
  </r>
  <r>
    <x v="0"/>
    <s v="Egypt"/>
    <x v="9"/>
    <x v="45"/>
    <x v="45"/>
    <d v="2025-06-01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2:15:00"/>
    <d v="1899-12-30T12:30:00"/>
    <n v="0"/>
    <x v="1"/>
  </r>
  <r>
    <x v="0"/>
    <s v="Egypt"/>
    <x v="9"/>
    <x v="45"/>
    <x v="45"/>
    <m/>
    <m/>
    <s v="Break 30 Morning"/>
    <d v="1899-12-30T15:45:00"/>
    <d v="1899-12-30T16:15:00"/>
    <n v="0"/>
    <x v="1"/>
  </r>
  <r>
    <x v="0"/>
    <s v="Egypt"/>
    <x v="9"/>
    <x v="45"/>
    <x v="45"/>
    <d v="2025-06-02T00:00:00"/>
    <d v="1899-12-30T08:15:00"/>
    <s v="Annual Exception"/>
    <m/>
    <m/>
    <n v="29700"/>
    <x v="1"/>
  </r>
  <r>
    <x v="0"/>
    <s v="Egypt"/>
    <x v="9"/>
    <x v="45"/>
    <x v="45"/>
    <d v="2025-06-03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2:00:00"/>
    <d v="1899-12-30T12:15:00"/>
    <n v="0"/>
    <x v="1"/>
  </r>
  <r>
    <x v="0"/>
    <s v="Egypt"/>
    <x v="9"/>
    <x v="45"/>
    <x v="45"/>
    <m/>
    <m/>
    <s v="Break 30 Morning"/>
    <d v="1899-12-30T15:15:00"/>
    <d v="1899-12-30T15:45:00"/>
    <n v="0"/>
    <x v="1"/>
  </r>
  <r>
    <x v="0"/>
    <s v="Egypt"/>
    <x v="9"/>
    <x v="45"/>
    <x v="45"/>
    <d v="2025-06-04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30:00"/>
    <d v="1899-12-30T11:45:00"/>
    <n v="0"/>
    <x v="1"/>
  </r>
  <r>
    <x v="0"/>
    <s v="Egypt"/>
    <x v="9"/>
    <x v="45"/>
    <x v="45"/>
    <m/>
    <m/>
    <s v="Break 30 Morning"/>
    <d v="1899-12-30T14:45:00"/>
    <d v="1899-12-30T15:15:00"/>
    <n v="0"/>
    <x v="1"/>
  </r>
  <r>
    <x v="0"/>
    <s v="Egypt"/>
    <x v="9"/>
    <x v="45"/>
    <x v="45"/>
    <d v="2025-06-05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15:00"/>
    <d v="1899-12-30T11:30:00"/>
    <n v="0"/>
    <x v="1"/>
  </r>
  <r>
    <x v="0"/>
    <s v="Egypt"/>
    <x v="9"/>
    <x v="45"/>
    <x v="45"/>
    <m/>
    <m/>
    <s v="Break 30 Morning"/>
    <d v="1899-12-30T14:15:00"/>
    <d v="1899-12-30T14:45:00"/>
    <n v="0"/>
    <x v="1"/>
  </r>
  <r>
    <x v="0"/>
    <s v="Egypt"/>
    <x v="9"/>
    <x v="45"/>
    <x v="45"/>
    <d v="2025-06-06T00:00:00"/>
    <m/>
    <s v="Day Off"/>
    <m/>
    <m/>
    <n v="0"/>
    <x v="1"/>
  </r>
  <r>
    <x v="0"/>
    <s v="Egypt"/>
    <x v="9"/>
    <x v="45"/>
    <x v="45"/>
    <d v="2025-06-07T00:00:00"/>
    <m/>
    <s v="Day Off"/>
    <m/>
    <m/>
    <n v="0"/>
    <x v="1"/>
  </r>
  <r>
    <x v="0"/>
    <s v="Egypt"/>
    <x v="9"/>
    <x v="45"/>
    <x v="45"/>
    <d v="2025-06-08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30:00"/>
    <d v="1899-12-30T11:45:00"/>
    <n v="0"/>
    <x v="1"/>
  </r>
  <r>
    <x v="0"/>
    <s v="Egypt"/>
    <x v="9"/>
    <x v="45"/>
    <x v="45"/>
    <m/>
    <m/>
    <s v="Break 30 Morning"/>
    <d v="1899-12-30T14:45:00"/>
    <d v="1899-12-30T15:15:00"/>
    <n v="0"/>
    <x v="1"/>
  </r>
  <r>
    <x v="0"/>
    <s v="Egypt"/>
    <x v="9"/>
    <x v="45"/>
    <x v="45"/>
    <d v="2025-06-09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15:00"/>
    <d v="1899-12-30T11:30:00"/>
    <n v="0"/>
    <x v="1"/>
  </r>
  <r>
    <x v="0"/>
    <s v="Egypt"/>
    <x v="9"/>
    <x v="45"/>
    <x v="45"/>
    <m/>
    <m/>
    <s v="Break 30 Morning"/>
    <d v="1899-12-30T14:15:00"/>
    <d v="1899-12-30T14:45:00"/>
    <n v="0"/>
    <x v="1"/>
  </r>
  <r>
    <x v="0"/>
    <s v="Egypt"/>
    <x v="9"/>
    <x v="45"/>
    <x v="45"/>
    <d v="2025-06-10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30:00"/>
    <d v="1899-12-30T11:45:00"/>
    <n v="0"/>
    <x v="1"/>
  </r>
  <r>
    <x v="0"/>
    <s v="Egypt"/>
    <x v="9"/>
    <x v="45"/>
    <x v="45"/>
    <m/>
    <m/>
    <s v="Break 30 Morning"/>
    <d v="1899-12-30T14:45:00"/>
    <d v="1899-12-30T15:15:00"/>
    <n v="0"/>
    <x v="1"/>
  </r>
  <r>
    <x v="0"/>
    <s v="Egypt"/>
    <x v="9"/>
    <x v="45"/>
    <x v="45"/>
    <d v="2025-06-11T00:00:00"/>
    <m/>
    <s v="Day Off"/>
    <m/>
    <m/>
    <n v="0"/>
    <x v="1"/>
  </r>
  <r>
    <x v="0"/>
    <s v="Egypt"/>
    <x v="9"/>
    <x v="45"/>
    <x v="45"/>
    <d v="2025-06-12T00:00:00"/>
    <m/>
    <s v="Day Off"/>
    <m/>
    <m/>
    <n v="0"/>
    <x v="1"/>
  </r>
  <r>
    <x v="0"/>
    <s v="Egypt"/>
    <x v="9"/>
    <x v="45"/>
    <x v="45"/>
    <d v="2025-06-13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00:00"/>
    <d v="1899-12-30T11:15:00"/>
    <n v="0"/>
    <x v="1"/>
  </r>
  <r>
    <x v="0"/>
    <s v="Egypt"/>
    <x v="9"/>
    <x v="45"/>
    <x v="45"/>
    <m/>
    <m/>
    <s v="Break 30 Morning"/>
    <d v="1899-12-30T14:00:00"/>
    <d v="1899-12-30T14:30:00"/>
    <n v="0"/>
    <x v="1"/>
  </r>
  <r>
    <x v="0"/>
    <s v="Egypt"/>
    <x v="9"/>
    <x v="45"/>
    <x v="45"/>
    <d v="2025-06-14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2:00:00"/>
    <d v="1899-12-30T12:15:00"/>
    <n v="0"/>
    <x v="1"/>
  </r>
  <r>
    <x v="0"/>
    <s v="Egypt"/>
    <x v="9"/>
    <x v="45"/>
    <x v="45"/>
    <m/>
    <m/>
    <s v="Break 30 Morning"/>
    <d v="1899-12-30T14:45:00"/>
    <d v="1899-12-30T15:15:00"/>
    <n v="0"/>
    <x v="1"/>
  </r>
  <r>
    <x v="0"/>
    <s v="Egypt"/>
    <x v="9"/>
    <x v="45"/>
    <x v="45"/>
    <d v="2025-06-15T00:00:00"/>
    <m/>
    <s v="Day Off"/>
    <m/>
    <m/>
    <n v="0"/>
    <x v="1"/>
  </r>
  <r>
    <x v="0"/>
    <s v="Egypt"/>
    <x v="9"/>
    <x v="45"/>
    <x v="45"/>
    <d v="2025-06-16T00:00:00"/>
    <m/>
    <s v="Day Off"/>
    <m/>
    <m/>
    <n v="0"/>
    <x v="1"/>
  </r>
  <r>
    <x v="0"/>
    <s v="Egypt"/>
    <x v="9"/>
    <x v="45"/>
    <x v="45"/>
    <d v="2025-06-17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15:00"/>
    <d v="1899-12-30T11:30:00"/>
    <n v="0"/>
    <x v="1"/>
  </r>
  <r>
    <x v="0"/>
    <s v="Egypt"/>
    <x v="9"/>
    <x v="45"/>
    <x v="45"/>
    <m/>
    <m/>
    <s v="Break 30 Morning"/>
    <d v="1899-12-30T14:15:00"/>
    <d v="1899-12-30T14:45:00"/>
    <n v="0"/>
    <x v="1"/>
  </r>
  <r>
    <x v="0"/>
    <s v="Egypt"/>
    <x v="9"/>
    <x v="45"/>
    <x v="45"/>
    <d v="2025-06-18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30:00"/>
    <d v="1899-12-30T11:45:00"/>
    <n v="0"/>
    <x v="1"/>
  </r>
  <r>
    <x v="0"/>
    <s v="Egypt"/>
    <x v="9"/>
    <x v="45"/>
    <x v="45"/>
    <m/>
    <m/>
    <s v="Break 30 Morning"/>
    <d v="1899-12-30T14:15:00"/>
    <d v="1899-12-30T14:45:00"/>
    <n v="0"/>
    <x v="1"/>
  </r>
  <r>
    <x v="0"/>
    <s v="Egypt"/>
    <x v="9"/>
    <x v="45"/>
    <x v="45"/>
    <d v="2025-06-19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00:00"/>
    <d v="1899-12-30T11:15:00"/>
    <n v="0"/>
    <x v="1"/>
  </r>
  <r>
    <x v="0"/>
    <s v="Egypt"/>
    <x v="9"/>
    <x v="45"/>
    <x v="45"/>
    <m/>
    <m/>
    <s v="Break 30 Morning"/>
    <d v="1899-12-30T13:45:00"/>
    <d v="1899-12-30T14:15:00"/>
    <n v="0"/>
    <x v="1"/>
  </r>
  <r>
    <x v="0"/>
    <s v="Egypt"/>
    <x v="9"/>
    <x v="45"/>
    <x v="45"/>
    <d v="2025-06-20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00:00"/>
    <d v="1899-12-30T11:15:00"/>
    <n v="0"/>
    <x v="1"/>
  </r>
  <r>
    <x v="0"/>
    <s v="Egypt"/>
    <x v="9"/>
    <x v="45"/>
    <x v="45"/>
    <m/>
    <m/>
    <s v="Break 30 Morning"/>
    <d v="1899-12-30T13:45:00"/>
    <d v="1899-12-30T14:15:00"/>
    <n v="0"/>
    <x v="1"/>
  </r>
  <r>
    <x v="0"/>
    <s v="Egypt"/>
    <x v="9"/>
    <x v="45"/>
    <x v="45"/>
    <d v="2025-06-21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45:00"/>
    <d v="1899-12-30T12:00:00"/>
    <n v="0"/>
    <x v="1"/>
  </r>
  <r>
    <x v="0"/>
    <s v="Egypt"/>
    <x v="9"/>
    <x v="45"/>
    <x v="45"/>
    <m/>
    <m/>
    <s v="Break 30 Morning"/>
    <d v="1899-12-30T14:15:00"/>
    <d v="1899-12-30T14:45:00"/>
    <n v="0"/>
    <x v="1"/>
  </r>
  <r>
    <x v="0"/>
    <s v="Egypt"/>
    <x v="9"/>
    <x v="45"/>
    <x v="45"/>
    <d v="2025-06-22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2:00:00"/>
    <d v="1899-12-30T12:15:00"/>
    <n v="0"/>
    <x v="1"/>
  </r>
  <r>
    <x v="0"/>
    <s v="Egypt"/>
    <x v="9"/>
    <x v="45"/>
    <x v="45"/>
    <m/>
    <m/>
    <s v="Break 30 Morning"/>
    <d v="1899-12-30T14:45:00"/>
    <d v="1899-12-30T15:15:00"/>
    <n v="0"/>
    <x v="1"/>
  </r>
  <r>
    <x v="0"/>
    <s v="Egypt"/>
    <x v="9"/>
    <x v="45"/>
    <x v="45"/>
    <d v="2025-06-23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00:00"/>
    <d v="1899-12-30T11:15:00"/>
    <n v="0"/>
    <x v="1"/>
  </r>
  <r>
    <x v="0"/>
    <s v="Egypt"/>
    <x v="9"/>
    <x v="45"/>
    <x v="45"/>
    <m/>
    <m/>
    <s v="Break 30 Morning"/>
    <d v="1899-12-30T13:45:00"/>
    <d v="1899-12-30T14:15:00"/>
    <n v="0"/>
    <x v="1"/>
  </r>
  <r>
    <x v="0"/>
    <s v="Egypt"/>
    <x v="9"/>
    <x v="45"/>
    <x v="45"/>
    <d v="2025-06-24T00:00:00"/>
    <m/>
    <s v="Day Off"/>
    <m/>
    <m/>
    <n v="0"/>
    <x v="1"/>
  </r>
  <r>
    <x v="0"/>
    <s v="Egypt"/>
    <x v="9"/>
    <x v="45"/>
    <x v="45"/>
    <d v="2025-06-25T00:00:00"/>
    <m/>
    <s v="Day Off"/>
    <m/>
    <m/>
    <n v="0"/>
    <x v="1"/>
  </r>
  <r>
    <x v="0"/>
    <s v="Egypt"/>
    <x v="9"/>
    <x v="45"/>
    <x v="45"/>
    <d v="2025-06-26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2:00:00"/>
    <d v="1899-12-30T12:15:00"/>
    <n v="0"/>
    <x v="1"/>
  </r>
  <r>
    <x v="0"/>
    <s v="Egypt"/>
    <x v="9"/>
    <x v="45"/>
    <x v="45"/>
    <m/>
    <m/>
    <s v="Break 30 Morning"/>
    <d v="1899-12-30T15:15:00"/>
    <d v="1899-12-30T15:45:00"/>
    <n v="0"/>
    <x v="1"/>
  </r>
  <r>
    <x v="0"/>
    <s v="Egypt"/>
    <x v="9"/>
    <x v="45"/>
    <x v="45"/>
    <d v="2025-06-27T00:00:00"/>
    <d v="1899-12-30T08:15:00"/>
    <s v="Non Telecom"/>
    <d v="1899-12-30T09:00:00"/>
    <d v="1899-12-30T17:15:00"/>
    <n v="29700"/>
    <x v="0"/>
  </r>
  <r>
    <x v="0"/>
    <s v="Egypt"/>
    <x v="9"/>
    <x v="45"/>
    <x v="45"/>
    <m/>
    <m/>
    <s v="Break 15 Morning"/>
    <d v="1899-12-30T11:45:00"/>
    <d v="1899-12-30T12:00:00"/>
    <n v="0"/>
    <x v="1"/>
  </r>
  <r>
    <x v="0"/>
    <s v="Egypt"/>
    <x v="9"/>
    <x v="45"/>
    <x v="45"/>
    <m/>
    <m/>
    <s v="Break 30 Morning"/>
    <d v="1899-12-30T15:15:00"/>
    <d v="1899-12-30T15:45:00"/>
    <n v="0"/>
    <x v="1"/>
  </r>
  <r>
    <x v="0"/>
    <s v="Egypt"/>
    <x v="9"/>
    <x v="45"/>
    <x v="45"/>
    <d v="2025-06-28T00:00:00"/>
    <d v="1899-12-30T08:15:00"/>
    <s v="Annual Exception"/>
    <m/>
    <m/>
    <n v="29700"/>
    <x v="1"/>
  </r>
  <r>
    <x v="0"/>
    <s v="Egypt"/>
    <x v="9"/>
    <x v="45"/>
    <x v="45"/>
    <d v="2025-06-29T00:00:00"/>
    <d v="1899-12-30T08:15:00"/>
    <s v="Annual Exception"/>
    <m/>
    <m/>
    <n v="29700"/>
    <x v="1"/>
  </r>
  <r>
    <x v="0"/>
    <s v="Egypt"/>
    <x v="9"/>
    <x v="45"/>
    <x v="45"/>
    <d v="2025-06-30T00:00:00"/>
    <m/>
    <s v="Day Off"/>
    <m/>
    <m/>
    <n v="0"/>
    <x v="1"/>
  </r>
  <r>
    <x v="0"/>
    <s v="Egypt"/>
    <x v="9"/>
    <x v="46"/>
    <x v="46"/>
    <d v="2025-06-01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02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03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04T00:00:00"/>
    <m/>
    <s v="Day Off"/>
    <m/>
    <m/>
    <n v="0"/>
    <x v="1"/>
  </r>
  <r>
    <x v="0"/>
    <s v="Egypt"/>
    <x v="9"/>
    <x v="46"/>
    <x v="46"/>
    <d v="2025-06-05T00:00:00"/>
    <m/>
    <s v="Day Off"/>
    <m/>
    <m/>
    <n v="0"/>
    <x v="1"/>
  </r>
  <r>
    <x v="0"/>
    <s v="Egypt"/>
    <x v="9"/>
    <x v="46"/>
    <x v="46"/>
    <d v="2025-06-06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10:00:00"/>
    <d v="1899-12-30T10:15:00"/>
    <n v="0"/>
    <x v="1"/>
  </r>
  <r>
    <x v="0"/>
    <s v="Egypt"/>
    <x v="9"/>
    <x v="46"/>
    <x v="46"/>
    <m/>
    <m/>
    <s v="Break 30 Morning"/>
    <d v="1899-12-30T13:15:00"/>
    <d v="1899-12-30T13:45:00"/>
    <n v="0"/>
    <x v="1"/>
  </r>
  <r>
    <x v="0"/>
    <s v="Egypt"/>
    <x v="9"/>
    <x v="46"/>
    <x v="46"/>
    <d v="2025-06-07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08T00:00:00"/>
    <d v="1899-12-30T08:15:00"/>
    <s v="Public holiday"/>
    <m/>
    <m/>
    <n v="29700"/>
    <x v="1"/>
  </r>
  <r>
    <x v="0"/>
    <s v="Egypt"/>
    <x v="9"/>
    <x v="46"/>
    <x v="46"/>
    <d v="2025-06-09T00:00:00"/>
    <d v="1899-12-30T08:15:00"/>
    <s v="Public holiday"/>
    <m/>
    <m/>
    <n v="29700"/>
    <x v="1"/>
  </r>
  <r>
    <x v="0"/>
    <s v="Egypt"/>
    <x v="9"/>
    <x v="46"/>
    <x v="46"/>
    <d v="2025-06-10T00:00:00"/>
    <m/>
    <s v="Day Off"/>
    <m/>
    <m/>
    <n v="0"/>
    <x v="1"/>
  </r>
  <r>
    <x v="0"/>
    <s v="Egypt"/>
    <x v="9"/>
    <x v="46"/>
    <x v="46"/>
    <d v="2025-06-11T00:00:00"/>
    <m/>
    <s v="Day Off"/>
    <m/>
    <m/>
    <n v="0"/>
    <x v="1"/>
  </r>
  <r>
    <x v="0"/>
    <s v="Egypt"/>
    <x v="9"/>
    <x v="46"/>
    <x v="46"/>
    <d v="2025-06-12T00:00:00"/>
    <d v="1899-12-30T08:15:00"/>
    <s v="Non Telecom"/>
    <d v="1899-12-30T09:00:00"/>
    <d v="1899-12-30T17:15:00"/>
    <n v="29700"/>
    <x v="0"/>
  </r>
  <r>
    <x v="0"/>
    <s v="Egypt"/>
    <x v="9"/>
    <x v="46"/>
    <x v="46"/>
    <m/>
    <m/>
    <s v="Break 15 Morning"/>
    <d v="1899-12-30T11:30:00"/>
    <d v="1899-12-30T11:45:00"/>
    <n v="0"/>
    <x v="1"/>
  </r>
  <r>
    <x v="0"/>
    <s v="Egypt"/>
    <x v="9"/>
    <x v="46"/>
    <x v="46"/>
    <m/>
    <m/>
    <s v="Break 30 Morning"/>
    <d v="1899-12-30T14:15:00"/>
    <d v="1899-12-30T14:45:00"/>
    <n v="0"/>
    <x v="1"/>
  </r>
  <r>
    <x v="0"/>
    <s v="Egypt"/>
    <x v="9"/>
    <x v="46"/>
    <x v="46"/>
    <m/>
    <m/>
    <s v="Leave Early"/>
    <d v="1899-12-30T16:15:00"/>
    <d v="1899-12-30T17:15:00"/>
    <n v="0"/>
    <x v="1"/>
  </r>
  <r>
    <x v="0"/>
    <s v="Egypt"/>
    <x v="9"/>
    <x v="46"/>
    <x v="46"/>
    <d v="2025-06-13T00:00:00"/>
    <d v="1899-12-30T08:15:00"/>
    <s v="Non Telecom"/>
    <d v="1899-12-30T09:00:00"/>
    <d v="1899-12-30T17:15:00"/>
    <n v="29700"/>
    <x v="0"/>
  </r>
  <r>
    <x v="0"/>
    <s v="Egypt"/>
    <x v="9"/>
    <x v="46"/>
    <x v="46"/>
    <m/>
    <m/>
    <s v="Break 15 Morning"/>
    <d v="1899-12-30T11:15:00"/>
    <d v="1899-12-30T11:30:00"/>
    <n v="0"/>
    <x v="1"/>
  </r>
  <r>
    <x v="0"/>
    <s v="Egypt"/>
    <x v="9"/>
    <x v="46"/>
    <x v="46"/>
    <m/>
    <m/>
    <s v="Break 30 Morning"/>
    <d v="1899-12-30T14:30:00"/>
    <d v="1899-12-30T15:00:00"/>
    <n v="0"/>
    <x v="1"/>
  </r>
  <r>
    <x v="0"/>
    <s v="Egypt"/>
    <x v="9"/>
    <x v="46"/>
    <x v="46"/>
    <d v="2025-06-14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15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16T00:00:00"/>
    <m/>
    <s v="Day Off"/>
    <m/>
    <m/>
    <n v="0"/>
    <x v="1"/>
  </r>
  <r>
    <x v="0"/>
    <s v="Egypt"/>
    <x v="9"/>
    <x v="46"/>
    <x v="46"/>
    <d v="2025-06-17T00:00:00"/>
    <m/>
    <s v="Day Off"/>
    <m/>
    <m/>
    <n v="0"/>
    <x v="1"/>
  </r>
  <r>
    <x v="0"/>
    <s v="Egypt"/>
    <x v="9"/>
    <x v="46"/>
    <x v="46"/>
    <d v="2025-06-18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19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15:00"/>
    <d v="1899-12-30T12:45:00"/>
    <n v="0"/>
    <x v="1"/>
  </r>
  <r>
    <x v="0"/>
    <s v="Egypt"/>
    <x v="9"/>
    <x v="46"/>
    <x v="46"/>
    <d v="2025-06-20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15:00"/>
    <d v="1899-12-30T09:30:00"/>
    <n v="0"/>
    <x v="1"/>
  </r>
  <r>
    <x v="0"/>
    <s v="Egypt"/>
    <x v="9"/>
    <x v="46"/>
    <x v="46"/>
    <m/>
    <m/>
    <s v="Break 30 Morning"/>
    <d v="1899-12-30T12:15:00"/>
    <d v="1899-12-30T12:45:00"/>
    <n v="0"/>
    <x v="1"/>
  </r>
  <r>
    <x v="0"/>
    <s v="Egypt"/>
    <x v="9"/>
    <x v="46"/>
    <x v="46"/>
    <d v="2025-06-21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22T00:00:00"/>
    <m/>
    <s v="Day Off"/>
    <m/>
    <m/>
    <n v="0"/>
    <x v="1"/>
  </r>
  <r>
    <x v="0"/>
    <s v="Egypt"/>
    <x v="9"/>
    <x v="46"/>
    <x v="46"/>
    <d v="2025-06-23T00:00:00"/>
    <m/>
    <s v="Day Off"/>
    <m/>
    <m/>
    <n v="0"/>
    <x v="1"/>
  </r>
  <r>
    <x v="0"/>
    <s v="Egypt"/>
    <x v="9"/>
    <x v="46"/>
    <x v="46"/>
    <d v="2025-06-24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25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26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30:00"/>
    <d v="1899-12-30T09:45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27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10:00:00"/>
    <d v="1899-12-30T10:15:00"/>
    <n v="0"/>
    <x v="1"/>
  </r>
  <r>
    <x v="0"/>
    <s v="Egypt"/>
    <x v="9"/>
    <x v="46"/>
    <x v="46"/>
    <m/>
    <m/>
    <s v="Break 30 Morning"/>
    <d v="1899-12-30T13:15:00"/>
    <d v="1899-12-30T13:45:00"/>
    <n v="0"/>
    <x v="1"/>
  </r>
  <r>
    <x v="0"/>
    <s v="Egypt"/>
    <x v="9"/>
    <x v="46"/>
    <x v="46"/>
    <d v="2025-06-28T00:00:00"/>
    <d v="1899-12-30T08:15:00"/>
    <s v="Non Telecom"/>
    <d v="1899-12-30T08:00:00"/>
    <d v="1899-12-30T16:15:00"/>
    <n v="29700"/>
    <x v="0"/>
  </r>
  <r>
    <x v="0"/>
    <s v="Egypt"/>
    <x v="9"/>
    <x v="46"/>
    <x v="46"/>
    <m/>
    <m/>
    <s v="Break 15 Morning"/>
    <d v="1899-12-30T09:45:00"/>
    <d v="1899-12-30T10:00:00"/>
    <n v="0"/>
    <x v="1"/>
  </r>
  <r>
    <x v="0"/>
    <s v="Egypt"/>
    <x v="9"/>
    <x v="46"/>
    <x v="46"/>
    <m/>
    <m/>
    <s v="Break 30 Morning"/>
    <d v="1899-12-30T12:45:00"/>
    <d v="1899-12-30T13:15:00"/>
    <n v="0"/>
    <x v="1"/>
  </r>
  <r>
    <x v="0"/>
    <s v="Egypt"/>
    <x v="9"/>
    <x v="46"/>
    <x v="46"/>
    <d v="2025-06-29T00:00:00"/>
    <m/>
    <s v="Day Off"/>
    <m/>
    <m/>
    <n v="0"/>
    <x v="1"/>
  </r>
  <r>
    <x v="0"/>
    <s v="Egypt"/>
    <x v="9"/>
    <x v="46"/>
    <x v="46"/>
    <d v="2025-06-30T00:00:00"/>
    <d v="1899-12-30T09:15:00"/>
    <s v="Non Telecom"/>
    <d v="1899-12-30T08:00:00"/>
    <d v="1899-12-30T17:15:00"/>
    <n v="33300"/>
    <x v="0"/>
  </r>
  <r>
    <x v="0"/>
    <s v="Egypt"/>
    <x v="9"/>
    <x v="46"/>
    <x v="46"/>
    <m/>
    <m/>
    <s v="Shift Move"/>
    <d v="1899-12-30T08:00:00"/>
    <d v="1899-12-30T09:00:00"/>
    <n v="0"/>
    <x v="1"/>
  </r>
  <r>
    <x v="0"/>
    <s v="Egypt"/>
    <x v="9"/>
    <x v="46"/>
    <x v="46"/>
    <m/>
    <m/>
    <s v="Break 15 Morning"/>
    <d v="1899-12-30T11:15:00"/>
    <d v="1899-12-30T11:30:00"/>
    <n v="0"/>
    <x v="1"/>
  </r>
  <r>
    <x v="0"/>
    <s v="Egypt"/>
    <x v="9"/>
    <x v="46"/>
    <x v="46"/>
    <m/>
    <m/>
    <s v="Break 30 Morning"/>
    <d v="1899-12-30T14:45:00"/>
    <d v="1899-12-30T15:15:00"/>
    <n v="0"/>
    <x v="1"/>
  </r>
  <r>
    <x v="0"/>
    <s v="Egypt"/>
    <x v="10"/>
    <x v="47"/>
    <x v="47"/>
    <d v="2025-06-01T00:00:00"/>
    <d v="1899-12-30T08:15:00"/>
    <s v="Non Telecom"/>
    <d v="1899-12-30T18:00:00"/>
    <s v="+2:15 AM"/>
    <n v="29700"/>
    <x v="0"/>
  </r>
  <r>
    <x v="0"/>
    <s v="Egypt"/>
    <x v="10"/>
    <x v="47"/>
    <x v="47"/>
    <m/>
    <m/>
    <s v="Break 15 Night"/>
    <d v="1899-12-30T20:30:00"/>
    <d v="1899-12-30T20:45:00"/>
    <n v="0"/>
    <x v="1"/>
  </r>
  <r>
    <x v="0"/>
    <s v="Egypt"/>
    <x v="10"/>
    <x v="47"/>
    <x v="47"/>
    <m/>
    <m/>
    <s v="Break 30 Night"/>
    <d v="1899-12-30T23:45:00"/>
    <s v="+12:15 AM"/>
    <n v="0"/>
    <x v="1"/>
  </r>
  <r>
    <x v="0"/>
    <s v="Egypt"/>
    <x v="10"/>
    <x v="47"/>
    <x v="47"/>
    <d v="2025-06-02T00:00:00"/>
    <d v="1899-12-30T08:15:00"/>
    <s v="Non Telecom"/>
    <d v="1899-12-30T18:00:00"/>
    <s v="+2:15 AM"/>
    <n v="29700"/>
    <x v="0"/>
  </r>
  <r>
    <x v="0"/>
    <s v="Egypt"/>
    <x v="10"/>
    <x v="47"/>
    <x v="47"/>
    <m/>
    <m/>
    <s v="Break 15 Night"/>
    <d v="1899-12-30T20:15:00"/>
    <d v="1899-12-30T20:30:00"/>
    <n v="0"/>
    <x v="1"/>
  </r>
  <r>
    <x v="0"/>
    <s v="Egypt"/>
    <x v="10"/>
    <x v="47"/>
    <x v="47"/>
    <m/>
    <m/>
    <s v="Break 30 Night"/>
    <d v="1899-12-30T23:45:00"/>
    <s v="+12:15 AM"/>
    <n v="0"/>
    <x v="1"/>
  </r>
  <r>
    <x v="0"/>
    <s v="Egypt"/>
    <x v="10"/>
    <x v="47"/>
    <x v="47"/>
    <d v="2025-06-03T00:00:00"/>
    <d v="1899-12-30T08:15:00"/>
    <s v="Planned Training"/>
    <m/>
    <m/>
    <n v="29700"/>
    <x v="1"/>
  </r>
  <r>
    <x v="0"/>
    <s v="Egypt"/>
    <x v="10"/>
    <x v="47"/>
    <x v="47"/>
    <d v="2025-06-04T00:00:00"/>
    <d v="1899-12-30T08:15:00"/>
    <s v="Planned Training"/>
    <m/>
    <m/>
    <n v="29700"/>
    <x v="1"/>
  </r>
  <r>
    <x v="0"/>
    <s v="Egypt"/>
    <x v="10"/>
    <x v="47"/>
    <x v="47"/>
    <d v="2025-06-05T00:00:00"/>
    <d v="1899-12-30T08:15:00"/>
    <s v="Planned Training"/>
    <m/>
    <m/>
    <n v="29700"/>
    <x v="1"/>
  </r>
  <r>
    <x v="0"/>
    <s v="Egypt"/>
    <x v="10"/>
    <x v="47"/>
    <x v="47"/>
    <d v="2025-06-06T00:00:00"/>
    <m/>
    <s v="Day Off"/>
    <m/>
    <m/>
    <n v="0"/>
    <x v="1"/>
  </r>
  <r>
    <x v="0"/>
    <s v="Egypt"/>
    <x v="10"/>
    <x v="47"/>
    <x v="47"/>
    <d v="2025-06-07T00:00:00"/>
    <m/>
    <s v="Day Off"/>
    <m/>
    <m/>
    <n v="0"/>
    <x v="1"/>
  </r>
  <r>
    <x v="0"/>
    <s v="Egypt"/>
    <x v="10"/>
    <x v="47"/>
    <x v="47"/>
    <d v="2025-06-08T00:00:00"/>
    <d v="1899-12-30T08:15:00"/>
    <s v="Planned Training"/>
    <m/>
    <m/>
    <n v="29700"/>
    <x v="1"/>
  </r>
  <r>
    <x v="0"/>
    <s v="Egypt"/>
    <x v="10"/>
    <x v="47"/>
    <x v="47"/>
    <d v="2025-06-09T00:00:00"/>
    <d v="1899-12-30T08:15:00"/>
    <s v="Planned Training"/>
    <m/>
    <m/>
    <n v="29700"/>
    <x v="1"/>
  </r>
  <r>
    <x v="0"/>
    <s v="Egypt"/>
    <x v="10"/>
    <x v="47"/>
    <x v="47"/>
    <d v="2025-06-10T00:00:00"/>
    <d v="1899-12-30T08:15:00"/>
    <s v="Planned Training"/>
    <m/>
    <m/>
    <n v="29700"/>
    <x v="1"/>
  </r>
  <r>
    <x v="0"/>
    <s v="Egypt"/>
    <x v="10"/>
    <x v="47"/>
    <x v="47"/>
    <d v="2025-06-11T00:00:00"/>
    <d v="1899-12-30T08:15:00"/>
    <s v="Planned Training"/>
    <m/>
    <m/>
    <n v="29700"/>
    <x v="1"/>
  </r>
  <r>
    <x v="0"/>
    <s v="Egypt"/>
    <x v="10"/>
    <x v="47"/>
    <x v="47"/>
    <d v="2025-06-12T00:00:00"/>
    <d v="1899-12-30T08:15:00"/>
    <s v="Planned Training"/>
    <m/>
    <m/>
    <n v="29700"/>
    <x v="1"/>
  </r>
  <r>
    <x v="0"/>
    <s v="Egypt"/>
    <x v="10"/>
    <x v="47"/>
    <x v="47"/>
    <d v="2025-06-13T00:00:00"/>
    <m/>
    <s v="Day Off"/>
    <m/>
    <m/>
    <n v="0"/>
    <x v="1"/>
  </r>
  <r>
    <x v="0"/>
    <s v="Egypt"/>
    <x v="10"/>
    <x v="47"/>
    <x v="47"/>
    <d v="2025-06-14T00:00:00"/>
    <m/>
    <s v="Day Off"/>
    <m/>
    <m/>
    <n v="0"/>
    <x v="1"/>
  </r>
  <r>
    <x v="0"/>
    <s v="Egypt"/>
    <x v="10"/>
    <x v="47"/>
    <x v="47"/>
    <d v="2025-06-15T00:00:00"/>
    <d v="1899-12-30T08:15:00"/>
    <s v="Planned Training"/>
    <m/>
    <m/>
    <n v="29700"/>
    <x v="1"/>
  </r>
  <r>
    <x v="0"/>
    <s v="Egypt"/>
    <x v="10"/>
    <x v="47"/>
    <x v="47"/>
    <d v="2025-06-16T00:00:00"/>
    <d v="1899-12-30T08:15:00"/>
    <s v="Non Telecom"/>
    <d v="1899-12-30T13:00:00"/>
    <d v="1899-12-30T21:15:00"/>
    <n v="29700"/>
    <x v="0"/>
  </r>
  <r>
    <x v="0"/>
    <s v="Egypt"/>
    <x v="10"/>
    <x v="47"/>
    <x v="47"/>
    <m/>
    <m/>
    <s v="No Swap"/>
    <d v="1899-12-30T13:00:00"/>
    <d v="1899-12-30T13:15:00"/>
    <n v="0"/>
    <x v="1"/>
  </r>
  <r>
    <x v="0"/>
    <s v="Egypt"/>
    <x v="10"/>
    <x v="47"/>
    <x v="47"/>
    <m/>
    <m/>
    <s v="Break 15 Morning"/>
    <d v="1899-12-30T14:30:00"/>
    <d v="1899-12-30T14:45:00"/>
    <n v="0"/>
    <x v="1"/>
  </r>
  <r>
    <x v="0"/>
    <s v="Egypt"/>
    <x v="10"/>
    <x v="47"/>
    <x v="47"/>
    <m/>
    <m/>
    <s v="Break 30 Morning"/>
    <d v="1899-12-30T17:30:00"/>
    <d v="1899-12-30T18:00:00"/>
    <n v="0"/>
    <x v="1"/>
  </r>
  <r>
    <x v="0"/>
    <s v="Egypt"/>
    <x v="10"/>
    <x v="47"/>
    <x v="47"/>
    <d v="2025-06-17T00:00:00"/>
    <d v="1899-12-30T08:15:00"/>
    <s v="Non Telecom"/>
    <d v="1899-12-30T13:00:00"/>
    <d v="1899-12-30T21:15:00"/>
    <n v="29700"/>
    <x v="0"/>
  </r>
  <r>
    <x v="0"/>
    <s v="Egypt"/>
    <x v="10"/>
    <x v="47"/>
    <x v="47"/>
    <m/>
    <m/>
    <s v="No Swap"/>
    <d v="1899-12-30T13:00:00"/>
    <d v="1899-12-30T13:15:00"/>
    <n v="0"/>
    <x v="1"/>
  </r>
  <r>
    <x v="0"/>
    <s v="Egypt"/>
    <x v="10"/>
    <x v="47"/>
    <x v="47"/>
    <m/>
    <m/>
    <s v="Break 15 Morning"/>
    <d v="1899-12-30T14:15:00"/>
    <d v="1899-12-30T14:30:00"/>
    <n v="0"/>
    <x v="1"/>
  </r>
  <r>
    <x v="0"/>
    <s v="Egypt"/>
    <x v="10"/>
    <x v="47"/>
    <x v="47"/>
    <m/>
    <m/>
    <s v="Break 30 Morning"/>
    <d v="1899-12-30T18:00:00"/>
    <d v="1899-12-30T18:30:00"/>
    <n v="0"/>
    <x v="1"/>
  </r>
  <r>
    <x v="0"/>
    <s v="Egypt"/>
    <x v="10"/>
    <x v="47"/>
    <x v="47"/>
    <d v="2025-06-18T00:00:00"/>
    <m/>
    <s v="Day Off"/>
    <m/>
    <m/>
    <n v="0"/>
    <x v="1"/>
  </r>
  <r>
    <x v="0"/>
    <s v="Egypt"/>
    <x v="10"/>
    <x v="47"/>
    <x v="47"/>
    <d v="2025-06-19T00:00:00"/>
    <m/>
    <s v="Day Off"/>
    <m/>
    <m/>
    <n v="0"/>
    <x v="1"/>
  </r>
  <r>
    <x v="0"/>
    <s v="Egypt"/>
    <x v="10"/>
    <x v="47"/>
    <x v="47"/>
    <d v="2025-06-20T00:00:00"/>
    <d v="1899-12-30T08:15:00"/>
    <s v="Non Telecom"/>
    <d v="1899-12-30T16:15:00"/>
    <s v="+12:30 AM"/>
    <n v="29700"/>
    <x v="0"/>
  </r>
  <r>
    <x v="0"/>
    <s v="Egypt"/>
    <x v="10"/>
    <x v="47"/>
    <x v="47"/>
    <m/>
    <m/>
    <s v="No Swap"/>
    <d v="1899-12-30T16:15:00"/>
    <d v="1899-12-30T16:30:00"/>
    <n v="0"/>
    <x v="1"/>
  </r>
  <r>
    <x v="0"/>
    <s v="Egypt"/>
    <x v="10"/>
    <x v="47"/>
    <x v="47"/>
    <m/>
    <m/>
    <s v="Break 15 Night"/>
    <d v="1899-12-30T17:45:00"/>
    <d v="1899-12-30T18:00:00"/>
    <n v="0"/>
    <x v="1"/>
  </r>
  <r>
    <x v="0"/>
    <s v="Egypt"/>
    <x v="10"/>
    <x v="47"/>
    <x v="47"/>
    <m/>
    <m/>
    <s v="Break 30 Night"/>
    <d v="1899-12-30T20:45:00"/>
    <d v="1899-12-30T21:15:00"/>
    <n v="0"/>
    <x v="1"/>
  </r>
  <r>
    <x v="0"/>
    <s v="Egypt"/>
    <x v="10"/>
    <x v="47"/>
    <x v="47"/>
    <d v="2025-06-21T00:00:00"/>
    <d v="1899-12-30T08:15:00"/>
    <s v="Non Telecom"/>
    <d v="1899-12-30T16:15:00"/>
    <s v="+12:30 AM"/>
    <n v="29700"/>
    <x v="0"/>
  </r>
  <r>
    <x v="0"/>
    <s v="Egypt"/>
    <x v="10"/>
    <x v="47"/>
    <x v="47"/>
    <m/>
    <m/>
    <s v="No Swap"/>
    <d v="1899-12-30T16:15:00"/>
    <d v="1899-12-30T16:30:00"/>
    <n v="0"/>
    <x v="1"/>
  </r>
  <r>
    <x v="0"/>
    <s v="Egypt"/>
    <x v="10"/>
    <x v="47"/>
    <x v="47"/>
    <m/>
    <m/>
    <s v="Break 15 Night"/>
    <d v="1899-12-30T17:15:00"/>
    <d v="1899-12-30T17:30:00"/>
    <n v="0"/>
    <x v="1"/>
  </r>
  <r>
    <x v="0"/>
    <s v="Egypt"/>
    <x v="10"/>
    <x v="47"/>
    <x v="47"/>
    <m/>
    <m/>
    <s v="Break 30 Night"/>
    <d v="1899-12-30T20:30:00"/>
    <d v="1899-12-30T21:00:00"/>
    <n v="0"/>
    <x v="1"/>
  </r>
  <r>
    <x v="0"/>
    <s v="Egypt"/>
    <x v="10"/>
    <x v="47"/>
    <x v="47"/>
    <d v="2025-06-22T00:00:00"/>
    <d v="1899-12-30T08:15:00"/>
    <s v="Non Telecom"/>
    <d v="1899-12-30T16:15:00"/>
    <s v="+12:30 AM"/>
    <n v="29700"/>
    <x v="0"/>
  </r>
  <r>
    <x v="0"/>
    <s v="Egypt"/>
    <x v="10"/>
    <x v="47"/>
    <x v="47"/>
    <m/>
    <m/>
    <s v="No Swap"/>
    <d v="1899-12-30T16:45:00"/>
    <d v="1899-12-30T17:00:00"/>
    <n v="0"/>
    <x v="1"/>
  </r>
  <r>
    <x v="0"/>
    <s v="Egypt"/>
    <x v="10"/>
    <x v="47"/>
    <x v="47"/>
    <m/>
    <m/>
    <s v="Break 15 Night"/>
    <d v="1899-12-30T18:15:00"/>
    <d v="1899-12-30T18:30:00"/>
    <n v="0"/>
    <x v="1"/>
  </r>
  <r>
    <x v="0"/>
    <s v="Egypt"/>
    <x v="10"/>
    <x v="47"/>
    <x v="47"/>
    <m/>
    <m/>
    <s v="Break 30 Night"/>
    <d v="1899-12-30T20:45:00"/>
    <d v="1899-12-30T21:15:00"/>
    <n v="0"/>
    <x v="1"/>
  </r>
  <r>
    <x v="0"/>
    <s v="Egypt"/>
    <x v="10"/>
    <x v="47"/>
    <x v="47"/>
    <d v="2025-06-23T00:00:00"/>
    <d v="1899-12-30T08:15:00"/>
    <s v="Non Telecom"/>
    <d v="1899-12-30T16:15:00"/>
    <s v="+12:30 AM"/>
    <n v="29700"/>
    <x v="0"/>
  </r>
  <r>
    <x v="0"/>
    <s v="Egypt"/>
    <x v="10"/>
    <x v="47"/>
    <x v="47"/>
    <m/>
    <m/>
    <s v="No Swap"/>
    <d v="1899-12-30T17:00:00"/>
    <d v="1899-12-30T17:15:00"/>
    <n v="0"/>
    <x v="1"/>
  </r>
  <r>
    <x v="0"/>
    <s v="Egypt"/>
    <x v="10"/>
    <x v="47"/>
    <x v="47"/>
    <m/>
    <m/>
    <s v="Break 15 Night"/>
    <d v="1899-12-30T18:15:00"/>
    <d v="1899-12-30T18:30:00"/>
    <n v="0"/>
    <x v="1"/>
  </r>
  <r>
    <x v="0"/>
    <s v="Egypt"/>
    <x v="10"/>
    <x v="47"/>
    <x v="47"/>
    <m/>
    <m/>
    <s v="Break 30 Night"/>
    <d v="1899-12-30T20:30:00"/>
    <d v="1899-12-30T21:00:00"/>
    <n v="0"/>
    <x v="1"/>
  </r>
  <r>
    <x v="0"/>
    <s v="Egypt"/>
    <x v="10"/>
    <x v="47"/>
    <x v="47"/>
    <d v="2025-06-24T00:00:00"/>
    <m/>
    <s v="Day Off"/>
    <m/>
    <m/>
    <n v="0"/>
    <x v="1"/>
  </r>
  <r>
    <x v="0"/>
    <s v="Egypt"/>
    <x v="10"/>
    <x v="47"/>
    <x v="47"/>
    <d v="2025-06-25T00:00:00"/>
    <m/>
    <s v="Day Off"/>
    <m/>
    <m/>
    <n v="0"/>
    <x v="1"/>
  </r>
  <r>
    <x v="0"/>
    <s v="Egypt"/>
    <x v="10"/>
    <x v="47"/>
    <x v="47"/>
    <d v="2025-06-26T00:00:00"/>
    <d v="1899-12-30T08:15:00"/>
    <s v="Non Telecom"/>
    <d v="1899-12-30T16:15:00"/>
    <s v="+12:30 AM"/>
    <n v="29700"/>
    <x v="0"/>
  </r>
  <r>
    <x v="0"/>
    <s v="Egypt"/>
    <x v="10"/>
    <x v="47"/>
    <x v="47"/>
    <m/>
    <m/>
    <s v="No Swap"/>
    <d v="1899-12-30T16:30:00"/>
    <d v="1899-12-30T16:45:00"/>
    <n v="0"/>
    <x v="1"/>
  </r>
  <r>
    <x v="0"/>
    <s v="Egypt"/>
    <x v="10"/>
    <x v="47"/>
    <x v="47"/>
    <m/>
    <m/>
    <s v="Break 15 Night"/>
    <d v="1899-12-30T17:15:00"/>
    <d v="1899-12-30T17:30:00"/>
    <n v="0"/>
    <x v="1"/>
  </r>
  <r>
    <x v="0"/>
    <s v="Egypt"/>
    <x v="10"/>
    <x v="47"/>
    <x v="47"/>
    <m/>
    <m/>
    <s v="Break 30 Night"/>
    <d v="1899-12-30T20:30:00"/>
    <d v="1899-12-30T21:00:00"/>
    <n v="0"/>
    <x v="1"/>
  </r>
  <r>
    <x v="0"/>
    <s v="Egypt"/>
    <x v="10"/>
    <x v="47"/>
    <x v="47"/>
    <d v="2025-06-27T00:00:00"/>
    <d v="1899-12-30T08:15:00"/>
    <s v="Non Telecom"/>
    <d v="1899-12-30T13:00:00"/>
    <d v="1899-12-30T21:15:00"/>
    <n v="29700"/>
    <x v="0"/>
  </r>
  <r>
    <x v="0"/>
    <s v="Egypt"/>
    <x v="10"/>
    <x v="47"/>
    <x v="47"/>
    <m/>
    <m/>
    <s v="Leave Exception"/>
    <d v="1899-12-30T13:00:00"/>
    <d v="1899-12-30T14:00:00"/>
    <n v="0"/>
    <x v="1"/>
  </r>
  <r>
    <x v="0"/>
    <s v="Egypt"/>
    <x v="10"/>
    <x v="47"/>
    <x v="47"/>
    <m/>
    <m/>
    <s v="No Swap"/>
    <d v="1899-12-30T14:00:00"/>
    <d v="1899-12-30T14:15:00"/>
    <n v="0"/>
    <x v="1"/>
  </r>
  <r>
    <x v="0"/>
    <s v="Egypt"/>
    <x v="10"/>
    <x v="47"/>
    <x v="47"/>
    <m/>
    <m/>
    <s v="Break 15 Morning"/>
    <d v="1899-12-30T14:45:00"/>
    <d v="1899-12-30T15:00:00"/>
    <n v="0"/>
    <x v="1"/>
  </r>
  <r>
    <x v="0"/>
    <s v="Egypt"/>
    <x v="10"/>
    <x v="47"/>
    <x v="47"/>
    <m/>
    <m/>
    <s v="Break 30 Morning"/>
    <d v="1899-12-30T18:15:00"/>
    <d v="1899-12-30T18:45:00"/>
    <n v="0"/>
    <x v="1"/>
  </r>
  <r>
    <x v="0"/>
    <s v="Egypt"/>
    <x v="10"/>
    <x v="47"/>
    <x v="47"/>
    <d v="2025-06-28T00:00:00"/>
    <d v="1899-12-30T08:15:00"/>
    <s v="Non Telecom"/>
    <d v="1899-12-30T13:00:00"/>
    <d v="1899-12-30T21:15:00"/>
    <n v="29700"/>
    <x v="0"/>
  </r>
  <r>
    <x v="0"/>
    <s v="Egypt"/>
    <x v="10"/>
    <x v="47"/>
    <x v="47"/>
    <m/>
    <m/>
    <s v="No Swap"/>
    <d v="1899-12-30T13:00:00"/>
    <d v="1899-12-30T13:15:00"/>
    <n v="0"/>
    <x v="1"/>
  </r>
  <r>
    <x v="0"/>
    <s v="Egypt"/>
    <x v="10"/>
    <x v="47"/>
    <x v="47"/>
    <m/>
    <m/>
    <s v="Break 15 Morning"/>
    <d v="1899-12-30T14:45:00"/>
    <d v="1899-12-30T15:00:00"/>
    <n v="0"/>
    <x v="1"/>
  </r>
  <r>
    <x v="0"/>
    <s v="Egypt"/>
    <x v="10"/>
    <x v="47"/>
    <x v="47"/>
    <m/>
    <m/>
    <s v="Break 30 Morning"/>
    <d v="1899-12-30T18:00:00"/>
    <d v="1899-12-30T18:30:00"/>
    <n v="0"/>
    <x v="1"/>
  </r>
  <r>
    <x v="0"/>
    <s v="Egypt"/>
    <x v="10"/>
    <x v="47"/>
    <x v="47"/>
    <d v="2025-06-29T00:00:00"/>
    <d v="1899-12-30T08:15:00"/>
    <s v="Non Telecom"/>
    <d v="1899-12-30T13:00:00"/>
    <d v="1899-12-30T21:15:00"/>
    <n v="29700"/>
    <x v="0"/>
  </r>
  <r>
    <x v="0"/>
    <s v="Egypt"/>
    <x v="10"/>
    <x v="47"/>
    <x v="47"/>
    <m/>
    <m/>
    <s v="Break 15 Morning"/>
    <d v="1899-12-30T14:30:00"/>
    <d v="1899-12-30T14:45:00"/>
    <n v="0"/>
    <x v="1"/>
  </r>
  <r>
    <x v="0"/>
    <s v="Egypt"/>
    <x v="10"/>
    <x v="47"/>
    <x v="47"/>
    <m/>
    <m/>
    <s v="Break 30 Morning"/>
    <d v="1899-12-30T18:00:00"/>
    <d v="1899-12-30T18:30:00"/>
    <n v="0"/>
    <x v="1"/>
  </r>
  <r>
    <x v="0"/>
    <s v="Egypt"/>
    <x v="10"/>
    <x v="47"/>
    <x v="47"/>
    <d v="2025-06-30T00:00:00"/>
    <m/>
    <s v="Day Off"/>
    <m/>
    <m/>
    <n v="0"/>
    <x v="1"/>
  </r>
  <r>
    <x v="0"/>
    <s v="Egypt"/>
    <x v="10"/>
    <x v="48"/>
    <x v="48"/>
    <d v="2025-06-01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7:15:00"/>
    <d v="1899-12-30T17:30:00"/>
    <n v="0"/>
    <x v="1"/>
  </r>
  <r>
    <x v="0"/>
    <s v="Egypt"/>
    <x v="10"/>
    <x v="48"/>
    <x v="48"/>
    <m/>
    <m/>
    <s v="Break 30 Morning"/>
    <d v="1899-12-30T20:15:00"/>
    <d v="1899-12-30T20:45:00"/>
    <n v="0"/>
    <x v="1"/>
  </r>
  <r>
    <x v="0"/>
    <s v="Egypt"/>
    <x v="10"/>
    <x v="48"/>
    <x v="48"/>
    <d v="2025-06-02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6:45:00"/>
    <d v="1899-12-30T17:00:00"/>
    <n v="0"/>
    <x v="1"/>
  </r>
  <r>
    <x v="0"/>
    <s v="Egypt"/>
    <x v="10"/>
    <x v="48"/>
    <x v="48"/>
    <m/>
    <m/>
    <s v="Break 30 Morning"/>
    <d v="1899-12-30T20:15:00"/>
    <d v="1899-12-30T20:45:00"/>
    <n v="0"/>
    <x v="1"/>
  </r>
  <r>
    <x v="0"/>
    <s v="Egypt"/>
    <x v="10"/>
    <x v="48"/>
    <x v="48"/>
    <d v="2025-06-03T00:00:00"/>
    <m/>
    <s v="Day Off"/>
    <m/>
    <m/>
    <n v="0"/>
    <x v="1"/>
  </r>
  <r>
    <x v="0"/>
    <s v="Egypt"/>
    <x v="10"/>
    <x v="48"/>
    <x v="48"/>
    <d v="2025-06-04T00:00:00"/>
    <m/>
    <s v="Day Off"/>
    <m/>
    <m/>
    <n v="0"/>
    <x v="1"/>
  </r>
  <r>
    <x v="0"/>
    <s v="Egypt"/>
    <x v="10"/>
    <x v="48"/>
    <x v="48"/>
    <d v="2025-06-05T00:00:00"/>
    <d v="1899-12-30T08:15:00"/>
    <s v="Non Telecom"/>
    <d v="1899-12-30T21:00:00"/>
    <s v="+5:15 AM"/>
    <n v="29700"/>
    <x v="0"/>
  </r>
  <r>
    <x v="0"/>
    <s v="Egypt"/>
    <x v="10"/>
    <x v="48"/>
    <x v="48"/>
    <m/>
    <m/>
    <s v="Break 15 Night"/>
    <d v="1899-12-30T23:00:00"/>
    <d v="1899-12-30T23:15:00"/>
    <n v="0"/>
    <x v="1"/>
  </r>
  <r>
    <x v="0"/>
    <s v="Egypt"/>
    <x v="10"/>
    <x v="48"/>
    <x v="48"/>
    <m/>
    <m/>
    <s v="Break 30 Night"/>
    <s v="+2:15 AM"/>
    <s v="+2:45 AM"/>
    <n v="0"/>
    <x v="1"/>
  </r>
  <r>
    <x v="0"/>
    <s v="Egypt"/>
    <x v="10"/>
    <x v="48"/>
    <x v="48"/>
    <d v="2025-06-06T00:00:00"/>
    <d v="1899-12-30T08:15:00"/>
    <s v="Non Telecom"/>
    <d v="1899-12-30T21:00:00"/>
    <s v="+5:15 AM"/>
    <n v="29700"/>
    <x v="0"/>
  </r>
  <r>
    <x v="0"/>
    <s v="Egypt"/>
    <x v="10"/>
    <x v="48"/>
    <x v="48"/>
    <m/>
    <m/>
    <s v="Break 15 Night"/>
    <d v="1899-12-30T22:00:00"/>
    <d v="1899-12-30T22:15:00"/>
    <n v="0"/>
    <x v="1"/>
  </r>
  <r>
    <x v="0"/>
    <s v="Egypt"/>
    <x v="10"/>
    <x v="48"/>
    <x v="48"/>
    <m/>
    <m/>
    <s v="Break 30 Night"/>
    <s v="+1:00 AM"/>
    <s v="+1:30 AM"/>
    <n v="0"/>
    <x v="1"/>
  </r>
  <r>
    <x v="0"/>
    <s v="Egypt"/>
    <x v="10"/>
    <x v="48"/>
    <x v="48"/>
    <d v="2025-06-07T00:00:00"/>
    <d v="1899-12-30T08:15:00"/>
    <s v="Public holiday"/>
    <m/>
    <m/>
    <n v="29700"/>
    <x v="1"/>
  </r>
  <r>
    <x v="0"/>
    <s v="Egypt"/>
    <x v="10"/>
    <x v="48"/>
    <x v="48"/>
    <d v="2025-06-08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6:45:00"/>
    <d v="1899-12-30T17:00:00"/>
    <n v="0"/>
    <x v="1"/>
  </r>
  <r>
    <x v="0"/>
    <s v="Egypt"/>
    <x v="10"/>
    <x v="48"/>
    <x v="48"/>
    <m/>
    <m/>
    <s v="Break 30 Morning"/>
    <d v="1899-12-30T20:15:00"/>
    <d v="1899-12-30T20:45:00"/>
    <n v="0"/>
    <x v="1"/>
  </r>
  <r>
    <x v="0"/>
    <s v="Egypt"/>
    <x v="10"/>
    <x v="48"/>
    <x v="48"/>
    <d v="2025-06-09T00:00:00"/>
    <m/>
    <s v="Day Off"/>
    <m/>
    <m/>
    <n v="0"/>
    <x v="1"/>
  </r>
  <r>
    <x v="0"/>
    <s v="Egypt"/>
    <x v="10"/>
    <x v="48"/>
    <x v="48"/>
    <d v="2025-06-10T00:00:00"/>
    <m/>
    <s v="Day Off"/>
    <m/>
    <m/>
    <n v="0"/>
    <x v="1"/>
  </r>
  <r>
    <x v="0"/>
    <s v="Egypt"/>
    <x v="10"/>
    <x v="48"/>
    <x v="48"/>
    <d v="2025-06-11T00:00:00"/>
    <d v="1899-12-30T08:15:00"/>
    <s v="Non Telecom"/>
    <d v="1899-12-30T21:00:00"/>
    <s v="+5:15 AM"/>
    <n v="29700"/>
    <x v="0"/>
  </r>
  <r>
    <x v="0"/>
    <s v="Egypt"/>
    <x v="10"/>
    <x v="48"/>
    <x v="48"/>
    <m/>
    <m/>
    <s v="Break 15 Night"/>
    <d v="1899-12-30T22:15:00"/>
    <d v="1899-12-30T22:30:00"/>
    <n v="0"/>
    <x v="1"/>
  </r>
  <r>
    <x v="0"/>
    <s v="Egypt"/>
    <x v="10"/>
    <x v="48"/>
    <x v="48"/>
    <m/>
    <m/>
    <s v="Break 30 Night"/>
    <s v="+1:30 AM"/>
    <s v="+2:00 AM"/>
    <n v="0"/>
    <x v="1"/>
  </r>
  <r>
    <x v="0"/>
    <s v="Egypt"/>
    <x v="10"/>
    <x v="48"/>
    <x v="48"/>
    <d v="2025-06-12T00:00:00"/>
    <d v="1899-12-30T08:15:00"/>
    <s v="Non Telecom"/>
    <d v="1899-12-30T21:00:00"/>
    <s v="+5:15 AM"/>
    <n v="29700"/>
    <x v="0"/>
  </r>
  <r>
    <x v="0"/>
    <s v="Egypt"/>
    <x v="10"/>
    <x v="48"/>
    <x v="48"/>
    <m/>
    <m/>
    <s v="Break 15 Night"/>
    <d v="1899-12-30T22:45:00"/>
    <d v="1899-12-30T23:00:00"/>
    <n v="0"/>
    <x v="1"/>
  </r>
  <r>
    <x v="0"/>
    <s v="Egypt"/>
    <x v="10"/>
    <x v="48"/>
    <x v="48"/>
    <m/>
    <m/>
    <s v="Break 30 Night"/>
    <s v="+1:30 AM"/>
    <s v="+2:00 AM"/>
    <n v="0"/>
    <x v="1"/>
  </r>
  <r>
    <x v="0"/>
    <s v="Egypt"/>
    <x v="10"/>
    <x v="48"/>
    <x v="48"/>
    <d v="2025-06-13T00:00:00"/>
    <d v="1899-12-30T08:15:00"/>
    <s v="Annual Exception"/>
    <m/>
    <m/>
    <n v="29700"/>
    <x v="1"/>
  </r>
  <r>
    <x v="0"/>
    <s v="Egypt"/>
    <x v="10"/>
    <x v="48"/>
    <x v="48"/>
    <d v="2025-06-14T00:00:00"/>
    <d v="1899-12-30T08:15:00"/>
    <s v="Non Telecom"/>
    <d v="1899-12-30T21:00:00"/>
    <s v="+5:15 AM"/>
    <n v="29700"/>
    <x v="0"/>
  </r>
  <r>
    <x v="0"/>
    <s v="Egypt"/>
    <x v="10"/>
    <x v="48"/>
    <x v="48"/>
    <m/>
    <m/>
    <s v="Break 15 Night"/>
    <d v="1899-12-30T22:30:00"/>
    <d v="1899-12-30T22:45:00"/>
    <n v="0"/>
    <x v="1"/>
  </r>
  <r>
    <x v="0"/>
    <s v="Egypt"/>
    <x v="10"/>
    <x v="48"/>
    <x v="48"/>
    <m/>
    <m/>
    <s v="Break 30 Night"/>
    <s v="+1:15 AM"/>
    <s v="+1:45 AM"/>
    <n v="0"/>
    <x v="1"/>
  </r>
  <r>
    <x v="0"/>
    <s v="Egypt"/>
    <x v="10"/>
    <x v="48"/>
    <x v="48"/>
    <d v="2025-06-15T00:00:00"/>
    <m/>
    <s v="Day Off"/>
    <m/>
    <m/>
    <n v="0"/>
    <x v="1"/>
  </r>
  <r>
    <x v="0"/>
    <s v="Egypt"/>
    <x v="10"/>
    <x v="48"/>
    <x v="48"/>
    <d v="2025-06-16T00:00:00"/>
    <m/>
    <s v="Day Off"/>
    <m/>
    <m/>
    <n v="0"/>
    <x v="1"/>
  </r>
  <r>
    <x v="0"/>
    <s v="Egypt"/>
    <x v="10"/>
    <x v="48"/>
    <x v="48"/>
    <d v="2025-06-17T00:00:00"/>
    <d v="1899-12-30T08:15:00"/>
    <s v="Non Telecom"/>
    <d v="1899-12-30T19:15:00"/>
    <s v="+3:30 AM"/>
    <n v="29700"/>
    <x v="0"/>
  </r>
  <r>
    <x v="0"/>
    <s v="Egypt"/>
    <x v="10"/>
    <x v="48"/>
    <x v="48"/>
    <m/>
    <m/>
    <s v="Break 15 Night"/>
    <d v="1899-12-30T21:45:00"/>
    <d v="1899-12-30T22:00:00"/>
    <n v="0"/>
    <x v="1"/>
  </r>
  <r>
    <x v="0"/>
    <s v="Egypt"/>
    <x v="10"/>
    <x v="48"/>
    <x v="48"/>
    <m/>
    <m/>
    <s v="Break 30 Night"/>
    <s v="+12:30 AM"/>
    <s v="+1:00 AM"/>
    <n v="0"/>
    <x v="1"/>
  </r>
  <r>
    <x v="0"/>
    <s v="Egypt"/>
    <x v="10"/>
    <x v="48"/>
    <x v="48"/>
    <d v="2025-06-18T00:00:00"/>
    <d v="1899-12-30T08:15:00"/>
    <s v="Non Telecom"/>
    <d v="1899-12-30T19:15:00"/>
    <s v="+3:30 AM"/>
    <n v="29700"/>
    <x v="0"/>
  </r>
  <r>
    <x v="0"/>
    <s v="Egypt"/>
    <x v="10"/>
    <x v="48"/>
    <x v="48"/>
    <m/>
    <m/>
    <s v="Break 15 Night"/>
    <d v="1899-12-30T22:15:00"/>
    <d v="1899-12-30T22:30:00"/>
    <n v="0"/>
    <x v="1"/>
  </r>
  <r>
    <x v="0"/>
    <s v="Egypt"/>
    <x v="10"/>
    <x v="48"/>
    <x v="48"/>
    <m/>
    <m/>
    <s v="Break 30 Night"/>
    <s v="+1:15 AM"/>
    <s v="+1:45 AM"/>
    <n v="0"/>
    <x v="1"/>
  </r>
  <r>
    <x v="0"/>
    <s v="Egypt"/>
    <x v="10"/>
    <x v="48"/>
    <x v="48"/>
    <d v="2025-06-19T00:00:00"/>
    <d v="1899-12-30T08:15:00"/>
    <s v="Non Telecom"/>
    <d v="1899-12-30T19:15:00"/>
    <s v="+3:30 AM"/>
    <n v="29700"/>
    <x v="0"/>
  </r>
  <r>
    <x v="0"/>
    <s v="Egypt"/>
    <x v="10"/>
    <x v="48"/>
    <x v="48"/>
    <m/>
    <m/>
    <s v="Break 15 Night"/>
    <d v="1899-12-30T22:30:00"/>
    <d v="1899-12-30T22:45:00"/>
    <n v="0"/>
    <x v="1"/>
  </r>
  <r>
    <x v="0"/>
    <s v="Egypt"/>
    <x v="10"/>
    <x v="48"/>
    <x v="48"/>
    <m/>
    <m/>
    <s v="Break 30 Night"/>
    <s v="+1:30 AM"/>
    <s v="+2:00 AM"/>
    <n v="0"/>
    <x v="1"/>
  </r>
  <r>
    <x v="0"/>
    <s v="Egypt"/>
    <x v="10"/>
    <x v="48"/>
    <x v="48"/>
    <d v="2025-06-20T00:00:00"/>
    <d v="1899-12-30T08:15:00"/>
    <s v="Non Telecom"/>
    <d v="1899-12-30T19:00:00"/>
    <s v="+3:15 AM"/>
    <n v="29700"/>
    <x v="0"/>
  </r>
  <r>
    <x v="0"/>
    <s v="Egypt"/>
    <x v="10"/>
    <x v="48"/>
    <x v="48"/>
    <m/>
    <m/>
    <s v="Break 15 Night"/>
    <d v="1899-12-30T21:30:00"/>
    <d v="1899-12-30T21:45:00"/>
    <n v="0"/>
    <x v="1"/>
  </r>
  <r>
    <x v="0"/>
    <s v="Egypt"/>
    <x v="10"/>
    <x v="48"/>
    <x v="48"/>
    <m/>
    <m/>
    <s v="Break 30 Night"/>
    <s v="+12:15 AM"/>
    <s v="+12:45 AM"/>
    <n v="0"/>
    <x v="1"/>
  </r>
  <r>
    <x v="0"/>
    <s v="Egypt"/>
    <x v="10"/>
    <x v="48"/>
    <x v="48"/>
    <d v="2025-06-21T00:00:00"/>
    <d v="1899-12-30T08:15:00"/>
    <s v="Non Telecom"/>
    <d v="1899-12-30T19:15:00"/>
    <s v="+3:30 AM"/>
    <n v="29700"/>
    <x v="0"/>
  </r>
  <r>
    <x v="0"/>
    <s v="Egypt"/>
    <x v="10"/>
    <x v="48"/>
    <x v="48"/>
    <m/>
    <m/>
    <s v="Break 15 Night"/>
    <d v="1899-12-30T21:45:00"/>
    <d v="1899-12-30T22:00:00"/>
    <n v="0"/>
    <x v="1"/>
  </r>
  <r>
    <x v="0"/>
    <s v="Egypt"/>
    <x v="10"/>
    <x v="48"/>
    <x v="48"/>
    <m/>
    <m/>
    <s v="Break 30 Night"/>
    <s v="+1:00 AM"/>
    <s v="+1:30 AM"/>
    <n v="0"/>
    <x v="1"/>
  </r>
  <r>
    <x v="0"/>
    <s v="Egypt"/>
    <x v="10"/>
    <x v="48"/>
    <x v="48"/>
    <d v="2025-06-22T00:00:00"/>
    <m/>
    <s v="Day Off"/>
    <m/>
    <m/>
    <n v="0"/>
    <x v="1"/>
  </r>
  <r>
    <x v="0"/>
    <s v="Egypt"/>
    <x v="10"/>
    <x v="48"/>
    <x v="48"/>
    <d v="2025-06-23T00:00:00"/>
    <d v="1899-12-30T08:15:00"/>
    <s v="Non Telecom"/>
    <d v="1899-12-30T14:00:00"/>
    <d v="1899-12-30T22:15:00"/>
    <n v="29700"/>
    <x v="0"/>
  </r>
  <r>
    <x v="0"/>
    <s v="Egypt"/>
    <x v="10"/>
    <x v="48"/>
    <x v="48"/>
    <m/>
    <m/>
    <s v="Break 15 Morning"/>
    <d v="1899-12-30T15:45:00"/>
    <d v="1899-12-30T16:00:00"/>
    <n v="0"/>
    <x v="1"/>
  </r>
  <r>
    <x v="0"/>
    <s v="Egypt"/>
    <x v="10"/>
    <x v="48"/>
    <x v="48"/>
    <m/>
    <m/>
    <s v="Break 30 Morning"/>
    <d v="1899-12-30T18:15:00"/>
    <d v="1899-12-30T18:45:00"/>
    <n v="0"/>
    <x v="1"/>
  </r>
  <r>
    <x v="0"/>
    <s v="Egypt"/>
    <x v="10"/>
    <x v="48"/>
    <x v="48"/>
    <d v="2025-06-24T00:00:00"/>
    <d v="1899-12-30T08:15:00"/>
    <s v="Non Telecom"/>
    <d v="1899-12-30T14:00:00"/>
    <d v="1899-12-30T22:15:00"/>
    <n v="29700"/>
    <x v="0"/>
  </r>
  <r>
    <x v="0"/>
    <s v="Egypt"/>
    <x v="10"/>
    <x v="48"/>
    <x v="48"/>
    <m/>
    <m/>
    <s v="Break 15 Morning"/>
    <d v="1899-12-30T16:30:00"/>
    <d v="1899-12-30T16:45:00"/>
    <n v="0"/>
    <x v="1"/>
  </r>
  <r>
    <x v="0"/>
    <s v="Egypt"/>
    <x v="10"/>
    <x v="48"/>
    <x v="48"/>
    <m/>
    <m/>
    <s v="Break 30 Morning"/>
    <d v="1899-12-30T19:15:00"/>
    <d v="1899-12-30T19:45:00"/>
    <n v="0"/>
    <x v="1"/>
  </r>
  <r>
    <x v="0"/>
    <s v="Egypt"/>
    <x v="10"/>
    <x v="48"/>
    <x v="48"/>
    <d v="2025-06-25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7:30:00"/>
    <d v="1899-12-30T17:45:00"/>
    <n v="0"/>
    <x v="1"/>
  </r>
  <r>
    <x v="0"/>
    <s v="Egypt"/>
    <x v="10"/>
    <x v="48"/>
    <x v="48"/>
    <m/>
    <m/>
    <s v="Break 30 Morning"/>
    <d v="1899-12-30T20:00:00"/>
    <d v="1899-12-30T20:30:00"/>
    <n v="0"/>
    <x v="1"/>
  </r>
  <r>
    <x v="0"/>
    <s v="Egypt"/>
    <x v="10"/>
    <x v="48"/>
    <x v="48"/>
    <d v="2025-06-26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7:00:00"/>
    <d v="1899-12-30T17:15:00"/>
    <n v="0"/>
    <x v="1"/>
  </r>
  <r>
    <x v="0"/>
    <s v="Egypt"/>
    <x v="10"/>
    <x v="48"/>
    <x v="48"/>
    <m/>
    <m/>
    <s v="Break 30 Morning"/>
    <d v="1899-12-30T20:00:00"/>
    <d v="1899-12-30T20:30:00"/>
    <n v="0"/>
    <x v="1"/>
  </r>
  <r>
    <x v="0"/>
    <s v="Egypt"/>
    <x v="10"/>
    <x v="48"/>
    <x v="48"/>
    <d v="2025-06-27T00:00:00"/>
    <d v="1899-12-30T08:15:00"/>
    <s v="Non Telecom"/>
    <d v="1899-12-30T15:00:00"/>
    <d v="1899-12-30T23:15:00"/>
    <n v="29700"/>
    <x v="0"/>
  </r>
  <r>
    <x v="0"/>
    <s v="Egypt"/>
    <x v="10"/>
    <x v="48"/>
    <x v="48"/>
    <m/>
    <m/>
    <s v="Break 15 Morning"/>
    <d v="1899-12-30T17:00:00"/>
    <d v="1899-12-30T17:15:00"/>
    <n v="0"/>
    <x v="1"/>
  </r>
  <r>
    <x v="0"/>
    <s v="Egypt"/>
    <x v="10"/>
    <x v="48"/>
    <x v="48"/>
    <m/>
    <m/>
    <s v="Break 30 Morning"/>
    <d v="1899-12-30T20:15:00"/>
    <d v="1899-12-30T20:45:00"/>
    <n v="0"/>
    <x v="1"/>
  </r>
  <r>
    <x v="0"/>
    <s v="Egypt"/>
    <x v="10"/>
    <x v="48"/>
    <x v="48"/>
    <d v="2025-06-28T00:00:00"/>
    <m/>
    <s v="Day Off"/>
    <m/>
    <m/>
    <n v="0"/>
    <x v="1"/>
  </r>
  <r>
    <x v="0"/>
    <s v="Egypt"/>
    <x v="10"/>
    <x v="48"/>
    <x v="48"/>
    <d v="2025-06-29T00:00:00"/>
    <d v="1899-12-30T09:30:00"/>
    <s v="Non Telecom"/>
    <d v="1899-12-30T15:00:00"/>
    <s v="+12:30 AM"/>
    <n v="34200"/>
    <x v="0"/>
  </r>
  <r>
    <x v="0"/>
    <s v="Egypt"/>
    <x v="10"/>
    <x v="48"/>
    <x v="48"/>
    <m/>
    <m/>
    <s v="Shift Move"/>
    <d v="1899-12-30T15:00:00"/>
    <d v="1899-12-30T16:15:00"/>
    <n v="0"/>
    <x v="1"/>
  </r>
  <r>
    <x v="0"/>
    <s v="Egypt"/>
    <x v="10"/>
    <x v="48"/>
    <x v="48"/>
    <m/>
    <m/>
    <s v="Break 15 Morning"/>
    <d v="1899-12-30T18:00:00"/>
    <d v="1899-12-30T18:15:00"/>
    <n v="0"/>
    <x v="1"/>
  </r>
  <r>
    <x v="0"/>
    <s v="Egypt"/>
    <x v="10"/>
    <x v="48"/>
    <x v="48"/>
    <m/>
    <m/>
    <s v="Break 30 Morning"/>
    <d v="1899-12-30T21:00:00"/>
    <d v="1899-12-30T21:30:00"/>
    <n v="0"/>
    <x v="1"/>
  </r>
  <r>
    <x v="0"/>
    <s v="Egypt"/>
    <x v="10"/>
    <x v="48"/>
    <x v="48"/>
    <d v="2025-06-30T00:00:00"/>
    <d v="1899-12-30T08:15:00"/>
    <s v="Annual Exception"/>
    <m/>
    <m/>
    <n v="29700"/>
    <x v="1"/>
  </r>
  <r>
    <x v="0"/>
    <s v="Egypt"/>
    <x v="10"/>
    <x v="49"/>
    <x v="49"/>
    <d v="2025-06-01T00:00:00"/>
    <d v="1899-12-30T08:15:00"/>
    <s v="Annual Exception"/>
    <m/>
    <m/>
    <n v="29700"/>
    <x v="1"/>
  </r>
  <r>
    <x v="0"/>
    <s v="Egypt"/>
    <x v="10"/>
    <x v="49"/>
    <x v="49"/>
    <d v="2025-06-02T00:00:00"/>
    <d v="1899-12-30T08:15:00"/>
    <s v="Non Telecom"/>
    <d v="1899-12-30T15:00:00"/>
    <d v="1899-12-30T23:15:00"/>
    <n v="29700"/>
    <x v="0"/>
  </r>
  <r>
    <x v="0"/>
    <s v="Egypt"/>
    <x v="10"/>
    <x v="49"/>
    <x v="49"/>
    <m/>
    <m/>
    <s v="Break 15 Morning"/>
    <d v="1899-12-30T16:45:00"/>
    <d v="1899-12-30T17:00:00"/>
    <n v="0"/>
    <x v="1"/>
  </r>
  <r>
    <x v="0"/>
    <s v="Egypt"/>
    <x v="10"/>
    <x v="49"/>
    <x v="49"/>
    <m/>
    <m/>
    <s v="Break 30 Morning"/>
    <d v="1899-12-30T20:15:00"/>
    <d v="1899-12-30T20:45:00"/>
    <n v="0"/>
    <x v="1"/>
  </r>
  <r>
    <x v="0"/>
    <s v="Egypt"/>
    <x v="10"/>
    <x v="49"/>
    <x v="49"/>
    <d v="2025-06-03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Break 15 Night"/>
    <d v="1899-12-30T20:15:00"/>
    <d v="1899-12-30T20:30:00"/>
    <n v="0"/>
    <x v="1"/>
  </r>
  <r>
    <x v="0"/>
    <s v="Egypt"/>
    <x v="10"/>
    <x v="49"/>
    <x v="49"/>
    <m/>
    <m/>
    <s v="Break 30 Night"/>
    <d v="1899-12-30T23:15:00"/>
    <d v="1899-12-30T23:45:00"/>
    <n v="0"/>
    <x v="1"/>
  </r>
  <r>
    <x v="0"/>
    <s v="Egypt"/>
    <x v="10"/>
    <x v="49"/>
    <x v="49"/>
    <d v="2025-06-04T00:00:00"/>
    <m/>
    <s v="Day Off"/>
    <m/>
    <m/>
    <n v="0"/>
    <x v="1"/>
  </r>
  <r>
    <x v="0"/>
    <s v="Egypt"/>
    <x v="10"/>
    <x v="49"/>
    <x v="49"/>
    <d v="2025-06-05T00:00:00"/>
    <m/>
    <s v="Day Off"/>
    <m/>
    <m/>
    <n v="0"/>
    <x v="1"/>
  </r>
  <r>
    <x v="0"/>
    <s v="Egypt"/>
    <x v="10"/>
    <x v="49"/>
    <x v="49"/>
    <d v="2025-06-06T00:00:00"/>
    <d v="1899-12-30T08:15:00"/>
    <s v="Non Telecom"/>
    <d v="1899-12-30T15:00:00"/>
    <d v="1899-12-30T23:15:00"/>
    <n v="29700"/>
    <x v="0"/>
  </r>
  <r>
    <x v="0"/>
    <s v="Egypt"/>
    <x v="10"/>
    <x v="49"/>
    <x v="49"/>
    <m/>
    <m/>
    <s v="Break 15 Morning"/>
    <d v="1899-12-30T16:15:00"/>
    <d v="1899-12-30T16:30:00"/>
    <n v="0"/>
    <x v="1"/>
  </r>
  <r>
    <x v="0"/>
    <s v="Egypt"/>
    <x v="10"/>
    <x v="49"/>
    <x v="49"/>
    <m/>
    <m/>
    <s v="Break 30 Morning"/>
    <d v="1899-12-30T19:30:00"/>
    <d v="1899-12-30T20:00:00"/>
    <n v="0"/>
    <x v="1"/>
  </r>
  <r>
    <x v="0"/>
    <s v="Egypt"/>
    <x v="10"/>
    <x v="49"/>
    <x v="49"/>
    <d v="2025-06-07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Shift Swap"/>
    <d v="1899-12-30T19:15:00"/>
    <d v="1899-12-30T19:30:00"/>
    <n v="0"/>
    <x v="1"/>
  </r>
  <r>
    <x v="0"/>
    <s v="Egypt"/>
    <x v="10"/>
    <x v="49"/>
    <x v="49"/>
    <m/>
    <m/>
    <s v="Break 15 Night"/>
    <d v="1899-12-30T21:30:00"/>
    <d v="1899-12-30T21:45:00"/>
    <n v="0"/>
    <x v="1"/>
  </r>
  <r>
    <x v="0"/>
    <s v="Egypt"/>
    <x v="10"/>
    <x v="49"/>
    <x v="49"/>
    <m/>
    <m/>
    <s v="Break 30 Night"/>
    <s v="+12:45 AM"/>
    <s v="+1:15 AM"/>
    <n v="0"/>
    <x v="1"/>
  </r>
  <r>
    <x v="0"/>
    <s v="Egypt"/>
    <x v="10"/>
    <x v="49"/>
    <x v="49"/>
    <d v="2025-06-08T00:00:00"/>
    <d v="1899-12-30T08:15:00"/>
    <s v="Public holiday"/>
    <m/>
    <m/>
    <n v="29700"/>
    <x v="1"/>
  </r>
  <r>
    <x v="0"/>
    <s v="Egypt"/>
    <x v="10"/>
    <x v="49"/>
    <x v="49"/>
    <d v="2025-06-09T00:00:00"/>
    <d v="1899-12-30T08:15:00"/>
    <s v="Non Telecom"/>
    <d v="1899-12-30T15:00:00"/>
    <d v="1899-12-30T23:15:00"/>
    <n v="29700"/>
    <x v="0"/>
  </r>
  <r>
    <x v="0"/>
    <s v="Egypt"/>
    <x v="10"/>
    <x v="49"/>
    <x v="49"/>
    <m/>
    <m/>
    <s v="Break 15 Morning"/>
    <d v="1899-12-30T16:45:00"/>
    <d v="1899-12-30T17:00:00"/>
    <n v="0"/>
    <x v="1"/>
  </r>
  <r>
    <x v="0"/>
    <s v="Egypt"/>
    <x v="10"/>
    <x v="49"/>
    <x v="49"/>
    <m/>
    <m/>
    <s v="Break 30 Morning"/>
    <d v="1899-12-30T20:00:00"/>
    <d v="1899-12-30T20:30:00"/>
    <n v="0"/>
    <x v="1"/>
  </r>
  <r>
    <x v="0"/>
    <s v="Egypt"/>
    <x v="10"/>
    <x v="49"/>
    <x v="49"/>
    <d v="2025-06-10T00:00:00"/>
    <m/>
    <s v="Day Off"/>
    <m/>
    <m/>
    <n v="0"/>
    <x v="1"/>
  </r>
  <r>
    <x v="0"/>
    <s v="Egypt"/>
    <x v="10"/>
    <x v="49"/>
    <x v="49"/>
    <d v="2025-06-11T00:00:00"/>
    <m/>
    <s v="Day Off"/>
    <m/>
    <m/>
    <n v="0"/>
    <x v="1"/>
  </r>
  <r>
    <x v="0"/>
    <s v="Egypt"/>
    <x v="10"/>
    <x v="49"/>
    <x v="49"/>
    <d v="2025-06-12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00:00"/>
    <d v="1899-12-30T22:15:00"/>
    <n v="0"/>
    <x v="1"/>
  </r>
  <r>
    <x v="0"/>
    <s v="Egypt"/>
    <x v="10"/>
    <x v="49"/>
    <x v="49"/>
    <m/>
    <m/>
    <s v="Break 30 Night"/>
    <s v="+1:00 AM"/>
    <s v="+1:30 AM"/>
    <n v="0"/>
    <x v="1"/>
  </r>
  <r>
    <x v="0"/>
    <s v="Egypt"/>
    <x v="10"/>
    <x v="49"/>
    <x v="49"/>
    <d v="2025-06-13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00:00"/>
    <d v="1899-12-30T22:15:00"/>
    <n v="0"/>
    <x v="1"/>
  </r>
  <r>
    <x v="0"/>
    <s v="Egypt"/>
    <x v="10"/>
    <x v="49"/>
    <x v="49"/>
    <m/>
    <m/>
    <s v="Break 30 Night"/>
    <s v="+1:00 AM"/>
    <s v="+1:30 AM"/>
    <n v="0"/>
    <x v="1"/>
  </r>
  <r>
    <x v="0"/>
    <s v="Egypt"/>
    <x v="10"/>
    <x v="49"/>
    <x v="49"/>
    <d v="2025-06-14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Break 15 Night"/>
    <d v="1899-12-30T21:30:00"/>
    <d v="1899-12-30T21:45:00"/>
    <n v="0"/>
    <x v="1"/>
  </r>
  <r>
    <x v="0"/>
    <s v="Egypt"/>
    <x v="10"/>
    <x v="49"/>
    <x v="49"/>
    <m/>
    <m/>
    <s v="Break 30 Night"/>
    <s v="+12:00 AM"/>
    <s v="+12:30 AM"/>
    <n v="0"/>
    <x v="1"/>
  </r>
  <r>
    <x v="0"/>
    <s v="Egypt"/>
    <x v="10"/>
    <x v="49"/>
    <x v="49"/>
    <d v="2025-06-15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45:00"/>
    <d v="1899-12-30T23:00:00"/>
    <n v="0"/>
    <x v="1"/>
  </r>
  <r>
    <x v="0"/>
    <s v="Egypt"/>
    <x v="10"/>
    <x v="49"/>
    <x v="49"/>
    <m/>
    <m/>
    <s v="Break 30 Night"/>
    <s v="+1:15 AM"/>
    <s v="+1:45 AM"/>
    <n v="0"/>
    <x v="1"/>
  </r>
  <r>
    <x v="0"/>
    <s v="Egypt"/>
    <x v="10"/>
    <x v="49"/>
    <x v="49"/>
    <d v="2025-06-16T00:00:00"/>
    <m/>
    <s v="Day Off"/>
    <m/>
    <m/>
    <n v="0"/>
    <x v="1"/>
  </r>
  <r>
    <x v="0"/>
    <s v="Egypt"/>
    <x v="10"/>
    <x v="49"/>
    <x v="49"/>
    <d v="2025-06-17T00:00:00"/>
    <m/>
    <s v="Day Off"/>
    <m/>
    <m/>
    <n v="0"/>
    <x v="1"/>
  </r>
  <r>
    <x v="0"/>
    <s v="Egypt"/>
    <x v="10"/>
    <x v="49"/>
    <x v="49"/>
    <d v="2025-06-18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45:00"/>
    <d v="1899-12-30T23:00:00"/>
    <n v="0"/>
    <x v="1"/>
  </r>
  <r>
    <x v="0"/>
    <s v="Egypt"/>
    <x v="10"/>
    <x v="49"/>
    <x v="49"/>
    <m/>
    <m/>
    <s v="Break 30 Night"/>
    <s v="+1:45 AM"/>
    <s v="+2:15 AM"/>
    <n v="0"/>
    <x v="1"/>
  </r>
  <r>
    <x v="0"/>
    <s v="Egypt"/>
    <x v="10"/>
    <x v="49"/>
    <x v="49"/>
    <d v="2025-06-19T00:00:00"/>
    <d v="1899-12-30T08:15:00"/>
    <s v="Annual Exception"/>
    <m/>
    <m/>
    <n v="29700"/>
    <x v="1"/>
  </r>
  <r>
    <x v="0"/>
    <s v="Egypt"/>
    <x v="10"/>
    <x v="49"/>
    <x v="49"/>
    <d v="2025-06-20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Break 15 Night"/>
    <d v="1899-12-30T22:00:00"/>
    <d v="1899-12-30T22:15:00"/>
    <n v="0"/>
    <x v="1"/>
  </r>
  <r>
    <x v="0"/>
    <s v="Egypt"/>
    <x v="10"/>
    <x v="49"/>
    <x v="49"/>
    <m/>
    <m/>
    <s v="Break 30 Night"/>
    <s v="+12:45 AM"/>
    <s v="+1:15 AM"/>
    <n v="0"/>
    <x v="1"/>
  </r>
  <r>
    <x v="0"/>
    <s v="Egypt"/>
    <x v="10"/>
    <x v="49"/>
    <x v="49"/>
    <d v="2025-06-21T00:00:00"/>
    <d v="1899-12-30T08:15:00"/>
    <s v="Annual Exception"/>
    <m/>
    <m/>
    <n v="29700"/>
    <x v="1"/>
  </r>
  <r>
    <x v="0"/>
    <s v="Egypt"/>
    <x v="10"/>
    <x v="49"/>
    <x v="49"/>
    <d v="2025-06-22T00:00:00"/>
    <m/>
    <s v="Day Off"/>
    <m/>
    <m/>
    <n v="0"/>
    <x v="1"/>
  </r>
  <r>
    <x v="0"/>
    <s v="Egypt"/>
    <x v="10"/>
    <x v="49"/>
    <x v="49"/>
    <d v="2025-06-23T00:00:00"/>
    <m/>
    <s v="Day Off"/>
    <m/>
    <m/>
    <n v="0"/>
    <x v="1"/>
  </r>
  <r>
    <x v="0"/>
    <s v="Egypt"/>
    <x v="10"/>
    <x v="49"/>
    <x v="49"/>
    <d v="2025-06-24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Break 15 Night"/>
    <d v="1899-12-30T22:15:00"/>
    <d v="1899-12-30T22:30:00"/>
    <n v="0"/>
    <x v="1"/>
  </r>
  <r>
    <x v="0"/>
    <s v="Egypt"/>
    <x v="10"/>
    <x v="49"/>
    <x v="49"/>
    <m/>
    <m/>
    <s v="Break 30 Night"/>
    <s v="+12:45 AM"/>
    <s v="+1:15 AM"/>
    <n v="0"/>
    <x v="1"/>
  </r>
  <r>
    <x v="0"/>
    <s v="Egypt"/>
    <x v="10"/>
    <x v="49"/>
    <x v="49"/>
    <d v="2025-06-25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45:00"/>
    <d v="1899-12-30T23:00:00"/>
    <n v="0"/>
    <x v="1"/>
  </r>
  <r>
    <x v="0"/>
    <s v="Egypt"/>
    <x v="10"/>
    <x v="49"/>
    <x v="49"/>
    <m/>
    <m/>
    <s v="Break 30 Night"/>
    <s v="+2:00 AM"/>
    <s v="+2:30 AM"/>
    <n v="0"/>
    <x v="1"/>
  </r>
  <r>
    <x v="0"/>
    <s v="Egypt"/>
    <x v="10"/>
    <x v="49"/>
    <x v="49"/>
    <d v="2025-06-26T00:00:00"/>
    <d v="1899-12-30T08:15:00"/>
    <s v="Non Telecom"/>
    <d v="1899-12-30T19:15:00"/>
    <s v="+3:30 AM"/>
    <n v="29700"/>
    <x v="0"/>
  </r>
  <r>
    <x v="0"/>
    <s v="Egypt"/>
    <x v="10"/>
    <x v="49"/>
    <x v="49"/>
    <m/>
    <m/>
    <s v="Break 15 Night"/>
    <d v="1899-12-30T21:45:00"/>
    <d v="1899-12-30T22:00:00"/>
    <n v="0"/>
    <x v="1"/>
  </r>
  <r>
    <x v="0"/>
    <s v="Egypt"/>
    <x v="10"/>
    <x v="49"/>
    <x v="49"/>
    <m/>
    <m/>
    <s v="Break 30 Night"/>
    <s v="+1:00 AM"/>
    <s v="+1:30 AM"/>
    <n v="0"/>
    <x v="1"/>
  </r>
  <r>
    <x v="0"/>
    <s v="Egypt"/>
    <x v="10"/>
    <x v="49"/>
    <x v="49"/>
    <d v="2025-06-27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2:30:00"/>
    <d v="1899-12-30T22:45:00"/>
    <n v="0"/>
    <x v="1"/>
  </r>
  <r>
    <x v="0"/>
    <s v="Egypt"/>
    <x v="10"/>
    <x v="49"/>
    <x v="49"/>
    <m/>
    <m/>
    <s v="Break 30 Night"/>
    <s v="+1:15 AM"/>
    <s v="+1:45 AM"/>
    <n v="0"/>
    <x v="1"/>
  </r>
  <r>
    <x v="0"/>
    <s v="Egypt"/>
    <x v="10"/>
    <x v="49"/>
    <x v="49"/>
    <d v="2025-06-28T00:00:00"/>
    <d v="1899-12-30T08:15:00"/>
    <s v="Annual Exception"/>
    <m/>
    <m/>
    <n v="29700"/>
    <x v="1"/>
  </r>
  <r>
    <x v="0"/>
    <s v="Egypt"/>
    <x v="10"/>
    <x v="49"/>
    <x v="49"/>
    <d v="2025-06-29T00:00:00"/>
    <d v="1899-12-30T08:15:00"/>
    <s v="Non Telecom"/>
    <d v="1899-12-30T16:15:00"/>
    <s v="+12:30 AM"/>
    <n v="29700"/>
    <x v="0"/>
  </r>
  <r>
    <x v="0"/>
    <s v="Egypt"/>
    <x v="10"/>
    <x v="49"/>
    <x v="49"/>
    <m/>
    <m/>
    <s v="Break 15 Night"/>
    <d v="1899-12-30T18:00:00"/>
    <d v="1899-12-30T18:15:00"/>
    <n v="0"/>
    <x v="1"/>
  </r>
  <r>
    <x v="0"/>
    <s v="Egypt"/>
    <x v="10"/>
    <x v="49"/>
    <x v="49"/>
    <m/>
    <m/>
    <s v="Break 30 Night"/>
    <d v="1899-12-30T21:00:00"/>
    <d v="1899-12-30T21:30:00"/>
    <n v="0"/>
    <x v="1"/>
  </r>
  <r>
    <x v="0"/>
    <s v="Egypt"/>
    <x v="10"/>
    <x v="49"/>
    <x v="49"/>
    <d v="2025-06-30T00:00:00"/>
    <d v="1899-12-30T08:15:00"/>
    <s v="Non Telecom"/>
    <d v="1899-12-30T21:00:00"/>
    <s v="+5:15 AM"/>
    <n v="29700"/>
    <x v="0"/>
  </r>
  <r>
    <x v="0"/>
    <s v="Egypt"/>
    <x v="10"/>
    <x v="49"/>
    <x v="49"/>
    <m/>
    <m/>
    <s v="Break 15 Night"/>
    <d v="1899-12-30T23:00:00"/>
    <d v="1899-12-30T23:15:00"/>
    <n v="0"/>
    <x v="1"/>
  </r>
  <r>
    <x v="0"/>
    <s v="Egypt"/>
    <x v="10"/>
    <x v="49"/>
    <x v="49"/>
    <m/>
    <m/>
    <s v="Break 30 Night"/>
    <s v="+2:00 AM"/>
    <s v="+2:30 AM"/>
    <n v="0"/>
    <x v="1"/>
  </r>
  <r>
    <x v="0"/>
    <s v="Egypt"/>
    <x v="10"/>
    <x v="50"/>
    <x v="50"/>
    <d v="2025-06-01T00:00:00"/>
    <d v="1899-12-30T08:15:00"/>
    <s v="Support Training"/>
    <m/>
    <m/>
    <n v="29700"/>
    <x v="1"/>
  </r>
  <r>
    <x v="0"/>
    <s v="Egypt"/>
    <x v="10"/>
    <x v="50"/>
    <x v="50"/>
    <d v="2025-06-02T00:00:00"/>
    <d v="1899-12-30T08:15:00"/>
    <s v="Support Training"/>
    <m/>
    <m/>
    <n v="29700"/>
    <x v="1"/>
  </r>
  <r>
    <x v="0"/>
    <s v="Egypt"/>
    <x v="10"/>
    <x v="50"/>
    <x v="50"/>
    <d v="2025-06-03T00:00:00"/>
    <d v="1899-12-30T08:15:00"/>
    <s v="Support Training"/>
    <m/>
    <m/>
    <n v="29700"/>
    <x v="1"/>
  </r>
  <r>
    <x v="0"/>
    <s v="Egypt"/>
    <x v="10"/>
    <x v="50"/>
    <x v="50"/>
    <d v="2025-06-04T00:00:00"/>
    <d v="1899-12-30T08:15:00"/>
    <s v="Support Training"/>
    <m/>
    <m/>
    <n v="29700"/>
    <x v="1"/>
  </r>
  <r>
    <x v="0"/>
    <s v="Egypt"/>
    <x v="10"/>
    <x v="50"/>
    <x v="50"/>
    <d v="2025-06-05T00:00:00"/>
    <d v="1899-12-30T08:15:00"/>
    <s v="Support Training"/>
    <m/>
    <m/>
    <n v="29700"/>
    <x v="1"/>
  </r>
  <r>
    <x v="0"/>
    <s v="Egypt"/>
    <x v="10"/>
    <x v="50"/>
    <x v="50"/>
    <d v="2025-06-06T00:00:00"/>
    <m/>
    <s v="Day Off"/>
    <m/>
    <m/>
    <n v="0"/>
    <x v="1"/>
  </r>
  <r>
    <x v="0"/>
    <s v="Egypt"/>
    <x v="10"/>
    <x v="50"/>
    <x v="50"/>
    <d v="2025-06-07T00:00:00"/>
    <m/>
    <s v="Day Off"/>
    <m/>
    <m/>
    <n v="0"/>
    <x v="1"/>
  </r>
  <r>
    <x v="0"/>
    <s v="Egypt"/>
    <x v="10"/>
    <x v="50"/>
    <x v="50"/>
    <d v="2025-06-08T00:00:00"/>
    <d v="1899-12-30T08:15:00"/>
    <s v="Public holiday"/>
    <m/>
    <m/>
    <n v="29700"/>
    <x v="1"/>
  </r>
  <r>
    <x v="0"/>
    <s v="Egypt"/>
    <x v="10"/>
    <x v="50"/>
    <x v="50"/>
    <d v="2025-06-09T00:00:00"/>
    <d v="1899-12-30T08:15:00"/>
    <s v="Non Telecom"/>
    <d v="1899-12-30T18:00:00"/>
    <s v="+2:15 AM"/>
    <n v="29700"/>
    <x v="0"/>
  </r>
  <r>
    <x v="0"/>
    <s v="Egypt"/>
    <x v="10"/>
    <x v="50"/>
    <x v="50"/>
    <m/>
    <m/>
    <s v="Break 15 Night"/>
    <d v="1899-12-30T20:00:00"/>
    <d v="1899-12-30T20:15:00"/>
    <n v="0"/>
    <x v="1"/>
  </r>
  <r>
    <x v="0"/>
    <s v="Egypt"/>
    <x v="10"/>
    <x v="50"/>
    <x v="50"/>
    <m/>
    <m/>
    <s v="Break 30 Night"/>
    <d v="1899-12-30T23:00:00"/>
    <d v="1899-12-30T23:30:00"/>
    <n v="0"/>
    <x v="1"/>
  </r>
  <r>
    <x v="0"/>
    <s v="Egypt"/>
    <x v="10"/>
    <x v="50"/>
    <x v="50"/>
    <d v="2025-06-10T00:00:00"/>
    <d v="1899-12-30T08:15:00"/>
    <s v="Non Telecom"/>
    <d v="1899-12-30T18:00:00"/>
    <s v="+2:15 AM"/>
    <n v="29700"/>
    <x v="0"/>
  </r>
  <r>
    <x v="0"/>
    <s v="Egypt"/>
    <x v="10"/>
    <x v="50"/>
    <x v="50"/>
    <m/>
    <m/>
    <s v="Break 15 Night"/>
    <d v="1899-12-30T20:15:00"/>
    <d v="1899-12-30T20:30:00"/>
    <n v="0"/>
    <x v="1"/>
  </r>
  <r>
    <x v="0"/>
    <s v="Egypt"/>
    <x v="10"/>
    <x v="50"/>
    <x v="50"/>
    <m/>
    <m/>
    <s v="Break 30 Night"/>
    <d v="1899-12-30T23:30:00"/>
    <s v="+12:00 AM"/>
    <n v="0"/>
    <x v="1"/>
  </r>
  <r>
    <x v="0"/>
    <s v="Egypt"/>
    <x v="10"/>
    <x v="50"/>
    <x v="50"/>
    <d v="2025-06-11T00:00:00"/>
    <m/>
    <s v="Day Off"/>
    <m/>
    <m/>
    <n v="0"/>
    <x v="1"/>
  </r>
  <r>
    <x v="0"/>
    <s v="Egypt"/>
    <x v="10"/>
    <x v="50"/>
    <x v="50"/>
    <d v="2025-06-12T00:00:00"/>
    <m/>
    <s v="Day Off"/>
    <m/>
    <m/>
    <n v="0"/>
    <x v="1"/>
  </r>
  <r>
    <x v="0"/>
    <s v="Egypt"/>
    <x v="10"/>
    <x v="50"/>
    <x v="50"/>
    <d v="2025-06-13T00:00:00"/>
    <d v="1899-12-30T00:00:00"/>
    <s v="&lt;Exception&gt; -1"/>
    <m/>
    <m/>
    <n v="0"/>
    <x v="1"/>
  </r>
  <r>
    <x v="0"/>
    <s v="Egypt"/>
    <x v="10"/>
    <x v="50"/>
    <x v="50"/>
    <d v="2025-06-14T00:00:00"/>
    <d v="1899-12-30T08:15:00"/>
    <s v="Annual Exception"/>
    <m/>
    <m/>
    <n v="29700"/>
    <x v="1"/>
  </r>
  <r>
    <x v="0"/>
    <s v="Egypt"/>
    <x v="10"/>
    <x v="50"/>
    <x v="50"/>
    <d v="2025-06-15T00:00:00"/>
    <d v="1899-12-30T08:15:00"/>
    <s v="Support Training"/>
    <m/>
    <m/>
    <n v="29700"/>
    <x v="1"/>
  </r>
  <r>
    <x v="0"/>
    <s v="Egypt"/>
    <x v="10"/>
    <x v="50"/>
    <x v="50"/>
    <d v="2025-06-16T00:00:00"/>
    <d v="1899-12-30T08:15:00"/>
    <s v="Support Training"/>
    <m/>
    <m/>
    <n v="29700"/>
    <x v="1"/>
  </r>
  <r>
    <x v="0"/>
    <s v="Egypt"/>
    <x v="10"/>
    <x v="50"/>
    <x v="50"/>
    <d v="2025-06-17T00:00:00"/>
    <d v="1899-12-30T08:15:00"/>
    <s v="Support Training"/>
    <m/>
    <m/>
    <n v="29700"/>
    <x v="1"/>
  </r>
  <r>
    <x v="0"/>
    <s v="Egypt"/>
    <x v="10"/>
    <x v="50"/>
    <x v="50"/>
    <d v="2025-06-18T00:00:00"/>
    <d v="1899-12-30T08:15:00"/>
    <s v="Support Training"/>
    <m/>
    <m/>
    <n v="29700"/>
    <x v="1"/>
  </r>
  <r>
    <x v="0"/>
    <s v="Egypt"/>
    <x v="10"/>
    <x v="50"/>
    <x v="50"/>
    <d v="2025-06-19T00:00:00"/>
    <d v="1899-12-30T08:15:00"/>
    <s v="Support Training"/>
    <m/>
    <m/>
    <n v="29700"/>
    <x v="1"/>
  </r>
  <r>
    <x v="0"/>
    <s v="Egypt"/>
    <x v="10"/>
    <x v="50"/>
    <x v="50"/>
    <d v="2025-06-20T00:00:00"/>
    <m/>
    <s v="Day Off"/>
    <m/>
    <m/>
    <n v="0"/>
    <x v="1"/>
  </r>
  <r>
    <x v="0"/>
    <s v="Egypt"/>
    <x v="10"/>
    <x v="50"/>
    <x v="50"/>
    <d v="2025-06-21T00:00:00"/>
    <m/>
    <s v="Day Off"/>
    <m/>
    <m/>
    <n v="0"/>
    <x v="1"/>
  </r>
  <r>
    <x v="0"/>
    <s v="Egypt"/>
    <x v="10"/>
    <x v="50"/>
    <x v="50"/>
    <d v="2025-06-22T00:00:00"/>
    <m/>
    <s v="Day Off"/>
    <m/>
    <m/>
    <n v="0"/>
    <x v="1"/>
  </r>
  <r>
    <x v="0"/>
    <s v="Egypt"/>
    <x v="10"/>
    <x v="50"/>
    <x v="50"/>
    <d v="2025-06-23T00:00:00"/>
    <m/>
    <s v="Day Off"/>
    <m/>
    <m/>
    <n v="0"/>
    <x v="1"/>
  </r>
  <r>
    <x v="0"/>
    <s v="Egypt"/>
    <x v="10"/>
    <x v="50"/>
    <x v="50"/>
    <d v="2025-06-24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3:15:00"/>
    <d v="1899-12-30T23:30:00"/>
    <n v="0"/>
    <x v="1"/>
  </r>
  <r>
    <x v="0"/>
    <s v="Egypt"/>
    <x v="10"/>
    <x v="50"/>
    <x v="50"/>
    <m/>
    <m/>
    <s v="Break 30 Night"/>
    <s v="+1:45 AM"/>
    <s v="+2:15 AM"/>
    <n v="0"/>
    <x v="1"/>
  </r>
  <r>
    <x v="0"/>
    <s v="Egypt"/>
    <x v="10"/>
    <x v="50"/>
    <x v="50"/>
    <d v="2025-06-25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3:00:00"/>
    <d v="1899-12-30T23:15:00"/>
    <n v="0"/>
    <x v="1"/>
  </r>
  <r>
    <x v="0"/>
    <s v="Egypt"/>
    <x v="10"/>
    <x v="50"/>
    <x v="50"/>
    <m/>
    <m/>
    <s v="Break 30 Night"/>
    <s v="+2:00 AM"/>
    <s v="+2:30 AM"/>
    <n v="0"/>
    <x v="1"/>
  </r>
  <r>
    <x v="0"/>
    <s v="Egypt"/>
    <x v="10"/>
    <x v="50"/>
    <x v="50"/>
    <d v="2025-06-26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3:00:00"/>
    <d v="1899-12-30T23:15:00"/>
    <n v="0"/>
    <x v="1"/>
  </r>
  <r>
    <x v="0"/>
    <s v="Egypt"/>
    <x v="10"/>
    <x v="50"/>
    <x v="50"/>
    <m/>
    <m/>
    <s v="Break 30 Night"/>
    <s v="+2:00 AM"/>
    <s v="+2:30 AM"/>
    <n v="0"/>
    <x v="1"/>
  </r>
  <r>
    <x v="0"/>
    <s v="Egypt"/>
    <x v="10"/>
    <x v="50"/>
    <x v="50"/>
    <d v="2025-06-27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2:45:00"/>
    <d v="1899-12-30T23:00:00"/>
    <n v="0"/>
    <x v="1"/>
  </r>
  <r>
    <x v="0"/>
    <s v="Egypt"/>
    <x v="10"/>
    <x v="50"/>
    <x v="50"/>
    <m/>
    <m/>
    <s v="Break 30 Night"/>
    <s v="+1:45 AM"/>
    <s v="+2:15 AM"/>
    <n v="0"/>
    <x v="1"/>
  </r>
  <r>
    <x v="0"/>
    <s v="Egypt"/>
    <x v="10"/>
    <x v="50"/>
    <x v="50"/>
    <d v="2025-06-28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3:00:00"/>
    <d v="1899-12-30T23:15:00"/>
    <n v="0"/>
    <x v="1"/>
  </r>
  <r>
    <x v="0"/>
    <s v="Egypt"/>
    <x v="10"/>
    <x v="50"/>
    <x v="50"/>
    <m/>
    <m/>
    <s v="Break 30 Night"/>
    <s v="+2:00 AM"/>
    <s v="+2:30 AM"/>
    <n v="0"/>
    <x v="1"/>
  </r>
  <r>
    <x v="0"/>
    <s v="Egypt"/>
    <x v="10"/>
    <x v="50"/>
    <x v="50"/>
    <d v="2025-06-29T00:00:00"/>
    <m/>
    <s v="Day Off"/>
    <m/>
    <m/>
    <n v="0"/>
    <x v="1"/>
  </r>
  <r>
    <x v="0"/>
    <s v="Egypt"/>
    <x v="10"/>
    <x v="50"/>
    <x v="50"/>
    <d v="2025-06-30T00:00:00"/>
    <d v="1899-12-30T08:15:00"/>
    <s v="Non Telecom"/>
    <d v="1899-12-30T21:00:00"/>
    <s v="+5:15 AM"/>
    <n v="29700"/>
    <x v="0"/>
  </r>
  <r>
    <x v="0"/>
    <s v="Egypt"/>
    <x v="10"/>
    <x v="50"/>
    <x v="50"/>
    <m/>
    <m/>
    <s v="Break 15 Night"/>
    <d v="1899-12-30T23:15:00"/>
    <d v="1899-12-30T23:30:00"/>
    <n v="0"/>
    <x v="1"/>
  </r>
  <r>
    <x v="0"/>
    <s v="Egypt"/>
    <x v="10"/>
    <x v="50"/>
    <x v="50"/>
    <m/>
    <m/>
    <s v="Break 30 Night"/>
    <s v="+2:00 AM"/>
    <s v="+2:30 AM"/>
    <n v="0"/>
    <x v="1"/>
  </r>
  <r>
    <x v="0"/>
    <s v="Egypt"/>
    <x v="10"/>
    <x v="51"/>
    <x v="51"/>
    <d v="2025-06-01T00:00:00"/>
    <d v="1899-12-30T08:15:00"/>
    <s v="Support Training"/>
    <m/>
    <m/>
    <n v="29700"/>
    <x v="1"/>
  </r>
  <r>
    <x v="0"/>
    <s v="Egypt"/>
    <x v="10"/>
    <x v="51"/>
    <x v="51"/>
    <d v="2025-06-02T00:00:00"/>
    <d v="1899-12-30T08:15:00"/>
    <s v="Support Training"/>
    <m/>
    <m/>
    <n v="29700"/>
    <x v="1"/>
  </r>
  <r>
    <x v="0"/>
    <s v="Egypt"/>
    <x v="10"/>
    <x v="51"/>
    <x v="51"/>
    <d v="2025-06-03T00:00:00"/>
    <d v="1899-12-30T08:15:00"/>
    <s v="Support Training"/>
    <m/>
    <m/>
    <n v="29700"/>
    <x v="1"/>
  </r>
  <r>
    <x v="0"/>
    <s v="Egypt"/>
    <x v="10"/>
    <x v="51"/>
    <x v="51"/>
    <d v="2025-06-04T00:00:00"/>
    <d v="1899-12-30T08:15:00"/>
    <s v="Support Training"/>
    <m/>
    <m/>
    <n v="29700"/>
    <x v="1"/>
  </r>
  <r>
    <x v="0"/>
    <s v="Egypt"/>
    <x v="10"/>
    <x v="51"/>
    <x v="51"/>
    <d v="2025-06-05T00:00:00"/>
    <d v="1899-12-30T08:15:00"/>
    <s v="Support Training"/>
    <m/>
    <m/>
    <n v="29700"/>
    <x v="1"/>
  </r>
  <r>
    <x v="0"/>
    <s v="Egypt"/>
    <x v="10"/>
    <x v="51"/>
    <x v="51"/>
    <d v="2025-06-06T00:00:00"/>
    <m/>
    <s v="Day Off"/>
    <m/>
    <m/>
    <n v="0"/>
    <x v="1"/>
  </r>
  <r>
    <x v="0"/>
    <s v="Egypt"/>
    <x v="10"/>
    <x v="51"/>
    <x v="51"/>
    <d v="2025-06-07T00:00:00"/>
    <m/>
    <s v="Day Off"/>
    <m/>
    <m/>
    <n v="0"/>
    <x v="1"/>
  </r>
  <r>
    <x v="0"/>
    <s v="Egypt"/>
    <x v="10"/>
    <x v="51"/>
    <x v="51"/>
    <d v="2025-06-08T00:00:00"/>
    <d v="1899-12-30T08:15:00"/>
    <s v="Public holiday"/>
    <m/>
    <m/>
    <n v="29700"/>
    <x v="1"/>
  </r>
  <r>
    <x v="0"/>
    <s v="Egypt"/>
    <x v="10"/>
    <x v="51"/>
    <x v="51"/>
    <d v="2025-06-09T00:00:00"/>
    <d v="1899-12-30T08:15:00"/>
    <s v="Public holiday"/>
    <m/>
    <m/>
    <n v="29700"/>
    <x v="1"/>
  </r>
  <r>
    <x v="0"/>
    <s v="Egypt"/>
    <x v="10"/>
    <x v="51"/>
    <x v="51"/>
    <d v="2025-06-10T00:00:00"/>
    <d v="1899-12-30T08:15:00"/>
    <s v="Compensation"/>
    <m/>
    <m/>
    <n v="29700"/>
    <x v="1"/>
  </r>
  <r>
    <x v="0"/>
    <s v="Egypt"/>
    <x v="10"/>
    <x v="51"/>
    <x v="51"/>
    <d v="2025-06-11T00:00:00"/>
    <m/>
    <s v="Day Off"/>
    <m/>
    <m/>
    <n v="0"/>
    <x v="1"/>
  </r>
  <r>
    <x v="0"/>
    <s v="Egypt"/>
    <x v="10"/>
    <x v="51"/>
    <x v="51"/>
    <d v="2025-06-12T00:00:00"/>
    <m/>
    <s v="Day Off"/>
    <m/>
    <m/>
    <n v="0"/>
    <x v="1"/>
  </r>
  <r>
    <x v="0"/>
    <s v="Egypt"/>
    <x v="10"/>
    <x v="51"/>
    <x v="51"/>
    <d v="2025-06-13T00:00:00"/>
    <d v="1899-12-30T08:15:00"/>
    <s v="Compensation"/>
    <m/>
    <m/>
    <n v="29700"/>
    <x v="1"/>
  </r>
  <r>
    <x v="0"/>
    <s v="Egypt"/>
    <x v="10"/>
    <x v="51"/>
    <x v="51"/>
    <d v="2025-06-14T00:00:00"/>
    <d v="1899-12-30T08:15:00"/>
    <s v="Compensation"/>
    <m/>
    <m/>
    <n v="29700"/>
    <x v="1"/>
  </r>
  <r>
    <x v="0"/>
    <s v="Egypt"/>
    <x v="10"/>
    <x v="51"/>
    <x v="51"/>
    <d v="2025-06-15T00:00:00"/>
    <d v="1899-12-30T08:15:00"/>
    <s v="Support Training"/>
    <m/>
    <m/>
    <n v="29700"/>
    <x v="1"/>
  </r>
  <r>
    <x v="0"/>
    <s v="Egypt"/>
    <x v="10"/>
    <x v="51"/>
    <x v="51"/>
    <d v="2025-06-16T00:00:00"/>
    <d v="1899-12-30T08:15:00"/>
    <s v="Support Training"/>
    <m/>
    <m/>
    <n v="29700"/>
    <x v="1"/>
  </r>
  <r>
    <x v="0"/>
    <s v="Egypt"/>
    <x v="10"/>
    <x v="51"/>
    <x v="51"/>
    <d v="2025-06-17T00:00:00"/>
    <d v="1899-12-30T08:15:00"/>
    <s v="Support Training"/>
    <m/>
    <m/>
    <n v="29700"/>
    <x v="1"/>
  </r>
  <r>
    <x v="0"/>
    <s v="Egypt"/>
    <x v="10"/>
    <x v="51"/>
    <x v="51"/>
    <d v="2025-06-18T00:00:00"/>
    <d v="1899-12-30T08:15:00"/>
    <s v="Support Training"/>
    <m/>
    <m/>
    <n v="29700"/>
    <x v="1"/>
  </r>
  <r>
    <x v="0"/>
    <s v="Egypt"/>
    <x v="10"/>
    <x v="51"/>
    <x v="51"/>
    <d v="2025-06-19T00:00:00"/>
    <d v="1899-12-30T08:15:00"/>
    <s v="Support Training"/>
    <m/>
    <m/>
    <n v="29700"/>
    <x v="1"/>
  </r>
  <r>
    <x v="0"/>
    <s v="Egypt"/>
    <x v="10"/>
    <x v="51"/>
    <x v="51"/>
    <d v="2025-06-20T00:00:00"/>
    <m/>
    <s v="Day Off"/>
    <m/>
    <m/>
    <n v="0"/>
    <x v="1"/>
  </r>
  <r>
    <x v="0"/>
    <s v="Egypt"/>
    <x v="10"/>
    <x v="51"/>
    <x v="51"/>
    <d v="2025-06-21T00:00:00"/>
    <m/>
    <s v="Day Off"/>
    <m/>
    <m/>
    <n v="0"/>
    <x v="1"/>
  </r>
  <r>
    <x v="0"/>
    <s v="Egypt"/>
    <x v="10"/>
    <x v="51"/>
    <x v="51"/>
    <d v="2025-06-22T00:00:00"/>
    <m/>
    <s v="Day Off"/>
    <m/>
    <m/>
    <n v="0"/>
    <x v="1"/>
  </r>
  <r>
    <x v="0"/>
    <s v="Egypt"/>
    <x v="10"/>
    <x v="51"/>
    <x v="51"/>
    <d v="2025-06-23T00:00:00"/>
    <m/>
    <s v="Day Off"/>
    <m/>
    <m/>
    <n v="0"/>
    <x v="1"/>
  </r>
  <r>
    <x v="0"/>
    <s v="Egypt"/>
    <x v="10"/>
    <x v="51"/>
    <x v="51"/>
    <d v="2025-06-24T00:00:00"/>
    <d v="1899-12-30T08:15:00"/>
    <s v="Compensation"/>
    <m/>
    <m/>
    <n v="29700"/>
    <x v="1"/>
  </r>
  <r>
    <x v="0"/>
    <s v="Egypt"/>
    <x v="10"/>
    <x v="51"/>
    <x v="51"/>
    <d v="2025-06-25T00:00:00"/>
    <d v="1899-12-30T08:15:00"/>
    <s v="Compensation"/>
    <m/>
    <m/>
    <n v="29700"/>
    <x v="1"/>
  </r>
  <r>
    <x v="0"/>
    <s v="Egypt"/>
    <x v="10"/>
    <x v="51"/>
    <x v="51"/>
    <d v="2025-06-26T00:00:00"/>
    <d v="1899-12-30T08:15:00"/>
    <s v="Public holiday"/>
    <m/>
    <m/>
    <n v="29700"/>
    <x v="1"/>
  </r>
  <r>
    <x v="0"/>
    <s v="Egypt"/>
    <x v="10"/>
    <x v="51"/>
    <x v="51"/>
    <d v="2025-06-27T00:00:00"/>
    <d v="1899-12-30T08:15:00"/>
    <s v="Compensation"/>
    <m/>
    <m/>
    <n v="29700"/>
    <x v="1"/>
  </r>
  <r>
    <x v="0"/>
    <s v="Egypt"/>
    <x v="10"/>
    <x v="51"/>
    <x v="51"/>
    <d v="2025-06-28T00:00:00"/>
    <d v="1899-12-30T08:15:00"/>
    <s v="Compensation"/>
    <m/>
    <m/>
    <n v="29700"/>
    <x v="1"/>
  </r>
  <r>
    <x v="0"/>
    <s v="Egypt"/>
    <x v="10"/>
    <x v="51"/>
    <x v="51"/>
    <d v="2025-06-29T00:00:00"/>
    <m/>
    <s v="Day Off"/>
    <m/>
    <m/>
    <n v="0"/>
    <x v="1"/>
  </r>
  <r>
    <x v="0"/>
    <s v="Egypt"/>
    <x v="10"/>
    <x v="51"/>
    <x v="51"/>
    <d v="2025-06-30T00:00:00"/>
    <d v="1899-12-30T08:15:00"/>
    <s v="Non Telecom"/>
    <d v="1899-12-30T13:00:00"/>
    <d v="1899-12-30T21:15:00"/>
    <n v="29700"/>
    <x v="0"/>
  </r>
  <r>
    <x v="0"/>
    <s v="Egypt"/>
    <x v="10"/>
    <x v="51"/>
    <x v="51"/>
    <m/>
    <m/>
    <s v="Break 15 Morning"/>
    <d v="1899-12-30T15:00:00"/>
    <d v="1899-12-30T15:15:00"/>
    <n v="0"/>
    <x v="1"/>
  </r>
  <r>
    <x v="0"/>
    <s v="Egypt"/>
    <x v="10"/>
    <x v="51"/>
    <x v="51"/>
    <m/>
    <m/>
    <s v="Break 30 Morning"/>
    <d v="1899-12-30T18:00:00"/>
    <d v="1899-12-30T18:30:00"/>
    <n v="0"/>
    <x v="1"/>
  </r>
  <r>
    <x v="0"/>
    <s v="Egypt"/>
    <x v="10"/>
    <x v="52"/>
    <x v="52"/>
    <d v="2025-06-01T00:00:00"/>
    <d v="1899-12-30T08:15:00"/>
    <s v="Planned Task"/>
    <m/>
    <m/>
    <n v="29700"/>
    <x v="1"/>
  </r>
  <r>
    <x v="0"/>
    <s v="Egypt"/>
    <x v="10"/>
    <x v="52"/>
    <x v="52"/>
    <d v="2025-06-02T00:00:00"/>
    <d v="1899-12-30T08:15:00"/>
    <s v="Planned Task"/>
    <m/>
    <m/>
    <n v="29700"/>
    <x v="1"/>
  </r>
  <r>
    <x v="0"/>
    <s v="Egypt"/>
    <x v="10"/>
    <x v="52"/>
    <x v="52"/>
    <d v="2025-06-03T00:00:00"/>
    <d v="1899-12-30T08:15:00"/>
    <s v="Planned Task"/>
    <m/>
    <m/>
    <n v="29700"/>
    <x v="1"/>
  </r>
  <r>
    <x v="0"/>
    <s v="Egypt"/>
    <x v="10"/>
    <x v="52"/>
    <x v="52"/>
    <d v="2025-06-04T00:00:00"/>
    <d v="1899-12-30T08:15:00"/>
    <s v="Planned Task"/>
    <m/>
    <m/>
    <n v="29700"/>
    <x v="1"/>
  </r>
  <r>
    <x v="0"/>
    <s v="Egypt"/>
    <x v="10"/>
    <x v="52"/>
    <x v="52"/>
    <d v="2025-06-05T00:00:00"/>
    <d v="1899-12-30T08:15:00"/>
    <s v="Planned Task"/>
    <m/>
    <m/>
    <n v="29700"/>
    <x v="1"/>
  </r>
  <r>
    <x v="0"/>
    <s v="Egypt"/>
    <x v="10"/>
    <x v="52"/>
    <x v="52"/>
    <d v="2025-06-06T00:00:00"/>
    <d v="1899-12-30T08:15:00"/>
    <s v="Planned Task"/>
    <m/>
    <m/>
    <n v="29700"/>
    <x v="1"/>
  </r>
  <r>
    <x v="0"/>
    <s v="Egypt"/>
    <x v="10"/>
    <x v="52"/>
    <x v="52"/>
    <d v="2025-06-07T00:00:00"/>
    <d v="1899-12-30T08:15:00"/>
    <s v="Planned Task"/>
    <m/>
    <m/>
    <n v="29700"/>
    <x v="1"/>
  </r>
  <r>
    <x v="0"/>
    <s v="Egypt"/>
    <x v="10"/>
    <x v="52"/>
    <x v="52"/>
    <d v="2025-06-08T00:00:00"/>
    <d v="1899-12-30T08:15:00"/>
    <s v="Planned Task"/>
    <m/>
    <m/>
    <n v="29700"/>
    <x v="1"/>
  </r>
  <r>
    <x v="0"/>
    <s v="Egypt"/>
    <x v="10"/>
    <x v="52"/>
    <x v="52"/>
    <d v="2025-06-09T00:00:00"/>
    <d v="1899-12-30T08:15:00"/>
    <s v="Planned Task"/>
    <m/>
    <m/>
    <n v="29700"/>
    <x v="1"/>
  </r>
  <r>
    <x v="0"/>
    <s v="Egypt"/>
    <x v="10"/>
    <x v="52"/>
    <x v="52"/>
    <d v="2025-06-10T00:00:00"/>
    <d v="1899-12-30T08:15:00"/>
    <s v="Planned Task"/>
    <m/>
    <m/>
    <n v="29700"/>
    <x v="1"/>
  </r>
  <r>
    <x v="0"/>
    <s v="Egypt"/>
    <x v="10"/>
    <x v="52"/>
    <x v="52"/>
    <d v="2025-06-11T00:00:00"/>
    <d v="1899-12-30T08:15:00"/>
    <s v="Planned Task"/>
    <m/>
    <m/>
    <n v="29700"/>
    <x v="1"/>
  </r>
  <r>
    <x v="0"/>
    <s v="Egypt"/>
    <x v="10"/>
    <x v="52"/>
    <x v="52"/>
    <d v="2025-06-12T00:00:00"/>
    <d v="1899-12-30T08:15:00"/>
    <s v="Planned Task"/>
    <m/>
    <m/>
    <n v="29700"/>
    <x v="1"/>
  </r>
  <r>
    <x v="0"/>
    <s v="Egypt"/>
    <x v="10"/>
    <x v="52"/>
    <x v="52"/>
    <d v="2025-06-13T00:00:00"/>
    <d v="1899-12-30T08:15:00"/>
    <s v="Planned Task"/>
    <m/>
    <m/>
    <n v="29700"/>
    <x v="1"/>
  </r>
  <r>
    <x v="0"/>
    <s v="Egypt"/>
    <x v="10"/>
    <x v="52"/>
    <x v="52"/>
    <d v="2025-06-14T00:00:00"/>
    <d v="1899-12-30T08:15:00"/>
    <s v="Planned Task"/>
    <m/>
    <m/>
    <n v="29700"/>
    <x v="1"/>
  </r>
  <r>
    <x v="0"/>
    <s v="Egypt"/>
    <x v="10"/>
    <x v="52"/>
    <x v="52"/>
    <d v="2025-06-15T00:00:00"/>
    <d v="1899-12-30T08:15:00"/>
    <s v="Planned Task"/>
    <m/>
    <m/>
    <n v="29700"/>
    <x v="1"/>
  </r>
  <r>
    <x v="0"/>
    <s v="Egypt"/>
    <x v="10"/>
    <x v="52"/>
    <x v="52"/>
    <d v="2025-06-16T00:00:00"/>
    <d v="1899-12-30T08:15:00"/>
    <s v="Planned Task"/>
    <m/>
    <m/>
    <n v="29700"/>
    <x v="1"/>
  </r>
  <r>
    <x v="0"/>
    <s v="Egypt"/>
    <x v="10"/>
    <x v="52"/>
    <x v="52"/>
    <d v="2025-06-17T00:00:00"/>
    <d v="1899-12-30T08:15:00"/>
    <s v="Planned Task"/>
    <m/>
    <m/>
    <n v="29700"/>
    <x v="1"/>
  </r>
  <r>
    <x v="0"/>
    <s v="Egypt"/>
    <x v="10"/>
    <x v="52"/>
    <x v="52"/>
    <d v="2025-06-18T00:00:00"/>
    <d v="1899-12-30T08:15:00"/>
    <s v="Planned Task"/>
    <m/>
    <m/>
    <n v="29700"/>
    <x v="1"/>
  </r>
  <r>
    <x v="0"/>
    <s v="Egypt"/>
    <x v="10"/>
    <x v="52"/>
    <x v="52"/>
    <d v="2025-06-19T00:00:00"/>
    <d v="1899-12-30T08:15:00"/>
    <s v="Planned Task"/>
    <m/>
    <m/>
    <n v="29700"/>
    <x v="1"/>
  </r>
  <r>
    <x v="0"/>
    <s v="Egypt"/>
    <x v="10"/>
    <x v="52"/>
    <x v="52"/>
    <d v="2025-06-20T00:00:00"/>
    <d v="1899-12-30T08:15:00"/>
    <s v="Planned Task"/>
    <m/>
    <m/>
    <n v="29700"/>
    <x v="1"/>
  </r>
  <r>
    <x v="0"/>
    <s v="Egypt"/>
    <x v="10"/>
    <x v="52"/>
    <x v="52"/>
    <d v="2025-06-21T00:00:00"/>
    <d v="1899-12-30T08:15:00"/>
    <s v="Planned Task"/>
    <m/>
    <m/>
    <n v="29700"/>
    <x v="1"/>
  </r>
  <r>
    <x v="0"/>
    <s v="Egypt"/>
    <x v="10"/>
    <x v="52"/>
    <x v="52"/>
    <d v="2025-06-22T00:00:00"/>
    <d v="1899-12-30T08:15:00"/>
    <s v="Planned Task"/>
    <m/>
    <m/>
    <n v="29700"/>
    <x v="1"/>
  </r>
  <r>
    <x v="0"/>
    <s v="Egypt"/>
    <x v="10"/>
    <x v="52"/>
    <x v="52"/>
    <d v="2025-06-23T00:00:00"/>
    <d v="1899-12-30T08:15:00"/>
    <s v="Planned Task"/>
    <m/>
    <m/>
    <n v="29700"/>
    <x v="1"/>
  </r>
  <r>
    <x v="0"/>
    <s v="Egypt"/>
    <x v="10"/>
    <x v="52"/>
    <x v="52"/>
    <d v="2025-06-24T00:00:00"/>
    <d v="1899-12-30T08:15:00"/>
    <s v="Planned Task"/>
    <m/>
    <m/>
    <n v="29700"/>
    <x v="1"/>
  </r>
  <r>
    <x v="0"/>
    <s v="Egypt"/>
    <x v="10"/>
    <x v="52"/>
    <x v="52"/>
    <d v="2025-06-25T00:00:00"/>
    <d v="1899-12-30T08:15:00"/>
    <s v="Planned Task"/>
    <m/>
    <m/>
    <n v="29700"/>
    <x v="1"/>
  </r>
  <r>
    <x v="0"/>
    <s v="Egypt"/>
    <x v="10"/>
    <x v="52"/>
    <x v="52"/>
    <d v="2025-06-26T00:00:00"/>
    <d v="1899-12-30T08:15:00"/>
    <s v="Planned Task"/>
    <m/>
    <m/>
    <n v="29700"/>
    <x v="1"/>
  </r>
  <r>
    <x v="0"/>
    <s v="Egypt"/>
    <x v="10"/>
    <x v="52"/>
    <x v="52"/>
    <d v="2025-06-27T00:00:00"/>
    <d v="1899-12-30T08:15:00"/>
    <s v="Planned Task"/>
    <m/>
    <m/>
    <n v="29700"/>
    <x v="1"/>
  </r>
  <r>
    <x v="0"/>
    <s v="Egypt"/>
    <x v="10"/>
    <x v="52"/>
    <x v="52"/>
    <d v="2025-06-28T00:00:00"/>
    <d v="1899-12-30T08:15:00"/>
    <s v="Planned Task"/>
    <m/>
    <m/>
    <n v="29700"/>
    <x v="1"/>
  </r>
  <r>
    <x v="0"/>
    <s v="Egypt"/>
    <x v="10"/>
    <x v="52"/>
    <x v="52"/>
    <d v="2025-06-29T00:00:00"/>
    <d v="1899-12-30T08:15:00"/>
    <s v="Planned Task"/>
    <m/>
    <m/>
    <n v="29700"/>
    <x v="1"/>
  </r>
  <r>
    <x v="0"/>
    <s v="Egypt"/>
    <x v="10"/>
    <x v="52"/>
    <x v="52"/>
    <d v="2025-06-30T00:00:00"/>
    <d v="1899-12-30T08:15:00"/>
    <s v="Planned Task"/>
    <m/>
    <m/>
    <n v="29700"/>
    <x v="1"/>
  </r>
  <r>
    <x v="0"/>
    <s v="Egypt"/>
    <x v="11"/>
    <x v="53"/>
    <x v="53"/>
    <d v="2025-06-01T00:00:00"/>
    <d v="1899-12-30T08:15:00"/>
    <s v="Support Training"/>
    <m/>
    <m/>
    <n v="29700"/>
    <x v="1"/>
  </r>
  <r>
    <x v="0"/>
    <s v="Egypt"/>
    <x v="11"/>
    <x v="53"/>
    <x v="53"/>
    <d v="2025-06-02T00:00:00"/>
    <d v="1899-12-30T08:15:00"/>
    <s v="Support Training"/>
    <m/>
    <m/>
    <n v="29700"/>
    <x v="1"/>
  </r>
  <r>
    <x v="0"/>
    <s v="Egypt"/>
    <x v="11"/>
    <x v="53"/>
    <x v="53"/>
    <d v="2025-06-03T00:00:00"/>
    <d v="1899-12-30T08:15:00"/>
    <s v="Support Training"/>
    <m/>
    <m/>
    <n v="29700"/>
    <x v="1"/>
  </r>
  <r>
    <x v="0"/>
    <s v="Egypt"/>
    <x v="11"/>
    <x v="53"/>
    <x v="53"/>
    <d v="2025-06-04T00:00:00"/>
    <d v="1899-12-30T08:15:00"/>
    <s v="Support Training"/>
    <m/>
    <m/>
    <n v="29700"/>
    <x v="1"/>
  </r>
  <r>
    <x v="0"/>
    <s v="Egypt"/>
    <x v="11"/>
    <x v="53"/>
    <x v="53"/>
    <d v="2025-06-05T00:00:00"/>
    <d v="1899-12-30T08:15:00"/>
    <s v="Support Training"/>
    <m/>
    <m/>
    <n v="29700"/>
    <x v="1"/>
  </r>
  <r>
    <x v="0"/>
    <s v="Egypt"/>
    <x v="11"/>
    <x v="53"/>
    <x v="53"/>
    <d v="2025-06-06T00:00:00"/>
    <m/>
    <s v="Day Off"/>
    <m/>
    <m/>
    <n v="0"/>
    <x v="1"/>
  </r>
  <r>
    <x v="0"/>
    <s v="Egypt"/>
    <x v="11"/>
    <x v="53"/>
    <x v="53"/>
    <d v="2025-06-07T00:00:00"/>
    <m/>
    <s v="Day Off"/>
    <m/>
    <m/>
    <n v="0"/>
    <x v="1"/>
  </r>
  <r>
    <x v="0"/>
    <s v="Egypt"/>
    <x v="11"/>
    <x v="53"/>
    <x v="53"/>
    <d v="2025-06-08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0:30:00"/>
    <d v="1899-12-30T20:45:00"/>
    <n v="0"/>
    <x v="1"/>
  </r>
  <r>
    <x v="0"/>
    <s v="Egypt"/>
    <x v="11"/>
    <x v="53"/>
    <x v="53"/>
    <m/>
    <m/>
    <s v="Break 30 Night"/>
    <d v="1899-12-30T23:45:00"/>
    <s v="+12:15 AM"/>
    <n v="0"/>
    <x v="1"/>
  </r>
  <r>
    <x v="0"/>
    <s v="Egypt"/>
    <x v="11"/>
    <x v="53"/>
    <x v="53"/>
    <m/>
    <m/>
    <s v="Leave Early"/>
    <s v="+1:30 AM"/>
    <s v="+3:30 AM"/>
    <n v="0"/>
    <x v="1"/>
  </r>
  <r>
    <x v="0"/>
    <s v="Egypt"/>
    <x v="11"/>
    <x v="53"/>
    <x v="53"/>
    <d v="2025-06-09T00:00:00"/>
    <m/>
    <s v="Day Off"/>
    <m/>
    <m/>
    <n v="0"/>
    <x v="1"/>
  </r>
  <r>
    <x v="0"/>
    <s v="Egypt"/>
    <x v="11"/>
    <x v="53"/>
    <x v="53"/>
    <d v="2025-06-10T00:00:00"/>
    <m/>
    <s v="Day Off"/>
    <m/>
    <m/>
    <n v="0"/>
    <x v="1"/>
  </r>
  <r>
    <x v="0"/>
    <s v="Egypt"/>
    <x v="11"/>
    <x v="53"/>
    <x v="53"/>
    <d v="2025-06-11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45:00"/>
    <d v="1899-12-30T22:00:00"/>
    <n v="0"/>
    <x v="1"/>
  </r>
  <r>
    <x v="0"/>
    <s v="Egypt"/>
    <x v="11"/>
    <x v="53"/>
    <x v="53"/>
    <m/>
    <m/>
    <s v="Break 30 Night"/>
    <s v="+1:00 AM"/>
    <s v="+1:30 AM"/>
    <n v="0"/>
    <x v="1"/>
  </r>
  <r>
    <x v="0"/>
    <s v="Egypt"/>
    <x v="11"/>
    <x v="53"/>
    <x v="53"/>
    <d v="2025-06-12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00:00"/>
    <d v="1899-12-30T21:15:00"/>
    <n v="0"/>
    <x v="1"/>
  </r>
  <r>
    <x v="0"/>
    <s v="Egypt"/>
    <x v="11"/>
    <x v="53"/>
    <x v="53"/>
    <m/>
    <m/>
    <s v="Break 30 Night"/>
    <s v="+12:00 AM"/>
    <s v="+12:30 AM"/>
    <n v="0"/>
    <x v="1"/>
  </r>
  <r>
    <x v="0"/>
    <s v="Egypt"/>
    <x v="11"/>
    <x v="53"/>
    <x v="53"/>
    <d v="2025-06-13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0:45:00"/>
    <d v="1899-12-30T21:00:00"/>
    <n v="0"/>
    <x v="1"/>
  </r>
  <r>
    <x v="0"/>
    <s v="Egypt"/>
    <x v="11"/>
    <x v="53"/>
    <x v="53"/>
    <m/>
    <m/>
    <s v="Break 30 Night"/>
    <s v="+12:00 AM"/>
    <s v="+12:30 AM"/>
    <n v="0"/>
    <x v="1"/>
  </r>
  <r>
    <x v="0"/>
    <s v="Egypt"/>
    <x v="11"/>
    <x v="53"/>
    <x v="53"/>
    <d v="2025-06-14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30:00"/>
    <d v="1899-12-30T21:45:00"/>
    <n v="0"/>
    <x v="1"/>
  </r>
  <r>
    <x v="0"/>
    <s v="Egypt"/>
    <x v="11"/>
    <x v="53"/>
    <x v="53"/>
    <m/>
    <m/>
    <s v="Break 30 Night"/>
    <s v="+12:00 AM"/>
    <s v="+12:30 AM"/>
    <n v="0"/>
    <x v="1"/>
  </r>
  <r>
    <x v="0"/>
    <s v="Egypt"/>
    <x v="11"/>
    <x v="53"/>
    <x v="53"/>
    <d v="2025-06-15T00:00:00"/>
    <m/>
    <s v="Day Off"/>
    <m/>
    <m/>
    <n v="0"/>
    <x v="1"/>
  </r>
  <r>
    <x v="0"/>
    <s v="Egypt"/>
    <x v="11"/>
    <x v="53"/>
    <x v="53"/>
    <d v="2025-06-16T00:00:00"/>
    <m/>
    <s v="Day Off"/>
    <m/>
    <m/>
    <n v="0"/>
    <x v="1"/>
  </r>
  <r>
    <x v="0"/>
    <s v="Egypt"/>
    <x v="11"/>
    <x v="53"/>
    <x v="53"/>
    <d v="2025-06-17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00:00"/>
    <d v="1899-12-30T21:15:00"/>
    <n v="0"/>
    <x v="1"/>
  </r>
  <r>
    <x v="0"/>
    <s v="Egypt"/>
    <x v="11"/>
    <x v="53"/>
    <x v="53"/>
    <m/>
    <m/>
    <s v="Break 30 Night"/>
    <s v="+12:00 AM"/>
    <s v="+12:30 AM"/>
    <n v="0"/>
    <x v="1"/>
  </r>
  <r>
    <x v="0"/>
    <s v="Egypt"/>
    <x v="11"/>
    <x v="53"/>
    <x v="53"/>
    <d v="2025-06-18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00:00"/>
    <d v="1899-12-30T21:15:00"/>
    <n v="0"/>
    <x v="1"/>
  </r>
  <r>
    <x v="0"/>
    <s v="Egypt"/>
    <x v="11"/>
    <x v="53"/>
    <x v="53"/>
    <m/>
    <m/>
    <s v="Break 30 Night"/>
    <s v="+12:15 AM"/>
    <s v="+12:45 AM"/>
    <n v="0"/>
    <x v="1"/>
  </r>
  <r>
    <x v="0"/>
    <s v="Egypt"/>
    <x v="11"/>
    <x v="53"/>
    <x v="53"/>
    <d v="2025-06-19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00:00"/>
    <d v="1899-12-30T21:15:00"/>
    <n v="0"/>
    <x v="1"/>
  </r>
  <r>
    <x v="0"/>
    <s v="Egypt"/>
    <x v="11"/>
    <x v="53"/>
    <x v="53"/>
    <m/>
    <m/>
    <s v="Break 30 Night"/>
    <s v="+12:00 AM"/>
    <s v="+12:30 AM"/>
    <n v="0"/>
    <x v="1"/>
  </r>
  <r>
    <x v="0"/>
    <s v="Egypt"/>
    <x v="11"/>
    <x v="53"/>
    <x v="53"/>
    <m/>
    <m/>
    <s v="Leave Early"/>
    <s v="+1:30 AM"/>
    <s v="+3:30 AM"/>
    <n v="0"/>
    <x v="1"/>
  </r>
  <r>
    <x v="0"/>
    <s v="Egypt"/>
    <x v="11"/>
    <x v="53"/>
    <x v="53"/>
    <d v="2025-06-20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45:00"/>
    <d v="1899-12-30T22:00:00"/>
    <n v="0"/>
    <x v="1"/>
  </r>
  <r>
    <x v="0"/>
    <s v="Egypt"/>
    <x v="11"/>
    <x v="53"/>
    <x v="53"/>
    <m/>
    <m/>
    <s v="Break 30 Night"/>
    <s v="+12:45 AM"/>
    <s v="+1:15 AM"/>
    <n v="0"/>
    <x v="1"/>
  </r>
  <r>
    <x v="0"/>
    <s v="Egypt"/>
    <x v="11"/>
    <x v="53"/>
    <x v="53"/>
    <d v="2025-06-21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30:00"/>
    <d v="1899-12-30T21:45:00"/>
    <n v="0"/>
    <x v="1"/>
  </r>
  <r>
    <x v="0"/>
    <s v="Egypt"/>
    <x v="11"/>
    <x v="53"/>
    <x v="53"/>
    <m/>
    <m/>
    <s v="Break 30 Night"/>
    <s v="+1:00 AM"/>
    <s v="+1:30 AM"/>
    <n v="0"/>
    <x v="1"/>
  </r>
  <r>
    <x v="0"/>
    <s v="Egypt"/>
    <x v="11"/>
    <x v="53"/>
    <x v="53"/>
    <d v="2025-06-22T00:00:00"/>
    <d v="1899-12-30T08:15:00"/>
    <s v="Non Telecom"/>
    <d v="1899-12-30T19:15:00"/>
    <s v="+3:30 AM"/>
    <n v="29700"/>
    <x v="0"/>
  </r>
  <r>
    <x v="0"/>
    <s v="Egypt"/>
    <x v="11"/>
    <x v="53"/>
    <x v="53"/>
    <m/>
    <m/>
    <s v="Break 15 Night"/>
    <d v="1899-12-30T21:30:00"/>
    <d v="1899-12-30T21:45:00"/>
    <n v="0"/>
    <x v="1"/>
  </r>
  <r>
    <x v="0"/>
    <s v="Egypt"/>
    <x v="11"/>
    <x v="53"/>
    <x v="53"/>
    <m/>
    <m/>
    <s v="Break 30 Night"/>
    <s v="+12:15 AM"/>
    <s v="+12:45 AM"/>
    <n v="0"/>
    <x v="1"/>
  </r>
  <r>
    <x v="0"/>
    <s v="Egypt"/>
    <x v="11"/>
    <x v="53"/>
    <x v="53"/>
    <d v="2025-06-23T00:00:00"/>
    <m/>
    <s v="Day Off"/>
    <m/>
    <m/>
    <n v="0"/>
    <x v="1"/>
  </r>
  <r>
    <x v="0"/>
    <s v="Egypt"/>
    <x v="11"/>
    <x v="53"/>
    <x v="53"/>
    <d v="2025-06-24T00:00:00"/>
    <d v="1899-12-30T08:15:00"/>
    <s v="Non Telecom"/>
    <d v="1899-12-30T16:15:00"/>
    <s v="+12:30 AM"/>
    <n v="29700"/>
    <x v="0"/>
  </r>
  <r>
    <x v="0"/>
    <s v="Egypt"/>
    <x v="11"/>
    <x v="53"/>
    <x v="53"/>
    <m/>
    <m/>
    <s v="Break 15 Night"/>
    <d v="1899-12-30T18:00:00"/>
    <d v="1899-12-30T18:15:00"/>
    <n v="0"/>
    <x v="1"/>
  </r>
  <r>
    <x v="0"/>
    <s v="Egypt"/>
    <x v="11"/>
    <x v="53"/>
    <x v="53"/>
    <m/>
    <m/>
    <s v="Break 30 Night"/>
    <d v="1899-12-30T20:45:00"/>
    <d v="1899-12-30T21:15:00"/>
    <n v="0"/>
    <x v="1"/>
  </r>
  <r>
    <x v="0"/>
    <s v="Egypt"/>
    <x v="11"/>
    <x v="53"/>
    <x v="53"/>
    <d v="2025-06-25T00:00:00"/>
    <d v="1899-12-30T08:15:00"/>
    <s v="Non Telecom"/>
    <d v="1899-12-30T16:15:00"/>
    <s v="+12:30 AM"/>
    <n v="29700"/>
    <x v="0"/>
  </r>
  <r>
    <x v="0"/>
    <s v="Egypt"/>
    <x v="11"/>
    <x v="53"/>
    <x v="53"/>
    <m/>
    <m/>
    <s v="Break 15 Night"/>
    <d v="1899-12-30T17:45:00"/>
    <d v="1899-12-30T18:00:00"/>
    <n v="0"/>
    <x v="1"/>
  </r>
  <r>
    <x v="0"/>
    <s v="Egypt"/>
    <x v="11"/>
    <x v="53"/>
    <x v="53"/>
    <m/>
    <m/>
    <s v="Break 30 Night"/>
    <d v="1899-12-30T20:30:00"/>
    <d v="1899-12-30T21:00:00"/>
    <n v="0"/>
    <x v="1"/>
  </r>
  <r>
    <x v="0"/>
    <s v="Egypt"/>
    <x v="11"/>
    <x v="53"/>
    <x v="53"/>
    <d v="2025-06-26T00:00:00"/>
    <m/>
    <s v="Day Off"/>
    <m/>
    <m/>
    <n v="0"/>
    <x v="1"/>
  </r>
  <r>
    <x v="0"/>
    <s v="Egypt"/>
    <x v="11"/>
    <x v="53"/>
    <x v="53"/>
    <d v="2025-06-27T00:00:00"/>
    <d v="1899-12-30T08:15:00"/>
    <s v="Annual Exception"/>
    <m/>
    <m/>
    <n v="29700"/>
    <x v="1"/>
  </r>
  <r>
    <x v="0"/>
    <s v="Egypt"/>
    <x v="11"/>
    <x v="53"/>
    <x v="53"/>
    <d v="2025-06-28T00:00:00"/>
    <d v="1899-12-30T08:15:00"/>
    <s v="Annual Exception"/>
    <m/>
    <m/>
    <n v="29700"/>
    <x v="1"/>
  </r>
  <r>
    <x v="0"/>
    <s v="Egypt"/>
    <x v="11"/>
    <x v="53"/>
    <x v="53"/>
    <d v="2025-06-29T00:00:00"/>
    <d v="1899-12-30T08:15:00"/>
    <s v="Support Training"/>
    <m/>
    <m/>
    <n v="29700"/>
    <x v="1"/>
  </r>
  <r>
    <x v="0"/>
    <s v="Egypt"/>
    <x v="11"/>
    <x v="53"/>
    <x v="53"/>
    <d v="2025-06-30T00:00:00"/>
    <d v="1899-12-30T08:15:00"/>
    <s v="Support Training"/>
    <m/>
    <m/>
    <n v="29700"/>
    <x v="1"/>
  </r>
  <r>
    <x v="0"/>
    <s v="Egypt"/>
    <x v="11"/>
    <x v="54"/>
    <x v="54"/>
    <d v="2025-06-01T00:00:00"/>
    <d v="1899-12-30T08:15:00"/>
    <s v="Annual Exception"/>
    <m/>
    <m/>
    <n v="29700"/>
    <x v="1"/>
  </r>
  <r>
    <x v="0"/>
    <s v="Egypt"/>
    <x v="11"/>
    <x v="54"/>
    <x v="54"/>
    <d v="2025-06-02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7:15:00"/>
    <d v="1899-12-30T17:30:00"/>
    <n v="0"/>
    <x v="1"/>
  </r>
  <r>
    <x v="0"/>
    <s v="Egypt"/>
    <x v="11"/>
    <x v="54"/>
    <x v="54"/>
    <m/>
    <m/>
    <s v="Break 30 Night"/>
    <d v="1899-12-30T20:45:00"/>
    <d v="1899-12-30T21:15:00"/>
    <n v="0"/>
    <x v="1"/>
  </r>
  <r>
    <x v="0"/>
    <s v="Egypt"/>
    <x v="11"/>
    <x v="54"/>
    <x v="54"/>
    <d v="2025-06-03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7:45:00"/>
    <d v="1899-12-30T18:00:00"/>
    <n v="0"/>
    <x v="1"/>
  </r>
  <r>
    <x v="0"/>
    <s v="Egypt"/>
    <x v="11"/>
    <x v="54"/>
    <x v="54"/>
    <m/>
    <m/>
    <s v="Break 30 Night"/>
    <d v="1899-12-30T20:45:00"/>
    <d v="1899-12-30T21:15:00"/>
    <n v="0"/>
    <x v="1"/>
  </r>
  <r>
    <x v="0"/>
    <s v="Egypt"/>
    <x v="11"/>
    <x v="54"/>
    <x v="54"/>
    <d v="2025-06-04T00:00:00"/>
    <m/>
    <s v="Day Off"/>
    <m/>
    <m/>
    <n v="0"/>
    <x v="1"/>
  </r>
  <r>
    <x v="0"/>
    <s v="Egypt"/>
    <x v="11"/>
    <x v="54"/>
    <x v="54"/>
    <d v="2025-06-05T00:00:00"/>
    <m/>
    <s v="Day Off"/>
    <m/>
    <m/>
    <n v="0"/>
    <x v="1"/>
  </r>
  <r>
    <x v="0"/>
    <s v="Egypt"/>
    <x v="11"/>
    <x v="54"/>
    <x v="54"/>
    <d v="2025-06-06T00:00:00"/>
    <d v="1899-12-30T08:15:00"/>
    <s v="Non Telecom"/>
    <d v="1899-12-30T08:00:00"/>
    <d v="1899-12-30T16:15:00"/>
    <n v="29700"/>
    <x v="0"/>
  </r>
  <r>
    <x v="0"/>
    <s v="Egypt"/>
    <x v="11"/>
    <x v="54"/>
    <x v="54"/>
    <m/>
    <m/>
    <s v="Break 15 Morning"/>
    <d v="1899-12-30T09:00:00"/>
    <d v="1899-12-30T09:15:00"/>
    <n v="0"/>
    <x v="1"/>
  </r>
  <r>
    <x v="0"/>
    <s v="Egypt"/>
    <x v="11"/>
    <x v="54"/>
    <x v="54"/>
    <m/>
    <m/>
    <s v="Break 30 Morning"/>
    <d v="1899-12-30T12:15:00"/>
    <d v="1899-12-30T12:45:00"/>
    <n v="0"/>
    <x v="1"/>
  </r>
  <r>
    <x v="0"/>
    <s v="Egypt"/>
    <x v="11"/>
    <x v="54"/>
    <x v="54"/>
    <m/>
    <m/>
    <s v="Friday Pray"/>
    <d v="1899-12-30T12:50:00"/>
    <d v="1899-12-30T13:35:00"/>
    <n v="0"/>
    <x v="1"/>
  </r>
  <r>
    <x v="0"/>
    <s v="Egypt"/>
    <x v="11"/>
    <x v="54"/>
    <x v="54"/>
    <d v="2025-06-07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0:45:00"/>
    <d v="1899-12-30T21:00:00"/>
    <n v="0"/>
    <x v="1"/>
  </r>
  <r>
    <x v="0"/>
    <s v="Egypt"/>
    <x v="11"/>
    <x v="54"/>
    <x v="54"/>
    <m/>
    <m/>
    <s v="Break 30 Night"/>
    <s v="+12:00 AM"/>
    <s v="+12:30 AM"/>
    <n v="0"/>
    <x v="1"/>
  </r>
  <r>
    <x v="0"/>
    <s v="Egypt"/>
    <x v="11"/>
    <x v="54"/>
    <x v="54"/>
    <d v="2025-06-08T00:00:00"/>
    <d v="1899-12-30T08:15:00"/>
    <s v="Public holiday"/>
    <m/>
    <m/>
    <n v="29700"/>
    <x v="1"/>
  </r>
  <r>
    <x v="0"/>
    <s v="Egypt"/>
    <x v="11"/>
    <x v="54"/>
    <x v="54"/>
    <d v="2025-06-09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7:30:00"/>
    <d v="1899-12-30T17:45:00"/>
    <n v="0"/>
    <x v="1"/>
  </r>
  <r>
    <x v="0"/>
    <s v="Egypt"/>
    <x v="11"/>
    <x v="54"/>
    <x v="54"/>
    <m/>
    <m/>
    <s v="Break 30 Night"/>
    <d v="1899-12-30T20:30:00"/>
    <d v="1899-12-30T21:00:00"/>
    <n v="0"/>
    <x v="1"/>
  </r>
  <r>
    <x v="0"/>
    <s v="Egypt"/>
    <x v="11"/>
    <x v="54"/>
    <x v="54"/>
    <d v="2025-06-10T00:00:00"/>
    <m/>
    <s v="Day Off"/>
    <m/>
    <m/>
    <n v="0"/>
    <x v="1"/>
  </r>
  <r>
    <x v="0"/>
    <s v="Egypt"/>
    <x v="11"/>
    <x v="54"/>
    <x v="54"/>
    <d v="2025-06-11T00:00:00"/>
    <m/>
    <s v="Day Off"/>
    <m/>
    <m/>
    <n v="0"/>
    <x v="1"/>
  </r>
  <r>
    <x v="0"/>
    <s v="Egypt"/>
    <x v="11"/>
    <x v="54"/>
    <x v="54"/>
    <d v="2025-06-12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30:00"/>
    <d v="1899-12-30T21:45:00"/>
    <n v="0"/>
    <x v="1"/>
  </r>
  <r>
    <x v="0"/>
    <s v="Egypt"/>
    <x v="11"/>
    <x v="54"/>
    <x v="54"/>
    <m/>
    <m/>
    <s v="Break 30 Night"/>
    <s v="+12:00 AM"/>
    <s v="+12:30 AM"/>
    <n v="0"/>
    <x v="1"/>
  </r>
  <r>
    <x v="0"/>
    <s v="Egypt"/>
    <x v="11"/>
    <x v="54"/>
    <x v="54"/>
    <d v="2025-06-13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00:00"/>
    <d v="1899-12-30T21:15:00"/>
    <n v="0"/>
    <x v="1"/>
  </r>
  <r>
    <x v="0"/>
    <s v="Egypt"/>
    <x v="11"/>
    <x v="54"/>
    <x v="54"/>
    <m/>
    <m/>
    <s v="Break 30 Night"/>
    <s v="+12:00 AM"/>
    <s v="+12:30 AM"/>
    <n v="0"/>
    <x v="1"/>
  </r>
  <r>
    <x v="0"/>
    <s v="Egypt"/>
    <x v="11"/>
    <x v="54"/>
    <x v="54"/>
    <d v="2025-06-14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15:00"/>
    <d v="1899-12-30T21:30:00"/>
    <n v="0"/>
    <x v="1"/>
  </r>
  <r>
    <x v="0"/>
    <s v="Egypt"/>
    <x v="11"/>
    <x v="54"/>
    <x v="54"/>
    <m/>
    <m/>
    <s v="Break 30 Night"/>
    <d v="1899-12-30T23:30:00"/>
    <s v="+12:00 AM"/>
    <n v="0"/>
    <x v="1"/>
  </r>
  <r>
    <x v="0"/>
    <s v="Egypt"/>
    <x v="11"/>
    <x v="54"/>
    <x v="54"/>
    <d v="2025-06-15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30:00"/>
    <d v="1899-12-30T21:45:00"/>
    <n v="0"/>
    <x v="1"/>
  </r>
  <r>
    <x v="0"/>
    <s v="Egypt"/>
    <x v="11"/>
    <x v="54"/>
    <x v="54"/>
    <m/>
    <m/>
    <s v="Break 30 Night"/>
    <s v="+12:15 AM"/>
    <s v="+12:45 AM"/>
    <n v="0"/>
    <x v="1"/>
  </r>
  <r>
    <x v="0"/>
    <s v="Egypt"/>
    <x v="11"/>
    <x v="54"/>
    <x v="54"/>
    <d v="2025-06-16T00:00:00"/>
    <m/>
    <s v="Day Off"/>
    <m/>
    <m/>
    <n v="0"/>
    <x v="1"/>
  </r>
  <r>
    <x v="0"/>
    <s v="Egypt"/>
    <x v="11"/>
    <x v="54"/>
    <x v="54"/>
    <d v="2025-06-17T00:00:00"/>
    <m/>
    <s v="Day Off"/>
    <m/>
    <m/>
    <n v="0"/>
    <x v="1"/>
  </r>
  <r>
    <x v="0"/>
    <s v="Egypt"/>
    <x v="11"/>
    <x v="54"/>
    <x v="54"/>
    <d v="2025-06-18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8:00:00"/>
    <d v="1899-12-30T18:15:00"/>
    <n v="0"/>
    <x v="1"/>
  </r>
  <r>
    <x v="0"/>
    <s v="Egypt"/>
    <x v="11"/>
    <x v="54"/>
    <x v="54"/>
    <m/>
    <m/>
    <s v="Break 30 Night"/>
    <d v="1899-12-30T20:45:00"/>
    <d v="1899-12-30T21:15:00"/>
    <n v="0"/>
    <x v="1"/>
  </r>
  <r>
    <x v="0"/>
    <s v="Egypt"/>
    <x v="11"/>
    <x v="54"/>
    <x v="54"/>
    <d v="2025-06-19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8:00:00"/>
    <d v="1899-12-30T18:15:00"/>
    <n v="0"/>
    <x v="1"/>
  </r>
  <r>
    <x v="0"/>
    <s v="Egypt"/>
    <x v="11"/>
    <x v="54"/>
    <x v="54"/>
    <m/>
    <m/>
    <s v="Break 30 Night"/>
    <d v="1899-12-30T20:45:00"/>
    <d v="1899-12-30T21:15:00"/>
    <n v="0"/>
    <x v="1"/>
  </r>
  <r>
    <x v="0"/>
    <s v="Egypt"/>
    <x v="11"/>
    <x v="54"/>
    <x v="54"/>
    <d v="2025-06-20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8:00:00"/>
    <d v="1899-12-30T18:15:00"/>
    <n v="0"/>
    <x v="1"/>
  </r>
  <r>
    <x v="0"/>
    <s v="Egypt"/>
    <x v="11"/>
    <x v="54"/>
    <x v="54"/>
    <m/>
    <m/>
    <s v="Break 30 Night"/>
    <d v="1899-12-30T20:45:00"/>
    <d v="1899-12-30T21:15:00"/>
    <n v="0"/>
    <x v="1"/>
  </r>
  <r>
    <x v="0"/>
    <s v="Egypt"/>
    <x v="11"/>
    <x v="54"/>
    <x v="54"/>
    <d v="2025-06-21T00:00:00"/>
    <d v="1899-12-30T08:15:00"/>
    <s v="Annual Exception"/>
    <m/>
    <m/>
    <n v="29700"/>
    <x v="1"/>
  </r>
  <r>
    <x v="0"/>
    <s v="Egypt"/>
    <x v="11"/>
    <x v="54"/>
    <x v="54"/>
    <d v="2025-06-22T00:00:00"/>
    <m/>
    <s v="Day Off"/>
    <m/>
    <m/>
    <n v="0"/>
    <x v="1"/>
  </r>
  <r>
    <x v="0"/>
    <s v="Egypt"/>
    <x v="11"/>
    <x v="54"/>
    <x v="54"/>
    <d v="2025-06-23T00:00:00"/>
    <m/>
    <s v="Day Off"/>
    <m/>
    <m/>
    <n v="0"/>
    <x v="1"/>
  </r>
  <r>
    <x v="0"/>
    <s v="Egypt"/>
    <x v="11"/>
    <x v="54"/>
    <x v="54"/>
    <d v="2025-06-24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15:00"/>
    <d v="1899-12-30T21:30:00"/>
    <n v="0"/>
    <x v="1"/>
  </r>
  <r>
    <x v="0"/>
    <s v="Egypt"/>
    <x v="11"/>
    <x v="54"/>
    <x v="54"/>
    <m/>
    <m/>
    <s v="Break 30 Night"/>
    <d v="1899-12-30T23:45:00"/>
    <s v="+12:15 AM"/>
    <n v="0"/>
    <x v="1"/>
  </r>
  <r>
    <x v="0"/>
    <s v="Egypt"/>
    <x v="11"/>
    <x v="54"/>
    <x v="54"/>
    <d v="2025-06-25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0:15:00"/>
    <d v="1899-12-30T20:30:00"/>
    <n v="0"/>
    <x v="1"/>
  </r>
  <r>
    <x v="0"/>
    <s v="Egypt"/>
    <x v="11"/>
    <x v="54"/>
    <x v="54"/>
    <m/>
    <m/>
    <s v="Break 30 Night"/>
    <d v="1899-12-30T23:15:00"/>
    <d v="1899-12-30T23:45:00"/>
    <n v="0"/>
    <x v="1"/>
  </r>
  <r>
    <x v="0"/>
    <s v="Egypt"/>
    <x v="11"/>
    <x v="54"/>
    <x v="54"/>
    <d v="2025-06-26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00:00"/>
    <d v="1899-12-30T21:15:00"/>
    <n v="0"/>
    <x v="1"/>
  </r>
  <r>
    <x v="0"/>
    <s v="Egypt"/>
    <x v="11"/>
    <x v="54"/>
    <x v="54"/>
    <m/>
    <m/>
    <s v="Break 30 Night"/>
    <s v="+12:30 AM"/>
    <s v="+1:00 AM"/>
    <n v="0"/>
    <x v="1"/>
  </r>
  <r>
    <x v="0"/>
    <s v="Egypt"/>
    <x v="11"/>
    <x v="54"/>
    <x v="54"/>
    <d v="2025-06-27T00:00:00"/>
    <d v="1899-12-30T08:15:00"/>
    <s v="Annual Exception"/>
    <m/>
    <m/>
    <n v="29700"/>
    <x v="1"/>
  </r>
  <r>
    <x v="0"/>
    <s v="Egypt"/>
    <x v="11"/>
    <x v="54"/>
    <x v="54"/>
    <d v="2025-06-28T00:00:00"/>
    <d v="1899-12-30T08:15:00"/>
    <s v="Non Telecom"/>
    <d v="1899-12-30T19:15:00"/>
    <s v="+3:30 AM"/>
    <n v="29700"/>
    <x v="0"/>
  </r>
  <r>
    <x v="0"/>
    <s v="Egypt"/>
    <x v="11"/>
    <x v="54"/>
    <x v="54"/>
    <m/>
    <m/>
    <s v="Break 15 Night"/>
    <d v="1899-12-30T21:30:00"/>
    <d v="1899-12-30T21:45:00"/>
    <n v="0"/>
    <x v="1"/>
  </r>
  <r>
    <x v="0"/>
    <s v="Egypt"/>
    <x v="11"/>
    <x v="54"/>
    <x v="54"/>
    <m/>
    <m/>
    <s v="Break 30 Night"/>
    <s v="+12:30 AM"/>
    <s v="+1:00 AM"/>
    <n v="0"/>
    <x v="1"/>
  </r>
  <r>
    <x v="0"/>
    <s v="Egypt"/>
    <x v="11"/>
    <x v="54"/>
    <x v="54"/>
    <d v="2025-06-29T00:00:00"/>
    <m/>
    <s v="Day Off"/>
    <m/>
    <m/>
    <n v="0"/>
    <x v="1"/>
  </r>
  <r>
    <x v="0"/>
    <s v="Egypt"/>
    <x v="11"/>
    <x v="54"/>
    <x v="54"/>
    <d v="2025-06-30T00:00:00"/>
    <d v="1899-12-30T08:15:00"/>
    <s v="Non Telecom"/>
    <d v="1899-12-30T16:15:00"/>
    <s v="+12:30 AM"/>
    <n v="29700"/>
    <x v="0"/>
  </r>
  <r>
    <x v="0"/>
    <s v="Egypt"/>
    <x v="11"/>
    <x v="54"/>
    <x v="54"/>
    <m/>
    <m/>
    <s v="Break 15 Night"/>
    <d v="1899-12-30T18:30:00"/>
    <d v="1899-12-30T18:45:00"/>
    <n v="0"/>
    <x v="1"/>
  </r>
  <r>
    <x v="0"/>
    <s v="Egypt"/>
    <x v="11"/>
    <x v="54"/>
    <x v="54"/>
    <m/>
    <m/>
    <s v="Break 30 Night"/>
    <d v="1899-12-30T21:30:00"/>
    <d v="1899-12-30T22:00:00"/>
    <n v="0"/>
    <x v="1"/>
  </r>
  <r>
    <x v="0"/>
    <s v="Egypt"/>
    <x v="11"/>
    <x v="55"/>
    <x v="55"/>
    <d v="2025-06-01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7:30:00"/>
    <d v="1899-12-30T17:45:00"/>
    <n v="0"/>
    <x v="1"/>
  </r>
  <r>
    <x v="0"/>
    <s v="Egypt"/>
    <x v="11"/>
    <x v="55"/>
    <x v="55"/>
    <m/>
    <m/>
    <s v="Break 30 Night"/>
    <d v="1899-12-30T20:45:00"/>
    <d v="1899-12-30T21:15:00"/>
    <n v="0"/>
    <x v="1"/>
  </r>
  <r>
    <x v="0"/>
    <s v="Egypt"/>
    <x v="11"/>
    <x v="55"/>
    <x v="55"/>
    <d v="2025-06-02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7:30:00"/>
    <d v="1899-12-30T17:45:00"/>
    <n v="0"/>
    <x v="1"/>
  </r>
  <r>
    <x v="0"/>
    <s v="Egypt"/>
    <x v="11"/>
    <x v="55"/>
    <x v="55"/>
    <m/>
    <m/>
    <s v="Break 30 Night"/>
    <d v="1899-12-30T20:45:00"/>
    <d v="1899-12-30T21:15:00"/>
    <n v="0"/>
    <x v="1"/>
  </r>
  <r>
    <x v="0"/>
    <s v="Egypt"/>
    <x v="11"/>
    <x v="55"/>
    <x v="55"/>
    <d v="2025-06-03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8:00:00"/>
    <d v="1899-12-30T18:15:00"/>
    <n v="0"/>
    <x v="1"/>
  </r>
  <r>
    <x v="0"/>
    <s v="Egypt"/>
    <x v="11"/>
    <x v="55"/>
    <x v="55"/>
    <m/>
    <m/>
    <s v="Break 30 Night"/>
    <d v="1899-12-30T20:45:00"/>
    <d v="1899-12-30T21:15:00"/>
    <n v="0"/>
    <x v="1"/>
  </r>
  <r>
    <x v="0"/>
    <s v="Egypt"/>
    <x v="11"/>
    <x v="55"/>
    <x v="55"/>
    <d v="2025-06-04T00:00:00"/>
    <m/>
    <s v="Day Off"/>
    <m/>
    <m/>
    <n v="0"/>
    <x v="1"/>
  </r>
  <r>
    <x v="0"/>
    <s v="Egypt"/>
    <x v="11"/>
    <x v="55"/>
    <x v="55"/>
    <d v="2025-06-05T00:00:00"/>
    <m/>
    <s v="Day Off"/>
    <m/>
    <m/>
    <n v="0"/>
    <x v="1"/>
  </r>
  <r>
    <x v="0"/>
    <s v="Egypt"/>
    <x v="11"/>
    <x v="55"/>
    <x v="55"/>
    <d v="2025-06-06T00:00:00"/>
    <d v="1899-12-30T08:15:00"/>
    <s v="Public holiday"/>
    <m/>
    <m/>
    <n v="29700"/>
    <x v="1"/>
  </r>
  <r>
    <x v="0"/>
    <s v="Egypt"/>
    <x v="11"/>
    <x v="55"/>
    <x v="55"/>
    <d v="2025-06-07T00:00:00"/>
    <d v="1899-12-30T08:15:00"/>
    <s v="Uncertified Sick Leave"/>
    <m/>
    <m/>
    <n v="29700"/>
    <x v="1"/>
  </r>
  <r>
    <x v="0"/>
    <s v="Egypt"/>
    <x v="11"/>
    <x v="55"/>
    <x v="55"/>
    <d v="2025-06-08T00:00:00"/>
    <d v="1899-12-30T08:15:00"/>
    <s v="Non Telecom"/>
    <d v="1899-12-30T19:15:00"/>
    <s v="+3:30 AM"/>
    <n v="29700"/>
    <x v="0"/>
  </r>
  <r>
    <x v="0"/>
    <s v="Egypt"/>
    <x v="11"/>
    <x v="55"/>
    <x v="55"/>
    <m/>
    <m/>
    <s v="Break 15 Night"/>
    <d v="1899-12-30T20:30:00"/>
    <d v="1899-12-30T20:45:00"/>
    <n v="0"/>
    <x v="1"/>
  </r>
  <r>
    <x v="0"/>
    <s v="Egypt"/>
    <x v="11"/>
    <x v="55"/>
    <x v="55"/>
    <m/>
    <m/>
    <s v="Break 30 Night"/>
    <d v="1899-12-30T23:45:00"/>
    <s v="+12:15 AM"/>
    <n v="0"/>
    <x v="1"/>
  </r>
  <r>
    <x v="0"/>
    <s v="Egypt"/>
    <x v="11"/>
    <x v="55"/>
    <x v="55"/>
    <d v="2025-06-09T00:00:00"/>
    <d v="1899-12-30T08:15:00"/>
    <s v="Non Telecom"/>
    <d v="1899-12-30T19:15:00"/>
    <s v="+3:30 AM"/>
    <n v="29700"/>
    <x v="0"/>
  </r>
  <r>
    <x v="0"/>
    <s v="Egypt"/>
    <x v="11"/>
    <x v="55"/>
    <x v="55"/>
    <m/>
    <m/>
    <s v="Break 15 Night"/>
    <d v="1899-12-30T20:15:00"/>
    <d v="1899-12-30T20:30:00"/>
    <n v="0"/>
    <x v="1"/>
  </r>
  <r>
    <x v="0"/>
    <s v="Egypt"/>
    <x v="11"/>
    <x v="55"/>
    <x v="55"/>
    <m/>
    <m/>
    <s v="Break 30 Night"/>
    <d v="1899-12-30T23:15:00"/>
    <d v="1899-12-30T23:45:00"/>
    <n v="0"/>
    <x v="1"/>
  </r>
  <r>
    <x v="0"/>
    <s v="Egypt"/>
    <x v="11"/>
    <x v="55"/>
    <x v="55"/>
    <m/>
    <m/>
    <s v="Leave Early"/>
    <s v="+1:30 AM"/>
    <s v="+3:30 AM"/>
    <n v="0"/>
    <x v="1"/>
  </r>
  <r>
    <x v="0"/>
    <s v="Egypt"/>
    <x v="11"/>
    <x v="55"/>
    <x v="55"/>
    <d v="2025-06-10T00:00:00"/>
    <m/>
    <s v="Day Off"/>
    <m/>
    <m/>
    <n v="0"/>
    <x v="1"/>
  </r>
  <r>
    <x v="0"/>
    <s v="Egypt"/>
    <x v="11"/>
    <x v="55"/>
    <x v="55"/>
    <d v="2025-06-11T00:00:00"/>
    <m/>
    <s v="Day Off"/>
    <m/>
    <m/>
    <n v="0"/>
    <x v="1"/>
  </r>
  <r>
    <x v="0"/>
    <s v="Egypt"/>
    <x v="11"/>
    <x v="55"/>
    <x v="55"/>
    <d v="2025-06-12T00:00:00"/>
    <d v="1899-12-30T13:30:00"/>
    <s v="Non Telecom"/>
    <d v="1899-12-30T11:00:00"/>
    <s v="+12:30 AM"/>
    <n v="48600"/>
    <x v="0"/>
  </r>
  <r>
    <x v="0"/>
    <s v="Egypt"/>
    <x v="11"/>
    <x v="55"/>
    <x v="55"/>
    <m/>
    <m/>
    <s v="Shift Move"/>
    <d v="1899-12-30T11:00:00"/>
    <d v="1899-12-30T16:15:00"/>
    <n v="0"/>
    <x v="1"/>
  </r>
  <r>
    <x v="0"/>
    <s v="Egypt"/>
    <x v="11"/>
    <x v="55"/>
    <x v="55"/>
    <m/>
    <m/>
    <s v="Break 15 Morning"/>
    <d v="1899-12-30T18:15:00"/>
    <d v="1899-12-30T18:30:00"/>
    <n v="0"/>
    <x v="1"/>
  </r>
  <r>
    <x v="0"/>
    <s v="Egypt"/>
    <x v="11"/>
    <x v="55"/>
    <x v="55"/>
    <m/>
    <m/>
    <s v="Break 30 Morning"/>
    <d v="1899-12-30T21:30:00"/>
    <d v="1899-12-30T22:00:00"/>
    <n v="0"/>
    <x v="1"/>
  </r>
  <r>
    <x v="0"/>
    <s v="Egypt"/>
    <x v="11"/>
    <x v="55"/>
    <x v="55"/>
    <d v="2025-06-13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7:15:00"/>
    <d v="1899-12-30T17:30:00"/>
    <n v="0"/>
    <x v="1"/>
  </r>
  <r>
    <x v="0"/>
    <s v="Egypt"/>
    <x v="11"/>
    <x v="55"/>
    <x v="55"/>
    <m/>
    <m/>
    <s v="Break 30 Night"/>
    <d v="1899-12-30T20:30:00"/>
    <d v="1899-12-30T21:00:00"/>
    <n v="0"/>
    <x v="1"/>
  </r>
  <r>
    <x v="0"/>
    <s v="Egypt"/>
    <x v="11"/>
    <x v="55"/>
    <x v="55"/>
    <d v="2025-06-14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7:30:00"/>
    <d v="1899-12-30T17:45:00"/>
    <n v="0"/>
    <x v="1"/>
  </r>
  <r>
    <x v="0"/>
    <s v="Egypt"/>
    <x v="11"/>
    <x v="55"/>
    <x v="55"/>
    <m/>
    <m/>
    <s v="Break 30 Night"/>
    <d v="1899-12-30T20:30:00"/>
    <d v="1899-12-30T21:00:00"/>
    <n v="0"/>
    <x v="1"/>
  </r>
  <r>
    <x v="0"/>
    <s v="Egypt"/>
    <x v="11"/>
    <x v="55"/>
    <x v="55"/>
    <d v="2025-06-15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8:15:00"/>
    <d v="1899-12-30T18:30:00"/>
    <n v="0"/>
    <x v="1"/>
  </r>
  <r>
    <x v="0"/>
    <s v="Egypt"/>
    <x v="11"/>
    <x v="55"/>
    <x v="55"/>
    <m/>
    <m/>
    <s v="Break 30 Night"/>
    <d v="1899-12-30T21:15:00"/>
    <d v="1899-12-30T21:45:00"/>
    <n v="0"/>
    <x v="1"/>
  </r>
  <r>
    <x v="0"/>
    <s v="Egypt"/>
    <x v="11"/>
    <x v="55"/>
    <x v="55"/>
    <d v="2025-06-16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9:15:00"/>
    <d v="1899-12-30T19:30:00"/>
    <n v="0"/>
    <x v="1"/>
  </r>
  <r>
    <x v="0"/>
    <s v="Egypt"/>
    <x v="11"/>
    <x v="55"/>
    <x v="55"/>
    <m/>
    <m/>
    <s v="Break 30 Night"/>
    <d v="1899-12-30T22:00:00"/>
    <d v="1899-12-30T22:30:00"/>
    <n v="0"/>
    <x v="1"/>
  </r>
  <r>
    <x v="0"/>
    <s v="Egypt"/>
    <x v="11"/>
    <x v="55"/>
    <x v="55"/>
    <d v="2025-06-17T00:00:00"/>
    <m/>
    <s v="Day Off"/>
    <m/>
    <m/>
    <n v="0"/>
    <x v="1"/>
  </r>
  <r>
    <x v="0"/>
    <s v="Egypt"/>
    <x v="11"/>
    <x v="55"/>
    <x v="55"/>
    <d v="2025-06-18T00:00:00"/>
    <m/>
    <s v="Day Off"/>
    <m/>
    <m/>
    <n v="0"/>
    <x v="1"/>
  </r>
  <r>
    <x v="0"/>
    <s v="Egypt"/>
    <x v="11"/>
    <x v="55"/>
    <x v="55"/>
    <d v="2025-06-19T00:00:00"/>
    <d v="1899-12-30T08:15:00"/>
    <s v="Non Telecom"/>
    <d v="1899-12-30T17:15:00"/>
    <s v="+1:30 AM"/>
    <n v="29700"/>
    <x v="0"/>
  </r>
  <r>
    <x v="0"/>
    <s v="Egypt"/>
    <x v="11"/>
    <x v="55"/>
    <x v="55"/>
    <m/>
    <m/>
    <s v="Break 15 Night"/>
    <d v="1899-12-30T19:30:00"/>
    <d v="1899-12-30T19:45:00"/>
    <n v="0"/>
    <x v="1"/>
  </r>
  <r>
    <x v="0"/>
    <s v="Egypt"/>
    <x v="11"/>
    <x v="55"/>
    <x v="55"/>
    <m/>
    <m/>
    <s v="Break 30 Night"/>
    <d v="1899-12-30T22:30:00"/>
    <d v="1899-12-30T23:00:00"/>
    <n v="0"/>
    <x v="1"/>
  </r>
  <r>
    <x v="0"/>
    <s v="Egypt"/>
    <x v="11"/>
    <x v="55"/>
    <x v="55"/>
    <m/>
    <m/>
    <s v="Leave Early"/>
    <s v="+12:30 AM"/>
    <s v="+1:30 AM"/>
    <n v="0"/>
    <x v="1"/>
  </r>
  <r>
    <x v="0"/>
    <s v="Egypt"/>
    <x v="11"/>
    <x v="55"/>
    <x v="55"/>
    <d v="2025-06-20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8:15:00"/>
    <d v="1899-12-30T18:30:00"/>
    <n v="0"/>
    <x v="1"/>
  </r>
  <r>
    <x v="0"/>
    <s v="Egypt"/>
    <x v="11"/>
    <x v="55"/>
    <x v="55"/>
    <m/>
    <m/>
    <s v="Break 30 Night"/>
    <d v="1899-12-30T20:45:00"/>
    <d v="1899-12-30T21:15:00"/>
    <n v="0"/>
    <x v="1"/>
  </r>
  <r>
    <x v="0"/>
    <s v="Egypt"/>
    <x v="11"/>
    <x v="55"/>
    <x v="55"/>
    <d v="2025-06-21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7:30:00"/>
    <d v="1899-12-30T17:45:00"/>
    <n v="0"/>
    <x v="1"/>
  </r>
  <r>
    <x v="0"/>
    <s v="Egypt"/>
    <x v="11"/>
    <x v="55"/>
    <x v="55"/>
    <m/>
    <m/>
    <s v="Break 30 Night"/>
    <d v="1899-12-30T20:30:00"/>
    <d v="1899-12-30T21:00:00"/>
    <n v="0"/>
    <x v="1"/>
  </r>
  <r>
    <x v="0"/>
    <s v="Egypt"/>
    <x v="11"/>
    <x v="55"/>
    <x v="55"/>
    <d v="2025-06-22T00:00:00"/>
    <d v="1899-12-30T08:15:00"/>
    <s v="Non Telecom"/>
    <d v="1899-12-30T16:15:00"/>
    <s v="+12:30 AM"/>
    <n v="29700"/>
    <x v="0"/>
  </r>
  <r>
    <x v="0"/>
    <s v="Egypt"/>
    <x v="11"/>
    <x v="55"/>
    <x v="55"/>
    <m/>
    <m/>
    <s v="Break 15 Night"/>
    <d v="1899-12-30T18:45:00"/>
    <d v="1899-12-30T19:00:00"/>
    <n v="0"/>
    <x v="1"/>
  </r>
  <r>
    <x v="0"/>
    <s v="Egypt"/>
    <x v="11"/>
    <x v="55"/>
    <x v="55"/>
    <m/>
    <m/>
    <s v="Break 30 Night"/>
    <d v="1899-12-30T21:15:00"/>
    <d v="1899-12-30T21:45:00"/>
    <n v="0"/>
    <x v="1"/>
  </r>
  <r>
    <x v="0"/>
    <s v="Egypt"/>
    <x v="11"/>
    <x v="55"/>
    <x v="55"/>
    <d v="2025-06-23T00:00:00"/>
    <m/>
    <s v="Day Off"/>
    <m/>
    <m/>
    <n v="0"/>
    <x v="1"/>
  </r>
  <r>
    <x v="0"/>
    <s v="Egypt"/>
    <x v="11"/>
    <x v="55"/>
    <x v="55"/>
    <d v="2025-06-24T00:00:00"/>
    <m/>
    <s v="Day Off"/>
    <m/>
    <m/>
    <n v="0"/>
    <x v="1"/>
  </r>
  <r>
    <x v="0"/>
    <s v="Egypt"/>
    <x v="11"/>
    <x v="55"/>
    <x v="55"/>
    <d v="2025-06-25T00:00:00"/>
    <d v="1899-12-30T08:15:00"/>
    <s v="Non Telecom"/>
    <d v="1899-12-30T19:15:00"/>
    <s v="+3:30 AM"/>
    <n v="29700"/>
    <x v="0"/>
  </r>
  <r>
    <x v="0"/>
    <s v="Egypt"/>
    <x v="11"/>
    <x v="55"/>
    <x v="55"/>
    <m/>
    <m/>
    <s v="Break 15 Night"/>
    <d v="1899-12-30T21:15:00"/>
    <d v="1899-12-30T21:30:00"/>
    <n v="0"/>
    <x v="1"/>
  </r>
  <r>
    <x v="0"/>
    <s v="Egypt"/>
    <x v="11"/>
    <x v="55"/>
    <x v="55"/>
    <m/>
    <m/>
    <s v="Break 30 Night"/>
    <s v="+12:30 AM"/>
    <s v="+1:00 AM"/>
    <n v="0"/>
    <x v="1"/>
  </r>
  <r>
    <x v="0"/>
    <s v="Egypt"/>
    <x v="11"/>
    <x v="55"/>
    <x v="55"/>
    <d v="2025-06-26T00:00:00"/>
    <d v="1899-12-30T08:15:00"/>
    <s v="Non Telecom"/>
    <d v="1899-12-30T19:15:00"/>
    <s v="+3:30 AM"/>
    <n v="29700"/>
    <x v="0"/>
  </r>
  <r>
    <x v="0"/>
    <s v="Egypt"/>
    <x v="11"/>
    <x v="55"/>
    <x v="55"/>
    <m/>
    <m/>
    <s v="Break 15 Night"/>
    <d v="1899-12-30T21:00:00"/>
    <d v="1899-12-30T21:15:00"/>
    <n v="0"/>
    <x v="1"/>
  </r>
  <r>
    <x v="0"/>
    <s v="Egypt"/>
    <x v="11"/>
    <x v="55"/>
    <x v="55"/>
    <m/>
    <m/>
    <s v="Break 30 Night"/>
    <s v="+12:30 AM"/>
    <s v="+1:00 AM"/>
    <n v="0"/>
    <x v="1"/>
  </r>
  <r>
    <x v="0"/>
    <s v="Egypt"/>
    <x v="11"/>
    <x v="55"/>
    <x v="55"/>
    <d v="2025-06-27T00:00:00"/>
    <d v="1899-12-30T08:15:00"/>
    <s v="Non Telecom"/>
    <d v="1899-12-30T19:15:00"/>
    <s v="+3:30 AM"/>
    <n v="29700"/>
    <x v="0"/>
  </r>
  <r>
    <x v="0"/>
    <s v="Egypt"/>
    <x v="11"/>
    <x v="55"/>
    <x v="55"/>
    <m/>
    <m/>
    <s v="Break 15 Night"/>
    <d v="1899-12-30T21:15:00"/>
    <d v="1899-12-30T21:30:00"/>
    <n v="0"/>
    <x v="1"/>
  </r>
  <r>
    <x v="0"/>
    <s v="Egypt"/>
    <x v="11"/>
    <x v="55"/>
    <x v="55"/>
    <m/>
    <m/>
    <s v="Break 30 Night"/>
    <s v="+12:15 AM"/>
    <s v="+12:45 AM"/>
    <n v="0"/>
    <x v="1"/>
  </r>
  <r>
    <x v="0"/>
    <s v="Egypt"/>
    <x v="11"/>
    <x v="55"/>
    <x v="55"/>
    <d v="2025-06-28T00:00:00"/>
    <d v="1899-12-30T08:15:00"/>
    <s v="Compensation"/>
    <m/>
    <m/>
    <n v="29700"/>
    <x v="1"/>
  </r>
  <r>
    <x v="0"/>
    <s v="Egypt"/>
    <x v="11"/>
    <x v="55"/>
    <x v="55"/>
    <d v="2025-06-29T00:00:00"/>
    <m/>
    <s v="Day Off"/>
    <m/>
    <m/>
    <n v="0"/>
    <x v="1"/>
  </r>
  <r>
    <x v="0"/>
    <s v="Egypt"/>
    <x v="11"/>
    <x v="55"/>
    <x v="55"/>
    <d v="2025-06-30T00:00:00"/>
    <m/>
    <s v="Day Off"/>
    <m/>
    <m/>
    <n v="0"/>
    <x v="1"/>
  </r>
  <r>
    <x v="0"/>
    <s v="Egypt"/>
    <x v="11"/>
    <x v="56"/>
    <x v="56"/>
    <d v="2025-06-01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Break 15 Night"/>
    <d v="1899-12-30T17:45:00"/>
    <d v="1899-12-30T18:00:00"/>
    <n v="0"/>
    <x v="1"/>
  </r>
  <r>
    <x v="0"/>
    <s v="Egypt"/>
    <x v="11"/>
    <x v="56"/>
    <x v="56"/>
    <m/>
    <m/>
    <s v="Break 30 Night"/>
    <d v="1899-12-30T21:15:00"/>
    <d v="1899-12-30T21:45:00"/>
    <n v="0"/>
    <x v="1"/>
  </r>
  <r>
    <x v="0"/>
    <s v="Egypt"/>
    <x v="11"/>
    <x v="56"/>
    <x v="56"/>
    <d v="2025-06-02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Break 15 Night"/>
    <d v="1899-12-30T18:00:00"/>
    <d v="1899-12-30T18:15:00"/>
    <n v="0"/>
    <x v="1"/>
  </r>
  <r>
    <x v="0"/>
    <s v="Egypt"/>
    <x v="11"/>
    <x v="56"/>
    <x v="56"/>
    <m/>
    <m/>
    <s v="Break 30 Night"/>
    <d v="1899-12-30T21:45:00"/>
    <d v="1899-12-30T22:15:00"/>
    <n v="0"/>
    <x v="1"/>
  </r>
  <r>
    <x v="0"/>
    <s v="Egypt"/>
    <x v="11"/>
    <x v="56"/>
    <x v="56"/>
    <d v="2025-06-03T00:00:00"/>
    <d v="1899-12-30T08:15:00"/>
    <s v="Planned Training"/>
    <m/>
    <m/>
    <n v="29700"/>
    <x v="1"/>
  </r>
  <r>
    <x v="0"/>
    <s v="Egypt"/>
    <x v="11"/>
    <x v="56"/>
    <x v="56"/>
    <d v="2025-06-04T00:00:00"/>
    <d v="1899-12-30T08:15:00"/>
    <s v="Planned Training"/>
    <m/>
    <m/>
    <n v="29700"/>
    <x v="1"/>
  </r>
  <r>
    <x v="0"/>
    <s v="Egypt"/>
    <x v="11"/>
    <x v="56"/>
    <x v="56"/>
    <d v="2025-06-05T00:00:00"/>
    <d v="1899-12-30T08:15:00"/>
    <s v="Planned Training"/>
    <m/>
    <m/>
    <n v="29700"/>
    <x v="1"/>
  </r>
  <r>
    <x v="0"/>
    <s v="Egypt"/>
    <x v="11"/>
    <x v="56"/>
    <x v="56"/>
    <d v="2025-06-06T00:00:00"/>
    <m/>
    <s v="Day Off"/>
    <m/>
    <m/>
    <n v="0"/>
    <x v="1"/>
  </r>
  <r>
    <x v="0"/>
    <s v="Egypt"/>
    <x v="11"/>
    <x v="56"/>
    <x v="56"/>
    <d v="2025-06-07T00:00:00"/>
    <m/>
    <s v="Day Off"/>
    <m/>
    <m/>
    <n v="0"/>
    <x v="1"/>
  </r>
  <r>
    <x v="0"/>
    <s v="Egypt"/>
    <x v="11"/>
    <x v="56"/>
    <x v="56"/>
    <d v="2025-06-08T00:00:00"/>
    <d v="1899-12-30T08:15:00"/>
    <s v="Planned Training"/>
    <m/>
    <m/>
    <n v="29700"/>
    <x v="1"/>
  </r>
  <r>
    <x v="0"/>
    <s v="Egypt"/>
    <x v="11"/>
    <x v="56"/>
    <x v="56"/>
    <d v="2025-06-09T00:00:00"/>
    <d v="1899-12-30T08:15:00"/>
    <s v="Planned Training"/>
    <m/>
    <m/>
    <n v="29700"/>
    <x v="1"/>
  </r>
  <r>
    <x v="0"/>
    <s v="Egypt"/>
    <x v="11"/>
    <x v="56"/>
    <x v="56"/>
    <d v="2025-06-10T00:00:00"/>
    <d v="1899-12-30T08:15:00"/>
    <s v="Planned Training"/>
    <m/>
    <m/>
    <n v="29700"/>
    <x v="1"/>
  </r>
  <r>
    <x v="0"/>
    <s v="Egypt"/>
    <x v="11"/>
    <x v="56"/>
    <x v="56"/>
    <d v="2025-06-11T00:00:00"/>
    <d v="1899-12-30T08:15:00"/>
    <s v="Planned Training"/>
    <m/>
    <m/>
    <n v="29700"/>
    <x v="1"/>
  </r>
  <r>
    <x v="0"/>
    <s v="Egypt"/>
    <x v="11"/>
    <x v="56"/>
    <x v="56"/>
    <d v="2025-06-12T00:00:00"/>
    <d v="1899-12-30T08:15:00"/>
    <s v="Planned Training"/>
    <m/>
    <m/>
    <n v="29700"/>
    <x v="1"/>
  </r>
  <r>
    <x v="0"/>
    <s v="Egypt"/>
    <x v="11"/>
    <x v="56"/>
    <x v="56"/>
    <d v="2025-06-13T00:00:00"/>
    <m/>
    <s v="Day Off"/>
    <m/>
    <m/>
    <n v="0"/>
    <x v="1"/>
  </r>
  <r>
    <x v="0"/>
    <s v="Egypt"/>
    <x v="11"/>
    <x v="56"/>
    <x v="56"/>
    <d v="2025-06-14T00:00:00"/>
    <m/>
    <s v="Day Off"/>
    <m/>
    <m/>
    <n v="0"/>
    <x v="1"/>
  </r>
  <r>
    <x v="0"/>
    <s v="Egypt"/>
    <x v="11"/>
    <x v="56"/>
    <x v="56"/>
    <d v="2025-06-15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Break 15 Night"/>
    <d v="1899-12-30T17:15:00"/>
    <d v="1899-12-30T17:30:00"/>
    <n v="0"/>
    <x v="1"/>
  </r>
  <r>
    <x v="0"/>
    <s v="Egypt"/>
    <x v="11"/>
    <x v="56"/>
    <x v="56"/>
    <m/>
    <m/>
    <s v="Break 30 Night"/>
    <d v="1899-12-30T20:15:00"/>
    <d v="1899-12-30T20:45:00"/>
    <n v="0"/>
    <x v="1"/>
  </r>
  <r>
    <x v="0"/>
    <s v="Egypt"/>
    <x v="11"/>
    <x v="56"/>
    <x v="56"/>
    <d v="2025-06-16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No Swap"/>
    <d v="1899-12-30T16:15:00"/>
    <d v="1899-12-30T16:30:00"/>
    <n v="0"/>
    <x v="1"/>
  </r>
  <r>
    <x v="0"/>
    <s v="Egypt"/>
    <x v="11"/>
    <x v="56"/>
    <x v="56"/>
    <m/>
    <m/>
    <s v="Break 15 Night"/>
    <d v="1899-12-30T18:30:00"/>
    <d v="1899-12-30T18:45:00"/>
    <n v="0"/>
    <x v="1"/>
  </r>
  <r>
    <x v="0"/>
    <s v="Egypt"/>
    <x v="11"/>
    <x v="56"/>
    <x v="56"/>
    <m/>
    <m/>
    <s v="Break 30 Night"/>
    <d v="1899-12-30T21:30:00"/>
    <d v="1899-12-30T22:00:00"/>
    <n v="0"/>
    <x v="1"/>
  </r>
  <r>
    <x v="0"/>
    <s v="Egypt"/>
    <x v="11"/>
    <x v="56"/>
    <x v="56"/>
    <d v="2025-06-17T00:00:00"/>
    <d v="1899-12-30T08:15:00"/>
    <s v="Non Telecom"/>
    <d v="1899-12-30T13:00:00"/>
    <d v="1899-12-30T21:15:00"/>
    <n v="29700"/>
    <x v="0"/>
  </r>
  <r>
    <x v="0"/>
    <s v="Egypt"/>
    <x v="11"/>
    <x v="56"/>
    <x v="56"/>
    <m/>
    <m/>
    <s v="No Swap"/>
    <d v="1899-12-30T13:00:00"/>
    <d v="1899-12-30T13:15:00"/>
    <n v="0"/>
    <x v="1"/>
  </r>
  <r>
    <x v="0"/>
    <s v="Egypt"/>
    <x v="11"/>
    <x v="56"/>
    <x v="56"/>
    <m/>
    <m/>
    <s v="Break 15 Morning"/>
    <d v="1899-12-30T14:30:00"/>
    <d v="1899-12-30T14:45:00"/>
    <n v="0"/>
    <x v="1"/>
  </r>
  <r>
    <x v="0"/>
    <s v="Egypt"/>
    <x v="11"/>
    <x v="56"/>
    <x v="56"/>
    <m/>
    <m/>
    <s v="Break 30 Morning"/>
    <d v="1899-12-30T18:00:00"/>
    <d v="1899-12-30T18:30:00"/>
    <n v="0"/>
    <x v="1"/>
  </r>
  <r>
    <x v="0"/>
    <s v="Egypt"/>
    <x v="11"/>
    <x v="56"/>
    <x v="56"/>
    <d v="2025-06-18T00:00:00"/>
    <m/>
    <s v="Day Off"/>
    <m/>
    <m/>
    <n v="0"/>
    <x v="1"/>
  </r>
  <r>
    <x v="0"/>
    <s v="Egypt"/>
    <x v="11"/>
    <x v="56"/>
    <x v="56"/>
    <d v="2025-06-19T00:00:00"/>
    <m/>
    <s v="Day Off"/>
    <m/>
    <m/>
    <n v="0"/>
    <x v="1"/>
  </r>
  <r>
    <x v="0"/>
    <s v="Egypt"/>
    <x v="11"/>
    <x v="56"/>
    <x v="56"/>
    <d v="2025-06-20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No Swap"/>
    <d v="1899-12-30T16:15:00"/>
    <d v="1899-12-30T16:30:00"/>
    <n v="0"/>
    <x v="1"/>
  </r>
  <r>
    <x v="0"/>
    <s v="Egypt"/>
    <x v="11"/>
    <x v="56"/>
    <x v="56"/>
    <m/>
    <m/>
    <s v="Break 15 Night"/>
    <d v="1899-12-30T18:30:00"/>
    <d v="1899-12-30T18:45:00"/>
    <n v="0"/>
    <x v="1"/>
  </r>
  <r>
    <x v="0"/>
    <s v="Egypt"/>
    <x v="11"/>
    <x v="56"/>
    <x v="56"/>
    <m/>
    <m/>
    <s v="Break 30 Night"/>
    <d v="1899-12-30T21:15:00"/>
    <d v="1899-12-30T21:45:00"/>
    <n v="0"/>
    <x v="1"/>
  </r>
  <r>
    <x v="0"/>
    <s v="Egypt"/>
    <x v="11"/>
    <x v="56"/>
    <x v="56"/>
    <d v="2025-06-21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No Swap"/>
    <d v="1899-12-30T16:15:00"/>
    <d v="1899-12-30T16:30:00"/>
    <n v="0"/>
    <x v="1"/>
  </r>
  <r>
    <x v="0"/>
    <s v="Egypt"/>
    <x v="11"/>
    <x v="56"/>
    <x v="56"/>
    <m/>
    <m/>
    <s v="Break 15 Night"/>
    <d v="1899-12-30T18:00:00"/>
    <d v="1899-12-30T18:15:00"/>
    <n v="0"/>
    <x v="1"/>
  </r>
  <r>
    <x v="0"/>
    <s v="Egypt"/>
    <x v="11"/>
    <x v="56"/>
    <x v="56"/>
    <m/>
    <m/>
    <s v="Break 30 Night"/>
    <d v="1899-12-30T21:00:00"/>
    <d v="1899-12-30T21:30:00"/>
    <n v="0"/>
    <x v="1"/>
  </r>
  <r>
    <x v="0"/>
    <s v="Egypt"/>
    <x v="11"/>
    <x v="56"/>
    <x v="56"/>
    <d v="2025-06-22T00:00:00"/>
    <d v="1899-12-30T08:15:00"/>
    <s v="Annual Exception"/>
    <m/>
    <m/>
    <n v="29700"/>
    <x v="1"/>
  </r>
  <r>
    <x v="0"/>
    <s v="Egypt"/>
    <x v="11"/>
    <x v="56"/>
    <x v="56"/>
    <d v="2025-06-23T00:00:00"/>
    <d v="1899-12-30T08:15:00"/>
    <s v="Non Telecom"/>
    <d v="1899-12-30T16:15:00"/>
    <s v="+12:30 AM"/>
    <n v="29700"/>
    <x v="0"/>
  </r>
  <r>
    <x v="0"/>
    <s v="Egypt"/>
    <x v="11"/>
    <x v="56"/>
    <x v="56"/>
    <m/>
    <m/>
    <s v="No Swap"/>
    <d v="1899-12-30T17:00:00"/>
    <d v="1899-12-30T17:15:00"/>
    <n v="0"/>
    <x v="1"/>
  </r>
  <r>
    <x v="0"/>
    <s v="Egypt"/>
    <x v="11"/>
    <x v="56"/>
    <x v="56"/>
    <m/>
    <m/>
    <s v="Break 15 Night"/>
    <d v="1899-12-30T18:45:00"/>
    <d v="1899-12-30T19:00:00"/>
    <n v="0"/>
    <x v="1"/>
  </r>
  <r>
    <x v="0"/>
    <s v="Egypt"/>
    <x v="11"/>
    <x v="56"/>
    <x v="56"/>
    <m/>
    <m/>
    <s v="Break 30 Night"/>
    <d v="1899-12-30T21:00:00"/>
    <d v="1899-12-30T21:30:00"/>
    <n v="0"/>
    <x v="1"/>
  </r>
  <r>
    <x v="0"/>
    <s v="Egypt"/>
    <x v="11"/>
    <x v="56"/>
    <x v="56"/>
    <d v="2025-06-24T00:00:00"/>
    <m/>
    <s v="Day Off"/>
    <m/>
    <m/>
    <n v="0"/>
    <x v="1"/>
  </r>
  <r>
    <x v="0"/>
    <s v="Egypt"/>
    <x v="11"/>
    <x v="56"/>
    <x v="56"/>
    <d v="2025-06-25T00:00:00"/>
    <m/>
    <s v="Day Off"/>
    <m/>
    <m/>
    <n v="0"/>
    <x v="1"/>
  </r>
  <r>
    <x v="0"/>
    <s v="Egypt"/>
    <x v="11"/>
    <x v="56"/>
    <x v="56"/>
    <d v="2025-06-26T00:00:00"/>
    <d v="1899-12-30T08:15:00"/>
    <s v="Non Telecom"/>
    <d v="1899-12-30T13:00:00"/>
    <d v="1899-12-30T21:15:00"/>
    <n v="29700"/>
    <x v="0"/>
  </r>
  <r>
    <x v="0"/>
    <s v="Egypt"/>
    <x v="11"/>
    <x v="56"/>
    <x v="56"/>
    <m/>
    <m/>
    <s v="No Swap"/>
    <d v="1899-12-30T13:00:00"/>
    <d v="1899-12-30T13:15:00"/>
    <n v="0"/>
    <x v="1"/>
  </r>
  <r>
    <x v="0"/>
    <s v="Egypt"/>
    <x v="11"/>
    <x v="56"/>
    <x v="56"/>
    <m/>
    <m/>
    <s v="Break 15 Morning"/>
    <d v="1899-12-30T14:15:00"/>
    <d v="1899-12-30T14:30:00"/>
    <n v="0"/>
    <x v="1"/>
  </r>
  <r>
    <x v="0"/>
    <s v="Egypt"/>
    <x v="11"/>
    <x v="56"/>
    <x v="56"/>
    <m/>
    <m/>
    <s v="Break 30 Morning"/>
    <d v="1899-12-30T18:00:00"/>
    <d v="1899-12-30T18:30:00"/>
    <n v="0"/>
    <x v="1"/>
  </r>
  <r>
    <x v="0"/>
    <s v="Egypt"/>
    <x v="11"/>
    <x v="56"/>
    <x v="56"/>
    <d v="2025-06-27T00:00:00"/>
    <d v="1899-12-30T08:15:00"/>
    <s v="Non Telecom"/>
    <d v="1899-12-30T13:00:00"/>
    <d v="1899-12-30T21:15:00"/>
    <n v="29700"/>
    <x v="0"/>
  </r>
  <r>
    <x v="0"/>
    <s v="Egypt"/>
    <x v="11"/>
    <x v="56"/>
    <x v="56"/>
    <m/>
    <m/>
    <s v="Leave Exception"/>
    <d v="1899-12-30T13:00:00"/>
    <d v="1899-12-30T14:00:00"/>
    <n v="0"/>
    <x v="1"/>
  </r>
  <r>
    <x v="0"/>
    <s v="Egypt"/>
    <x v="11"/>
    <x v="56"/>
    <x v="56"/>
    <m/>
    <m/>
    <s v="No Swap"/>
    <d v="1899-12-30T14:00:00"/>
    <d v="1899-12-30T14:15:00"/>
    <n v="0"/>
    <x v="1"/>
  </r>
  <r>
    <x v="0"/>
    <s v="Egypt"/>
    <x v="11"/>
    <x v="56"/>
    <x v="56"/>
    <m/>
    <m/>
    <s v="Break 15 Morning"/>
    <d v="1899-12-30T14:45:00"/>
    <d v="1899-12-30T15:00:00"/>
    <n v="0"/>
    <x v="1"/>
  </r>
  <r>
    <x v="0"/>
    <s v="Egypt"/>
    <x v="11"/>
    <x v="56"/>
    <x v="56"/>
    <m/>
    <m/>
    <s v="Break 30 Morning"/>
    <d v="1899-12-30T18:15:00"/>
    <d v="1899-12-30T18:45:00"/>
    <n v="0"/>
    <x v="1"/>
  </r>
  <r>
    <x v="0"/>
    <s v="Egypt"/>
    <x v="11"/>
    <x v="56"/>
    <x v="56"/>
    <d v="2025-06-28T00:00:00"/>
    <d v="1899-12-30T08:15:00"/>
    <s v="Non Telecom"/>
    <d v="1899-12-30T13:00:00"/>
    <d v="1899-12-30T21:15:00"/>
    <n v="29700"/>
    <x v="0"/>
  </r>
  <r>
    <x v="0"/>
    <s v="Egypt"/>
    <x v="11"/>
    <x v="56"/>
    <x v="56"/>
    <m/>
    <m/>
    <s v="No Swap"/>
    <d v="1899-12-30T13:00:00"/>
    <d v="1899-12-30T13:15:00"/>
    <n v="0"/>
    <x v="1"/>
  </r>
  <r>
    <x v="0"/>
    <s v="Egypt"/>
    <x v="11"/>
    <x v="56"/>
    <x v="56"/>
    <m/>
    <m/>
    <s v="Break 15 Morning"/>
    <d v="1899-12-30T14:45:00"/>
    <d v="1899-12-30T15:00:00"/>
    <n v="0"/>
    <x v="1"/>
  </r>
  <r>
    <x v="0"/>
    <s v="Egypt"/>
    <x v="11"/>
    <x v="56"/>
    <x v="56"/>
    <m/>
    <m/>
    <s v="Break 30 Morning"/>
    <d v="1899-12-30T18:30:00"/>
    <d v="1899-12-30T19:00:00"/>
    <n v="0"/>
    <x v="1"/>
  </r>
  <r>
    <x v="0"/>
    <s v="Egypt"/>
    <x v="11"/>
    <x v="56"/>
    <x v="56"/>
    <d v="2025-06-29T00:00:00"/>
    <d v="1899-12-30T08:15:00"/>
    <s v="No show"/>
    <d v="1899-12-30T16:15:00"/>
    <s v="+12:30 AM"/>
    <n v="29700"/>
    <x v="1"/>
  </r>
  <r>
    <x v="0"/>
    <s v="Egypt"/>
    <x v="11"/>
    <x v="56"/>
    <x v="56"/>
    <d v="2025-06-30T00:00:00"/>
    <m/>
    <s v="Day Off"/>
    <m/>
    <m/>
    <n v="0"/>
    <x v="1"/>
  </r>
  <r>
    <x v="0"/>
    <s v="Egypt"/>
    <x v="11"/>
    <x v="57"/>
    <x v="57"/>
    <d v="2025-06-01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:15 AM"/>
    <s v="+1:45 AM"/>
    <n v="0"/>
    <x v="1"/>
  </r>
  <r>
    <x v="0"/>
    <s v="Egypt"/>
    <x v="11"/>
    <x v="57"/>
    <x v="57"/>
    <d v="2025-06-02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0:45:00"/>
    <d v="1899-12-30T21:00:00"/>
    <n v="0"/>
    <x v="1"/>
  </r>
  <r>
    <x v="0"/>
    <s v="Egypt"/>
    <x v="11"/>
    <x v="57"/>
    <x v="57"/>
    <m/>
    <m/>
    <s v="Break 30 Night"/>
    <s v="+12:15 AM"/>
    <s v="+12:45 AM"/>
    <n v="0"/>
    <x v="1"/>
  </r>
  <r>
    <x v="0"/>
    <s v="Egypt"/>
    <x v="11"/>
    <x v="57"/>
    <x v="57"/>
    <d v="2025-06-03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30:00"/>
    <d v="1899-12-30T21:45:00"/>
    <n v="0"/>
    <x v="1"/>
  </r>
  <r>
    <x v="0"/>
    <s v="Egypt"/>
    <x v="11"/>
    <x v="57"/>
    <x v="57"/>
    <m/>
    <m/>
    <s v="Break 30 Night"/>
    <s v="+12:15 AM"/>
    <s v="+12:45 AM"/>
    <n v="0"/>
    <x v="1"/>
  </r>
  <r>
    <x v="0"/>
    <s v="Egypt"/>
    <x v="11"/>
    <x v="57"/>
    <x v="57"/>
    <d v="2025-06-04T00:00:00"/>
    <m/>
    <s v="Day Off"/>
    <m/>
    <m/>
    <n v="0"/>
    <x v="1"/>
  </r>
  <r>
    <x v="0"/>
    <s v="Egypt"/>
    <x v="11"/>
    <x v="57"/>
    <x v="57"/>
    <d v="2025-06-05T00:00:00"/>
    <m/>
    <s v="Day Off"/>
    <m/>
    <m/>
    <n v="0"/>
    <x v="1"/>
  </r>
  <r>
    <x v="0"/>
    <s v="Egypt"/>
    <x v="11"/>
    <x v="57"/>
    <x v="57"/>
    <d v="2025-06-06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00:00"/>
    <d v="1899-12-30T21:15:00"/>
    <n v="0"/>
    <x v="1"/>
  </r>
  <r>
    <x v="0"/>
    <s v="Egypt"/>
    <x v="11"/>
    <x v="57"/>
    <x v="57"/>
    <m/>
    <m/>
    <s v="Break 30 Night"/>
    <s v="+12:30 AM"/>
    <s v="+1:00 AM"/>
    <n v="0"/>
    <x v="1"/>
  </r>
  <r>
    <x v="0"/>
    <s v="Egypt"/>
    <x v="11"/>
    <x v="57"/>
    <x v="57"/>
    <d v="2025-06-07T00:00:00"/>
    <d v="1899-12-30T08:15:00"/>
    <s v="Public holiday"/>
    <m/>
    <m/>
    <n v="29700"/>
    <x v="1"/>
  </r>
  <r>
    <x v="0"/>
    <s v="Egypt"/>
    <x v="11"/>
    <x v="57"/>
    <x v="57"/>
    <d v="2025-06-08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0:45:00"/>
    <d v="1899-12-30T21:00:00"/>
    <n v="0"/>
    <x v="1"/>
  </r>
  <r>
    <x v="0"/>
    <s v="Egypt"/>
    <x v="11"/>
    <x v="57"/>
    <x v="57"/>
    <m/>
    <m/>
    <s v="Break 30 Night"/>
    <s v="+12:15 AM"/>
    <s v="+12:45 AM"/>
    <n v="0"/>
    <x v="1"/>
  </r>
  <r>
    <x v="0"/>
    <s v="Egypt"/>
    <x v="11"/>
    <x v="57"/>
    <x v="57"/>
    <d v="2025-06-09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30:00"/>
    <d v="1899-12-30T21:45:00"/>
    <n v="0"/>
    <x v="1"/>
  </r>
  <r>
    <x v="0"/>
    <s v="Egypt"/>
    <x v="11"/>
    <x v="57"/>
    <x v="57"/>
    <m/>
    <m/>
    <s v="Break 30 Night"/>
    <s v="+12:45 AM"/>
    <s v="+1:15 AM"/>
    <n v="0"/>
    <x v="1"/>
  </r>
  <r>
    <x v="0"/>
    <s v="Egypt"/>
    <x v="11"/>
    <x v="57"/>
    <x v="57"/>
    <d v="2025-06-10T00:00:00"/>
    <m/>
    <s v="Day Off"/>
    <m/>
    <m/>
    <n v="0"/>
    <x v="1"/>
  </r>
  <r>
    <x v="0"/>
    <s v="Egypt"/>
    <x v="11"/>
    <x v="57"/>
    <x v="57"/>
    <d v="2025-06-11T00:00:00"/>
    <m/>
    <s v="Day Off"/>
    <m/>
    <m/>
    <n v="0"/>
    <x v="1"/>
  </r>
  <r>
    <x v="0"/>
    <s v="Egypt"/>
    <x v="11"/>
    <x v="57"/>
    <x v="57"/>
    <d v="2025-06-12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2:00:00"/>
    <d v="1899-12-30T22:15:00"/>
    <n v="0"/>
    <x v="1"/>
  </r>
  <r>
    <x v="0"/>
    <s v="Egypt"/>
    <x v="11"/>
    <x v="57"/>
    <x v="57"/>
    <m/>
    <m/>
    <s v="Break 30 Night"/>
    <s v="+12:30 AM"/>
    <s v="+1:00 AM"/>
    <n v="0"/>
    <x v="1"/>
  </r>
  <r>
    <x v="0"/>
    <s v="Egypt"/>
    <x v="11"/>
    <x v="57"/>
    <x v="57"/>
    <d v="2025-06-13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00:00"/>
    <d v="1899-12-30T21:15:00"/>
    <n v="0"/>
    <x v="1"/>
  </r>
  <r>
    <x v="0"/>
    <s v="Egypt"/>
    <x v="11"/>
    <x v="57"/>
    <x v="57"/>
    <m/>
    <m/>
    <s v="Break 30 Night"/>
    <s v="+12:45 AM"/>
    <s v="+1:15 AM"/>
    <n v="0"/>
    <x v="1"/>
  </r>
  <r>
    <x v="0"/>
    <s v="Egypt"/>
    <x v="11"/>
    <x v="57"/>
    <x v="57"/>
    <d v="2025-06-14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2:00 AM"/>
    <s v="+12:30 AM"/>
    <n v="0"/>
    <x v="1"/>
  </r>
  <r>
    <x v="0"/>
    <s v="Egypt"/>
    <x v="11"/>
    <x v="57"/>
    <x v="57"/>
    <d v="2025-06-15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2:15 AM"/>
    <s v="+12:45 AM"/>
    <n v="0"/>
    <x v="1"/>
  </r>
  <r>
    <x v="0"/>
    <s v="Egypt"/>
    <x v="11"/>
    <x v="57"/>
    <x v="57"/>
    <d v="2025-06-16T00:00:00"/>
    <m/>
    <s v="Day Off"/>
    <m/>
    <m/>
    <n v="0"/>
    <x v="1"/>
  </r>
  <r>
    <x v="0"/>
    <s v="Egypt"/>
    <x v="11"/>
    <x v="57"/>
    <x v="57"/>
    <d v="2025-06-17T00:00:00"/>
    <m/>
    <s v="Day Off"/>
    <m/>
    <m/>
    <n v="0"/>
    <x v="1"/>
  </r>
  <r>
    <x v="0"/>
    <s v="Egypt"/>
    <x v="11"/>
    <x v="57"/>
    <x v="57"/>
    <d v="2025-06-18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2:45 AM"/>
    <s v="+1:15 AM"/>
    <n v="0"/>
    <x v="1"/>
  </r>
  <r>
    <x v="0"/>
    <s v="Egypt"/>
    <x v="11"/>
    <x v="57"/>
    <x v="57"/>
    <d v="2025-06-19T00:00:00"/>
    <d v="1899-12-30T08:15:00"/>
    <s v="Annual Exception"/>
    <m/>
    <m/>
    <n v="29700"/>
    <x v="1"/>
  </r>
  <r>
    <x v="0"/>
    <s v="Egypt"/>
    <x v="11"/>
    <x v="57"/>
    <x v="57"/>
    <d v="2025-06-20T00:00:00"/>
    <d v="1899-12-30T08:15:00"/>
    <s v="Non Telecom"/>
    <d v="1899-12-30T16:15:00"/>
    <s v="+12:30 AM"/>
    <n v="29700"/>
    <x v="0"/>
  </r>
  <r>
    <x v="0"/>
    <s v="Egypt"/>
    <x v="11"/>
    <x v="57"/>
    <x v="57"/>
    <m/>
    <m/>
    <s v="Break 15 Night"/>
    <d v="1899-12-30T18:30:00"/>
    <d v="1899-12-30T18:45:00"/>
    <n v="0"/>
    <x v="1"/>
  </r>
  <r>
    <x v="0"/>
    <s v="Egypt"/>
    <x v="11"/>
    <x v="57"/>
    <x v="57"/>
    <m/>
    <m/>
    <s v="Break 30 Night"/>
    <d v="1899-12-30T21:15:00"/>
    <d v="1899-12-30T21:45:00"/>
    <n v="0"/>
    <x v="1"/>
  </r>
  <r>
    <x v="0"/>
    <s v="Egypt"/>
    <x v="11"/>
    <x v="57"/>
    <x v="57"/>
    <d v="2025-06-21T00:00:00"/>
    <d v="1899-12-30T08:15:00"/>
    <s v="Non Telecom"/>
    <d v="1899-12-30T16:15:00"/>
    <s v="+12:30 AM"/>
    <n v="29700"/>
    <x v="0"/>
  </r>
  <r>
    <x v="0"/>
    <s v="Egypt"/>
    <x v="11"/>
    <x v="57"/>
    <x v="57"/>
    <m/>
    <m/>
    <s v="Break 15 Night"/>
    <d v="1899-12-30T18:15:00"/>
    <d v="1899-12-30T18:30:00"/>
    <n v="0"/>
    <x v="1"/>
  </r>
  <r>
    <x v="0"/>
    <s v="Egypt"/>
    <x v="11"/>
    <x v="57"/>
    <x v="57"/>
    <m/>
    <m/>
    <s v="Break 30 Night"/>
    <d v="1899-12-30T21:00:00"/>
    <d v="1899-12-30T21:30:00"/>
    <n v="0"/>
    <x v="1"/>
  </r>
  <r>
    <x v="0"/>
    <s v="Egypt"/>
    <x v="11"/>
    <x v="57"/>
    <x v="57"/>
    <d v="2025-06-22T00:00:00"/>
    <m/>
    <s v="Day Off"/>
    <m/>
    <m/>
    <n v="0"/>
    <x v="1"/>
  </r>
  <r>
    <x v="0"/>
    <s v="Egypt"/>
    <x v="11"/>
    <x v="57"/>
    <x v="57"/>
    <d v="2025-06-23T00:00:00"/>
    <m/>
    <s v="Day Off"/>
    <m/>
    <m/>
    <n v="0"/>
    <x v="1"/>
  </r>
  <r>
    <x v="0"/>
    <s v="Egypt"/>
    <x v="11"/>
    <x v="57"/>
    <x v="57"/>
    <d v="2025-06-24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2:15 AM"/>
    <s v="+12:45 AM"/>
    <n v="0"/>
    <x v="1"/>
  </r>
  <r>
    <x v="0"/>
    <s v="Egypt"/>
    <x v="11"/>
    <x v="57"/>
    <x v="57"/>
    <d v="2025-06-25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:00 AM"/>
    <s v="+1:30 AM"/>
    <n v="0"/>
    <x v="1"/>
  </r>
  <r>
    <x v="0"/>
    <s v="Egypt"/>
    <x v="11"/>
    <x v="57"/>
    <x v="57"/>
    <d v="2025-06-26T00:00:00"/>
    <d v="1899-12-30T08:15:00"/>
    <s v="No show"/>
    <d v="1899-12-30T19:15:00"/>
    <s v="+3:30 AM"/>
    <n v="29700"/>
    <x v="1"/>
  </r>
  <r>
    <x v="0"/>
    <s v="Egypt"/>
    <x v="11"/>
    <x v="57"/>
    <x v="57"/>
    <d v="2025-06-27T00:00:00"/>
    <d v="1899-12-30T08:15:00"/>
    <s v="Non Telecom"/>
    <d v="1899-12-30T19:15:00"/>
    <s v="+3:30 AM"/>
    <n v="29700"/>
    <x v="0"/>
  </r>
  <r>
    <x v="0"/>
    <s v="Egypt"/>
    <x v="11"/>
    <x v="57"/>
    <x v="57"/>
    <m/>
    <m/>
    <s v="Break 15 Night"/>
    <d v="1899-12-30T21:45:00"/>
    <d v="1899-12-30T22:00:00"/>
    <n v="0"/>
    <x v="1"/>
  </r>
  <r>
    <x v="0"/>
    <s v="Egypt"/>
    <x v="11"/>
    <x v="57"/>
    <x v="57"/>
    <m/>
    <m/>
    <s v="Break 30 Night"/>
    <s v="+12:45 AM"/>
    <s v="+1:15 AM"/>
    <n v="0"/>
    <x v="1"/>
  </r>
  <r>
    <x v="0"/>
    <s v="Egypt"/>
    <x v="11"/>
    <x v="57"/>
    <x v="57"/>
    <d v="2025-06-28T00:00:00"/>
    <d v="1899-12-30T08:15:00"/>
    <s v="Annual Exception"/>
    <m/>
    <m/>
    <n v="29700"/>
    <x v="1"/>
  </r>
  <r>
    <x v="0"/>
    <s v="Egypt"/>
    <x v="11"/>
    <x v="57"/>
    <x v="57"/>
    <d v="2025-06-29T00:00:00"/>
    <m/>
    <s v="Day Off"/>
    <m/>
    <m/>
    <n v="0"/>
    <x v="1"/>
  </r>
  <r>
    <x v="0"/>
    <s v="Egypt"/>
    <x v="11"/>
    <x v="57"/>
    <x v="57"/>
    <d v="2025-06-30T00:00:00"/>
    <d v="1899-12-30T08:15:00"/>
    <s v="Non Telecom"/>
    <d v="1899-12-30T09:00:00"/>
    <d v="1899-12-30T17:15:00"/>
    <n v="29700"/>
    <x v="0"/>
  </r>
  <r>
    <x v="0"/>
    <s v="Egypt"/>
    <x v="11"/>
    <x v="57"/>
    <x v="57"/>
    <m/>
    <m/>
    <s v="Break 15 Morning"/>
    <d v="1899-12-30T11:45:00"/>
    <d v="1899-12-30T12:00:00"/>
    <n v="0"/>
    <x v="1"/>
  </r>
  <r>
    <x v="0"/>
    <s v="Egypt"/>
    <x v="11"/>
    <x v="57"/>
    <x v="57"/>
    <m/>
    <m/>
    <s v="Break 30 Morning"/>
    <d v="1899-12-30T14:45:00"/>
    <d v="1899-12-30T15:15:00"/>
    <n v="0"/>
    <x v="1"/>
  </r>
  <r>
    <x v="0"/>
    <s v="Egypt"/>
    <x v="11"/>
    <x v="58"/>
    <x v="58"/>
    <d v="2025-06-01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15:00"/>
    <d v="1899-12-30T21:30:00"/>
    <n v="0"/>
    <x v="1"/>
  </r>
  <r>
    <x v="0"/>
    <s v="Egypt"/>
    <x v="11"/>
    <x v="58"/>
    <x v="58"/>
    <m/>
    <m/>
    <s v="Break 30 Night"/>
    <s v="+12:45 AM"/>
    <s v="+1:15 AM"/>
    <n v="0"/>
    <x v="1"/>
  </r>
  <r>
    <x v="0"/>
    <s v="Egypt"/>
    <x v="11"/>
    <x v="58"/>
    <x v="58"/>
    <d v="2025-06-02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00:00"/>
    <d v="1899-12-30T21:15:00"/>
    <n v="0"/>
    <x v="1"/>
  </r>
  <r>
    <x v="0"/>
    <s v="Egypt"/>
    <x v="11"/>
    <x v="58"/>
    <x v="58"/>
    <m/>
    <m/>
    <s v="Break 30 Night"/>
    <s v="+12:15 AM"/>
    <s v="+12:45 AM"/>
    <n v="0"/>
    <x v="1"/>
  </r>
  <r>
    <x v="0"/>
    <s v="Egypt"/>
    <x v="11"/>
    <x v="58"/>
    <x v="58"/>
    <d v="2025-06-03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45:00"/>
    <d v="1899-12-30T22:00:00"/>
    <n v="0"/>
    <x v="1"/>
  </r>
  <r>
    <x v="0"/>
    <s v="Egypt"/>
    <x v="11"/>
    <x v="58"/>
    <x v="58"/>
    <m/>
    <m/>
    <s v="Break 30 Night"/>
    <s v="+12:45 AM"/>
    <s v="+1:15 AM"/>
    <n v="0"/>
    <x v="1"/>
  </r>
  <r>
    <x v="0"/>
    <s v="Egypt"/>
    <x v="11"/>
    <x v="58"/>
    <x v="58"/>
    <d v="2025-06-04T00:00:00"/>
    <m/>
    <s v="Day Off"/>
    <m/>
    <m/>
    <n v="0"/>
    <x v="1"/>
  </r>
  <r>
    <x v="0"/>
    <s v="Egypt"/>
    <x v="11"/>
    <x v="58"/>
    <x v="58"/>
    <d v="2025-06-05T00:00:00"/>
    <m/>
    <s v="Day Off"/>
    <m/>
    <m/>
    <n v="0"/>
    <x v="1"/>
  </r>
  <r>
    <x v="0"/>
    <s v="Egypt"/>
    <x v="11"/>
    <x v="58"/>
    <x v="58"/>
    <d v="2025-06-06T00:00:00"/>
    <d v="1899-12-30T08:15:00"/>
    <s v="Non Telecom"/>
    <d v="1899-12-30T13:00:00"/>
    <d v="1899-12-30T21:15:00"/>
    <n v="29700"/>
    <x v="0"/>
  </r>
  <r>
    <x v="0"/>
    <s v="Egypt"/>
    <x v="11"/>
    <x v="58"/>
    <x v="58"/>
    <m/>
    <m/>
    <s v="Leave Exception"/>
    <d v="1899-12-30T13:00:00"/>
    <d v="1899-12-30T13:35:00"/>
    <n v="0"/>
    <x v="1"/>
  </r>
  <r>
    <x v="0"/>
    <s v="Egypt"/>
    <x v="11"/>
    <x v="58"/>
    <x v="58"/>
    <m/>
    <m/>
    <s v="Break 15 Morning"/>
    <d v="1899-12-30T14:45:00"/>
    <d v="1899-12-30T15:00:00"/>
    <n v="0"/>
    <x v="1"/>
  </r>
  <r>
    <x v="0"/>
    <s v="Egypt"/>
    <x v="11"/>
    <x v="58"/>
    <x v="58"/>
    <m/>
    <m/>
    <s v="Break 30 Morning"/>
    <d v="1899-12-30T17:45:00"/>
    <d v="1899-12-30T18:15:00"/>
    <n v="0"/>
    <x v="1"/>
  </r>
  <r>
    <x v="0"/>
    <s v="Egypt"/>
    <x v="11"/>
    <x v="58"/>
    <x v="58"/>
    <d v="2025-06-07T00:00:00"/>
    <d v="1899-12-30T08:15:00"/>
    <s v="Non Telecom"/>
    <d v="1899-12-30T17:15:00"/>
    <s v="+1:30 AM"/>
    <n v="29700"/>
    <x v="0"/>
  </r>
  <r>
    <x v="0"/>
    <s v="Egypt"/>
    <x v="11"/>
    <x v="58"/>
    <x v="58"/>
    <m/>
    <m/>
    <s v="Break 15 Night"/>
    <d v="1899-12-30T19:45:00"/>
    <d v="1899-12-30T20:00:00"/>
    <n v="0"/>
    <x v="1"/>
  </r>
  <r>
    <x v="0"/>
    <s v="Egypt"/>
    <x v="11"/>
    <x v="58"/>
    <x v="58"/>
    <m/>
    <m/>
    <s v="Break 30 Night"/>
    <d v="1899-12-30T22:30:00"/>
    <d v="1899-12-30T23:00:00"/>
    <n v="0"/>
    <x v="1"/>
  </r>
  <r>
    <x v="0"/>
    <s v="Egypt"/>
    <x v="11"/>
    <x v="58"/>
    <x v="58"/>
    <d v="2025-06-08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00:00"/>
    <d v="1899-12-30T21:15:00"/>
    <n v="0"/>
    <x v="1"/>
  </r>
  <r>
    <x v="0"/>
    <s v="Egypt"/>
    <x v="11"/>
    <x v="58"/>
    <x v="58"/>
    <m/>
    <m/>
    <s v="Break 30 Night"/>
    <s v="+12:15 AM"/>
    <s v="+12:45 AM"/>
    <n v="0"/>
    <x v="1"/>
  </r>
  <r>
    <x v="0"/>
    <s v="Egypt"/>
    <x v="11"/>
    <x v="58"/>
    <x v="58"/>
    <m/>
    <m/>
    <s v="Leave Early"/>
    <s v="+12:45 AM"/>
    <s v="+3:30 AM"/>
    <n v="0"/>
    <x v="1"/>
  </r>
  <r>
    <x v="0"/>
    <s v="Egypt"/>
    <x v="11"/>
    <x v="58"/>
    <x v="58"/>
    <d v="2025-06-09T00:00:00"/>
    <d v="1899-12-30T08:15:00"/>
    <s v="Public holiday"/>
    <m/>
    <m/>
    <n v="29700"/>
    <x v="1"/>
  </r>
  <r>
    <x v="0"/>
    <s v="Egypt"/>
    <x v="11"/>
    <x v="58"/>
    <x v="58"/>
    <d v="2025-06-10T00:00:00"/>
    <m/>
    <s v="Day Off"/>
    <m/>
    <m/>
    <n v="0"/>
    <x v="1"/>
  </r>
  <r>
    <x v="0"/>
    <s v="Egypt"/>
    <x v="11"/>
    <x v="58"/>
    <x v="58"/>
    <d v="2025-06-11T00:00:00"/>
    <m/>
    <s v="Day Off"/>
    <m/>
    <m/>
    <n v="0"/>
    <x v="1"/>
  </r>
  <r>
    <x v="0"/>
    <s v="Egypt"/>
    <x v="11"/>
    <x v="58"/>
    <x v="58"/>
    <d v="2025-06-12T00:00:00"/>
    <d v="1899-12-30T08:15:00"/>
    <s v="Non Telecom"/>
    <d v="1899-12-30T13:00:00"/>
    <d v="1899-12-30T21:15:00"/>
    <n v="29700"/>
    <x v="0"/>
  </r>
  <r>
    <x v="0"/>
    <s v="Egypt"/>
    <x v="11"/>
    <x v="58"/>
    <x v="58"/>
    <m/>
    <m/>
    <s v="Break 15 Morning"/>
    <d v="1899-12-30T15:00:00"/>
    <d v="1899-12-30T15:15:00"/>
    <n v="0"/>
    <x v="1"/>
  </r>
  <r>
    <x v="0"/>
    <s v="Egypt"/>
    <x v="11"/>
    <x v="58"/>
    <x v="58"/>
    <m/>
    <m/>
    <s v="Break 30 Morning"/>
    <d v="1899-12-30T18:30:00"/>
    <d v="1899-12-30T19:00:00"/>
    <n v="0"/>
    <x v="1"/>
  </r>
  <r>
    <x v="0"/>
    <s v="Egypt"/>
    <x v="11"/>
    <x v="58"/>
    <x v="58"/>
    <d v="2025-06-13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:00 AM"/>
    <s v="+1:30 AM"/>
    <n v="0"/>
    <x v="1"/>
  </r>
  <r>
    <x v="0"/>
    <s v="Egypt"/>
    <x v="11"/>
    <x v="58"/>
    <x v="58"/>
    <d v="2025-06-14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2:30 AM"/>
    <s v="+1:00 AM"/>
    <n v="0"/>
    <x v="1"/>
  </r>
  <r>
    <x v="0"/>
    <s v="Egypt"/>
    <x v="11"/>
    <x v="58"/>
    <x v="58"/>
    <d v="2025-06-15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45:00"/>
    <d v="1899-12-30T22:00:00"/>
    <n v="0"/>
    <x v="1"/>
  </r>
  <r>
    <x v="0"/>
    <s v="Egypt"/>
    <x v="11"/>
    <x v="58"/>
    <x v="58"/>
    <m/>
    <m/>
    <s v="Break 30 Night"/>
    <s v="+12:15 AM"/>
    <s v="+12:45 AM"/>
    <n v="0"/>
    <x v="1"/>
  </r>
  <r>
    <x v="0"/>
    <s v="Egypt"/>
    <x v="11"/>
    <x v="58"/>
    <x v="58"/>
    <d v="2025-06-16T00:00:00"/>
    <m/>
    <s v="Day Off"/>
    <m/>
    <m/>
    <n v="0"/>
    <x v="1"/>
  </r>
  <r>
    <x v="0"/>
    <s v="Egypt"/>
    <x v="11"/>
    <x v="58"/>
    <x v="58"/>
    <d v="2025-06-17T00:00:00"/>
    <m/>
    <s v="Day Off"/>
    <m/>
    <m/>
    <n v="0"/>
    <x v="1"/>
  </r>
  <r>
    <x v="0"/>
    <s v="Egypt"/>
    <x v="11"/>
    <x v="58"/>
    <x v="58"/>
    <d v="2025-06-18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15:00"/>
    <d v="1899-12-30T22:30:00"/>
    <n v="0"/>
    <x v="1"/>
  </r>
  <r>
    <x v="0"/>
    <s v="Egypt"/>
    <x v="11"/>
    <x v="58"/>
    <x v="58"/>
    <m/>
    <m/>
    <s v="Break 30 Night"/>
    <s v="+1:15 AM"/>
    <s v="+1:45 AM"/>
    <n v="0"/>
    <x v="1"/>
  </r>
  <r>
    <x v="0"/>
    <s v="Egypt"/>
    <x v="11"/>
    <x v="58"/>
    <x v="58"/>
    <d v="2025-06-19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15:00"/>
    <d v="1899-12-30T22:30:00"/>
    <n v="0"/>
    <x v="1"/>
  </r>
  <r>
    <x v="0"/>
    <s v="Egypt"/>
    <x v="11"/>
    <x v="58"/>
    <x v="58"/>
    <m/>
    <m/>
    <s v="Break 30 Night"/>
    <s v="+1:30 AM"/>
    <s v="+2:00 AM"/>
    <n v="0"/>
    <x v="1"/>
  </r>
  <r>
    <x v="0"/>
    <s v="Egypt"/>
    <x v="11"/>
    <x v="58"/>
    <x v="58"/>
    <d v="2025-06-20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2:45 AM"/>
    <s v="+1:15 AM"/>
    <n v="0"/>
    <x v="1"/>
  </r>
  <r>
    <x v="0"/>
    <s v="Egypt"/>
    <x v="11"/>
    <x v="58"/>
    <x v="58"/>
    <d v="2025-06-21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45:00"/>
    <d v="1899-12-30T22:00:00"/>
    <n v="0"/>
    <x v="1"/>
  </r>
  <r>
    <x v="0"/>
    <s v="Egypt"/>
    <x v="11"/>
    <x v="58"/>
    <x v="58"/>
    <m/>
    <m/>
    <s v="Break 30 Night"/>
    <s v="+1:00 AM"/>
    <s v="+1:30 AM"/>
    <n v="0"/>
    <x v="1"/>
  </r>
  <r>
    <x v="0"/>
    <s v="Egypt"/>
    <x v="11"/>
    <x v="58"/>
    <x v="58"/>
    <d v="2025-06-22T00:00:00"/>
    <m/>
    <s v="Day Off"/>
    <m/>
    <m/>
    <n v="0"/>
    <x v="1"/>
  </r>
  <r>
    <x v="0"/>
    <s v="Egypt"/>
    <x v="11"/>
    <x v="58"/>
    <x v="58"/>
    <d v="2025-06-23T00:00:00"/>
    <m/>
    <s v="Day Off"/>
    <m/>
    <m/>
    <n v="0"/>
    <x v="1"/>
  </r>
  <r>
    <x v="0"/>
    <s v="Egypt"/>
    <x v="11"/>
    <x v="58"/>
    <x v="58"/>
    <d v="2025-06-24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2:30 AM"/>
    <s v="+1:00 AM"/>
    <n v="0"/>
    <x v="1"/>
  </r>
  <r>
    <x v="0"/>
    <s v="Egypt"/>
    <x v="11"/>
    <x v="58"/>
    <x v="58"/>
    <d v="2025-06-25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:00 AM"/>
    <s v="+1:30 AM"/>
    <n v="0"/>
    <x v="1"/>
  </r>
  <r>
    <x v="0"/>
    <s v="Egypt"/>
    <x v="11"/>
    <x v="58"/>
    <x v="58"/>
    <d v="2025-06-26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45:00"/>
    <d v="1899-12-30T22:00:00"/>
    <n v="0"/>
    <x v="1"/>
  </r>
  <r>
    <x v="0"/>
    <s v="Egypt"/>
    <x v="11"/>
    <x v="58"/>
    <x v="58"/>
    <m/>
    <m/>
    <s v="Break 30 Night"/>
    <s v="+1:00 AM"/>
    <s v="+1:30 AM"/>
    <n v="0"/>
    <x v="1"/>
  </r>
  <r>
    <x v="0"/>
    <s v="Egypt"/>
    <x v="11"/>
    <x v="58"/>
    <x v="58"/>
    <d v="2025-06-27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1:45:00"/>
    <d v="1899-12-30T22:00:00"/>
    <n v="0"/>
    <x v="1"/>
  </r>
  <r>
    <x v="0"/>
    <s v="Egypt"/>
    <x v="11"/>
    <x v="58"/>
    <x v="58"/>
    <m/>
    <m/>
    <s v="Break 30 Night"/>
    <s v="+12:45 AM"/>
    <s v="+1:15 AM"/>
    <n v="0"/>
    <x v="1"/>
  </r>
  <r>
    <x v="0"/>
    <s v="Egypt"/>
    <x v="11"/>
    <x v="58"/>
    <x v="58"/>
    <d v="2025-06-28T00:00:00"/>
    <d v="1899-12-30T08:15:00"/>
    <s v="Non Telecom"/>
    <d v="1899-12-30T19:15:00"/>
    <s v="+3:30 AM"/>
    <n v="29700"/>
    <x v="0"/>
  </r>
  <r>
    <x v="0"/>
    <s v="Egypt"/>
    <x v="11"/>
    <x v="58"/>
    <x v="58"/>
    <m/>
    <m/>
    <s v="Break 15 Night"/>
    <d v="1899-12-30T22:00:00"/>
    <d v="1899-12-30T22:15:00"/>
    <n v="0"/>
    <x v="1"/>
  </r>
  <r>
    <x v="0"/>
    <s v="Egypt"/>
    <x v="11"/>
    <x v="58"/>
    <x v="58"/>
    <m/>
    <m/>
    <s v="Break 30 Night"/>
    <s v="+1:00 AM"/>
    <s v="+1:30 AM"/>
    <n v="0"/>
    <x v="1"/>
  </r>
  <r>
    <x v="0"/>
    <s v="Egypt"/>
    <x v="11"/>
    <x v="58"/>
    <x v="58"/>
    <d v="2025-06-29T00:00:00"/>
    <m/>
    <s v="Day Off"/>
    <m/>
    <m/>
    <n v="0"/>
    <x v="1"/>
  </r>
  <r>
    <x v="0"/>
    <s v="Egypt"/>
    <x v="11"/>
    <x v="58"/>
    <x v="58"/>
    <d v="2025-06-30T00:00:00"/>
    <d v="1899-12-30T08:15:00"/>
    <s v="Non Telecom"/>
    <d v="1899-12-30T11:00:00"/>
    <d v="1899-12-30T19:15:00"/>
    <n v="29700"/>
    <x v="0"/>
  </r>
  <r>
    <x v="0"/>
    <s v="Egypt"/>
    <x v="11"/>
    <x v="58"/>
    <x v="58"/>
    <m/>
    <m/>
    <s v="Break 15 Morning"/>
    <d v="1899-12-30T13:30:00"/>
    <d v="1899-12-30T13:45:00"/>
    <n v="0"/>
    <x v="1"/>
  </r>
  <r>
    <x v="0"/>
    <s v="Egypt"/>
    <x v="11"/>
    <x v="58"/>
    <x v="58"/>
    <m/>
    <m/>
    <s v="Break 30 Morning"/>
    <d v="1899-12-30T16:45:00"/>
    <d v="1899-12-30T17:15:00"/>
    <n v="0"/>
    <x v="1"/>
  </r>
  <r>
    <x v="0"/>
    <s v="Egypt"/>
    <x v="11"/>
    <x v="59"/>
    <x v="59"/>
    <d v="2025-06-01T00:00:00"/>
    <d v="1899-12-30T08:15:00"/>
    <s v="Non Telecom"/>
    <d v="1899-12-30T15:00:00"/>
    <d v="1899-12-30T23:15:00"/>
    <n v="29700"/>
    <x v="0"/>
  </r>
  <r>
    <x v="0"/>
    <s v="Egypt"/>
    <x v="11"/>
    <x v="59"/>
    <x v="59"/>
    <m/>
    <m/>
    <s v="Break 15 Morning"/>
    <d v="1899-12-30T17:15:00"/>
    <d v="1899-12-30T17:30:00"/>
    <n v="0"/>
    <x v="1"/>
  </r>
  <r>
    <x v="0"/>
    <s v="Egypt"/>
    <x v="11"/>
    <x v="59"/>
    <x v="59"/>
    <m/>
    <m/>
    <s v="Break 30 Morning"/>
    <d v="1899-12-30T20:15:00"/>
    <d v="1899-12-30T20:45:00"/>
    <n v="0"/>
    <x v="1"/>
  </r>
  <r>
    <x v="0"/>
    <s v="Egypt"/>
    <x v="11"/>
    <x v="59"/>
    <x v="59"/>
    <d v="2025-06-02T00:00:00"/>
    <d v="1899-12-30T08:15:00"/>
    <s v="Non Telecom"/>
    <d v="1899-12-30T15:00:00"/>
    <d v="1899-12-30T23:15:00"/>
    <n v="29700"/>
    <x v="0"/>
  </r>
  <r>
    <x v="0"/>
    <s v="Egypt"/>
    <x v="11"/>
    <x v="59"/>
    <x v="59"/>
    <m/>
    <m/>
    <s v="Break 15 Morning"/>
    <d v="1899-12-30T17:00:00"/>
    <d v="1899-12-30T17:15:00"/>
    <n v="0"/>
    <x v="1"/>
  </r>
  <r>
    <x v="0"/>
    <s v="Egypt"/>
    <x v="11"/>
    <x v="59"/>
    <x v="59"/>
    <m/>
    <m/>
    <s v="Break 30 Morning"/>
    <d v="1899-12-30T20:15:00"/>
    <d v="1899-12-30T20:45:00"/>
    <n v="0"/>
    <x v="1"/>
  </r>
  <r>
    <x v="0"/>
    <s v="Egypt"/>
    <x v="11"/>
    <x v="59"/>
    <x v="59"/>
    <d v="2025-06-03T00:00:00"/>
    <m/>
    <s v="Day Off"/>
    <m/>
    <m/>
    <n v="0"/>
    <x v="1"/>
  </r>
  <r>
    <x v="0"/>
    <s v="Egypt"/>
    <x v="11"/>
    <x v="59"/>
    <x v="59"/>
    <d v="2025-06-04T00:00:00"/>
    <m/>
    <s v="Day Off"/>
    <m/>
    <m/>
    <n v="0"/>
    <x v="1"/>
  </r>
  <r>
    <x v="0"/>
    <s v="Egypt"/>
    <x v="11"/>
    <x v="59"/>
    <x v="59"/>
    <d v="2025-06-05T00:00:00"/>
    <d v="1899-12-30T08:15:00"/>
    <s v="Non Telecom"/>
    <d v="1899-12-30T08:00:00"/>
    <d v="1899-12-30T16:15:00"/>
    <n v="29700"/>
    <x v="0"/>
  </r>
  <r>
    <x v="0"/>
    <s v="Egypt"/>
    <x v="11"/>
    <x v="59"/>
    <x v="59"/>
    <m/>
    <m/>
    <s v="Break 15 Morning"/>
    <d v="1899-12-30T09:45:00"/>
    <d v="1899-12-30T10:00:00"/>
    <n v="0"/>
    <x v="1"/>
  </r>
  <r>
    <x v="0"/>
    <s v="Egypt"/>
    <x v="11"/>
    <x v="59"/>
    <x v="59"/>
    <m/>
    <m/>
    <s v="Break 30 Morning"/>
    <d v="1899-12-30T12:45:00"/>
    <d v="1899-12-30T13:15:00"/>
    <n v="0"/>
    <x v="1"/>
  </r>
  <r>
    <x v="0"/>
    <s v="Egypt"/>
    <x v="11"/>
    <x v="59"/>
    <x v="59"/>
    <d v="2025-06-06T00:00:00"/>
    <d v="1899-12-30T08:15:00"/>
    <s v="Public holiday"/>
    <m/>
    <m/>
    <n v="29700"/>
    <x v="1"/>
  </r>
  <r>
    <x v="0"/>
    <s v="Egypt"/>
    <x v="11"/>
    <x v="59"/>
    <x v="59"/>
    <d v="2025-06-07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Shift Swap"/>
    <d v="1899-12-30T21:00:00"/>
    <d v="1899-12-30T21:15:00"/>
    <n v="0"/>
    <x v="1"/>
  </r>
  <r>
    <x v="0"/>
    <s v="Egypt"/>
    <x v="11"/>
    <x v="59"/>
    <x v="59"/>
    <m/>
    <m/>
    <s v="Break 15 Night"/>
    <d v="1899-12-30T22:15:00"/>
    <d v="1899-12-30T22:30:00"/>
    <n v="0"/>
    <x v="1"/>
  </r>
  <r>
    <x v="0"/>
    <s v="Egypt"/>
    <x v="11"/>
    <x v="59"/>
    <x v="59"/>
    <m/>
    <m/>
    <s v="Break 30 Night"/>
    <s v="+1:15 AM"/>
    <s v="+1:45 AM"/>
    <n v="0"/>
    <x v="1"/>
  </r>
  <r>
    <x v="0"/>
    <s v="Egypt"/>
    <x v="11"/>
    <x v="59"/>
    <x v="59"/>
    <d v="2025-06-08T00:00:00"/>
    <d v="1899-12-30T08:15:00"/>
    <s v="Non Telecom"/>
    <d v="1899-12-30T19:15:00"/>
    <s v="+3:30 AM"/>
    <n v="29700"/>
    <x v="0"/>
  </r>
  <r>
    <x v="0"/>
    <s v="Egypt"/>
    <x v="11"/>
    <x v="59"/>
    <x v="59"/>
    <m/>
    <m/>
    <s v="Break 15 Night"/>
    <d v="1899-12-30T21:15:00"/>
    <d v="1899-12-30T21:30:00"/>
    <n v="0"/>
    <x v="1"/>
  </r>
  <r>
    <x v="0"/>
    <s v="Egypt"/>
    <x v="11"/>
    <x v="59"/>
    <x v="59"/>
    <m/>
    <m/>
    <s v="Break 30 Night"/>
    <s v="+12:15 AM"/>
    <s v="+12:45 AM"/>
    <n v="0"/>
    <x v="1"/>
  </r>
  <r>
    <x v="0"/>
    <s v="Egypt"/>
    <x v="11"/>
    <x v="59"/>
    <x v="59"/>
    <d v="2025-06-09T00:00:00"/>
    <m/>
    <s v="Day Off"/>
    <m/>
    <m/>
    <n v="0"/>
    <x v="1"/>
  </r>
  <r>
    <x v="0"/>
    <s v="Egypt"/>
    <x v="11"/>
    <x v="59"/>
    <x v="59"/>
    <d v="2025-06-10T00:00:00"/>
    <m/>
    <s v="Day Off"/>
    <m/>
    <m/>
    <n v="0"/>
    <x v="1"/>
  </r>
  <r>
    <x v="0"/>
    <s v="Egypt"/>
    <x v="11"/>
    <x v="59"/>
    <x v="59"/>
    <d v="2025-06-11T00:00:00"/>
    <d v="1899-12-30T08:15:00"/>
    <s v="Non Telecom"/>
    <d v="1899-12-30T13:00:00"/>
    <d v="1899-12-30T21:15:00"/>
    <n v="29700"/>
    <x v="0"/>
  </r>
  <r>
    <x v="0"/>
    <s v="Egypt"/>
    <x v="11"/>
    <x v="59"/>
    <x v="59"/>
    <m/>
    <m/>
    <s v="Break 15 Morning"/>
    <d v="1899-12-30T15:15:00"/>
    <d v="1899-12-30T15:30:00"/>
    <n v="0"/>
    <x v="1"/>
  </r>
  <r>
    <x v="0"/>
    <s v="Egypt"/>
    <x v="11"/>
    <x v="59"/>
    <x v="59"/>
    <m/>
    <m/>
    <s v="Break 30 Morning"/>
    <d v="1899-12-30T18:30:00"/>
    <d v="1899-12-30T19:00:00"/>
    <n v="0"/>
    <x v="1"/>
  </r>
  <r>
    <x v="0"/>
    <s v="Egypt"/>
    <x v="11"/>
    <x v="59"/>
    <x v="59"/>
    <d v="2025-06-12T00:00:00"/>
    <d v="1899-12-30T08:15:00"/>
    <s v="Non Telecom"/>
    <d v="1899-12-30T13:00:00"/>
    <d v="1899-12-30T21:15:00"/>
    <n v="29700"/>
    <x v="0"/>
  </r>
  <r>
    <x v="0"/>
    <s v="Egypt"/>
    <x v="11"/>
    <x v="59"/>
    <x v="59"/>
    <m/>
    <m/>
    <s v="Break 15 Morning"/>
    <d v="1899-12-30T15:15:00"/>
    <d v="1899-12-30T15:30:00"/>
    <n v="0"/>
    <x v="1"/>
  </r>
  <r>
    <x v="0"/>
    <s v="Egypt"/>
    <x v="11"/>
    <x v="59"/>
    <x v="59"/>
    <m/>
    <m/>
    <s v="Break 30 Morning"/>
    <d v="1899-12-30T18:45:00"/>
    <d v="1899-12-30T19:15:00"/>
    <n v="0"/>
    <x v="1"/>
  </r>
  <r>
    <x v="0"/>
    <s v="Egypt"/>
    <x v="11"/>
    <x v="59"/>
    <x v="59"/>
    <d v="2025-06-13T00:00:00"/>
    <d v="1899-12-30T08:15:00"/>
    <s v="Annual Exception"/>
    <m/>
    <m/>
    <n v="29700"/>
    <x v="1"/>
  </r>
  <r>
    <x v="0"/>
    <s v="Egypt"/>
    <x v="11"/>
    <x v="59"/>
    <x v="59"/>
    <d v="2025-06-14T00:00:00"/>
    <d v="1899-12-30T08:15:00"/>
    <s v="Non Telecom"/>
    <d v="1899-12-30T16:15:00"/>
    <s v="+12:30 AM"/>
    <n v="29700"/>
    <x v="0"/>
  </r>
  <r>
    <x v="0"/>
    <s v="Egypt"/>
    <x v="11"/>
    <x v="59"/>
    <x v="59"/>
    <m/>
    <m/>
    <s v="Break 15 Night"/>
    <d v="1899-12-30T18:15:00"/>
    <d v="1899-12-30T18:30:00"/>
    <n v="0"/>
    <x v="1"/>
  </r>
  <r>
    <x v="0"/>
    <s v="Egypt"/>
    <x v="11"/>
    <x v="59"/>
    <x v="59"/>
    <m/>
    <m/>
    <s v="Break 30 Night"/>
    <d v="1899-12-30T21:00:00"/>
    <d v="1899-12-30T21:30:00"/>
    <n v="0"/>
    <x v="1"/>
  </r>
  <r>
    <x v="0"/>
    <s v="Egypt"/>
    <x v="11"/>
    <x v="59"/>
    <x v="59"/>
    <d v="2025-06-15T00:00:00"/>
    <m/>
    <s v="Day Off"/>
    <m/>
    <m/>
    <n v="0"/>
    <x v="1"/>
  </r>
  <r>
    <x v="0"/>
    <s v="Egypt"/>
    <x v="11"/>
    <x v="59"/>
    <x v="59"/>
    <d v="2025-06-16T00:00:00"/>
    <m/>
    <s v="Day Off"/>
    <m/>
    <m/>
    <n v="0"/>
    <x v="1"/>
  </r>
  <r>
    <x v="0"/>
    <s v="Egypt"/>
    <x v="11"/>
    <x v="59"/>
    <x v="59"/>
    <d v="2025-06-17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2:45:00"/>
    <d v="1899-12-30T23:00:00"/>
    <n v="0"/>
    <x v="1"/>
  </r>
  <r>
    <x v="0"/>
    <s v="Egypt"/>
    <x v="11"/>
    <x v="59"/>
    <x v="59"/>
    <m/>
    <m/>
    <s v="Break 30 Night"/>
    <s v="+1:30 AM"/>
    <s v="+2:00 AM"/>
    <n v="0"/>
    <x v="1"/>
  </r>
  <r>
    <x v="0"/>
    <s v="Egypt"/>
    <x v="11"/>
    <x v="59"/>
    <x v="59"/>
    <d v="2025-06-18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2:30:00"/>
    <d v="1899-12-30T22:45:00"/>
    <n v="0"/>
    <x v="1"/>
  </r>
  <r>
    <x v="0"/>
    <s v="Egypt"/>
    <x v="11"/>
    <x v="59"/>
    <x v="59"/>
    <m/>
    <m/>
    <s v="Break 30 Night"/>
    <s v="+1:45 AM"/>
    <s v="+2:15 AM"/>
    <n v="0"/>
    <x v="1"/>
  </r>
  <r>
    <x v="0"/>
    <s v="Egypt"/>
    <x v="11"/>
    <x v="59"/>
    <x v="59"/>
    <d v="2025-06-19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3:15:00"/>
    <d v="1899-12-30T23:30:00"/>
    <n v="0"/>
    <x v="1"/>
  </r>
  <r>
    <x v="0"/>
    <s v="Egypt"/>
    <x v="11"/>
    <x v="59"/>
    <x v="59"/>
    <m/>
    <m/>
    <s v="Break 30 Night"/>
    <s v="+2:00 AM"/>
    <s v="+2:30 AM"/>
    <n v="0"/>
    <x v="1"/>
  </r>
  <r>
    <x v="0"/>
    <s v="Egypt"/>
    <x v="11"/>
    <x v="59"/>
    <x v="59"/>
    <d v="2025-06-20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3:00:00"/>
    <d v="1899-12-30T23:15:00"/>
    <n v="0"/>
    <x v="1"/>
  </r>
  <r>
    <x v="0"/>
    <s v="Egypt"/>
    <x v="11"/>
    <x v="59"/>
    <x v="59"/>
    <m/>
    <m/>
    <s v="Break 30 Night"/>
    <s v="+1:45 AM"/>
    <s v="+2:15 AM"/>
    <n v="0"/>
    <x v="1"/>
  </r>
  <r>
    <x v="0"/>
    <s v="Egypt"/>
    <x v="11"/>
    <x v="59"/>
    <x v="59"/>
    <d v="2025-06-21T00:00:00"/>
    <m/>
    <s v="Day Off"/>
    <m/>
    <m/>
    <n v="0"/>
    <x v="1"/>
  </r>
  <r>
    <x v="0"/>
    <s v="Egypt"/>
    <x v="11"/>
    <x v="59"/>
    <x v="59"/>
    <d v="2025-06-22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3:30:00"/>
    <d v="1899-12-30T23:45:00"/>
    <n v="0"/>
    <x v="1"/>
  </r>
  <r>
    <x v="0"/>
    <s v="Egypt"/>
    <x v="11"/>
    <x v="59"/>
    <x v="59"/>
    <m/>
    <m/>
    <s v="Break 30 Night"/>
    <s v="+2:45 AM"/>
    <s v="+3:15 AM"/>
    <n v="0"/>
    <x v="1"/>
  </r>
  <r>
    <x v="0"/>
    <s v="Egypt"/>
    <x v="11"/>
    <x v="59"/>
    <x v="59"/>
    <d v="2025-06-23T00:00:00"/>
    <d v="1899-12-30T08:15:00"/>
    <s v="Non Telecom"/>
    <d v="1899-12-30T13:00:00"/>
    <d v="1899-12-30T21:15:00"/>
    <n v="29700"/>
    <x v="0"/>
  </r>
  <r>
    <x v="0"/>
    <s v="Egypt"/>
    <x v="11"/>
    <x v="59"/>
    <x v="59"/>
    <m/>
    <m/>
    <s v="Break 15 Morning"/>
    <d v="1899-12-30T14:45:00"/>
    <d v="1899-12-30T15:00:00"/>
    <n v="0"/>
    <x v="1"/>
  </r>
  <r>
    <x v="0"/>
    <s v="Egypt"/>
    <x v="11"/>
    <x v="59"/>
    <x v="59"/>
    <m/>
    <m/>
    <s v="Break 30 Morning"/>
    <d v="1899-12-30T17:15:00"/>
    <d v="1899-12-30T17:45:00"/>
    <n v="0"/>
    <x v="1"/>
  </r>
  <r>
    <x v="0"/>
    <s v="Egypt"/>
    <x v="11"/>
    <x v="59"/>
    <x v="59"/>
    <d v="2025-06-24T00:00:00"/>
    <d v="1899-12-30T08:15:00"/>
    <s v="Non Telecom"/>
    <d v="1899-12-30T21:00:00"/>
    <s v="+5:15 AM"/>
    <n v="29700"/>
    <x v="0"/>
  </r>
  <r>
    <x v="0"/>
    <s v="Egypt"/>
    <x v="11"/>
    <x v="59"/>
    <x v="59"/>
    <m/>
    <m/>
    <s v="Break 15 Night"/>
    <d v="1899-12-30T23:00:00"/>
    <d v="1899-12-30T23:15:00"/>
    <n v="0"/>
    <x v="1"/>
  </r>
  <r>
    <x v="0"/>
    <s v="Egypt"/>
    <x v="11"/>
    <x v="59"/>
    <x v="59"/>
    <m/>
    <m/>
    <s v="Break 30 Night"/>
    <s v="+1:30 AM"/>
    <s v="+2:00 AM"/>
    <n v="0"/>
    <x v="1"/>
  </r>
  <r>
    <x v="0"/>
    <s v="Egypt"/>
    <x v="11"/>
    <x v="59"/>
    <x v="59"/>
    <d v="2025-06-25T00:00:00"/>
    <d v="1899-12-30T08:15:00"/>
    <s v="Non Telecom"/>
    <d v="1899-12-30T19:15:00"/>
    <s v="+3:30 AM"/>
    <n v="29700"/>
    <x v="0"/>
  </r>
  <r>
    <x v="0"/>
    <s v="Egypt"/>
    <x v="11"/>
    <x v="59"/>
    <x v="59"/>
    <m/>
    <m/>
    <s v="Break 15 Night"/>
    <d v="1899-12-30T22:00:00"/>
    <d v="1899-12-30T22:15:00"/>
    <n v="0"/>
    <x v="1"/>
  </r>
  <r>
    <x v="0"/>
    <s v="Egypt"/>
    <x v="11"/>
    <x v="59"/>
    <x v="59"/>
    <m/>
    <m/>
    <s v="Break 30 Night"/>
    <s v="+1:30 AM"/>
    <s v="+2:00 AM"/>
    <n v="0"/>
    <x v="1"/>
  </r>
  <r>
    <x v="0"/>
    <s v="Egypt"/>
    <x v="11"/>
    <x v="59"/>
    <x v="59"/>
    <d v="2025-06-26T00:00:00"/>
    <d v="1899-12-30T08:15:00"/>
    <s v="Public holiday"/>
    <m/>
    <m/>
    <n v="29700"/>
    <x v="1"/>
  </r>
  <r>
    <x v="0"/>
    <s v="Egypt"/>
    <x v="11"/>
    <x v="59"/>
    <x v="59"/>
    <d v="2025-06-27T00:00:00"/>
    <d v="1899-12-30T08:15:00"/>
    <s v="Non Telecom"/>
    <d v="1899-12-30T19:15:00"/>
    <s v="+3:30 AM"/>
    <n v="29700"/>
    <x v="0"/>
  </r>
  <r>
    <x v="0"/>
    <s v="Egypt"/>
    <x v="11"/>
    <x v="59"/>
    <x v="59"/>
    <m/>
    <m/>
    <s v="Break 15 Night"/>
    <d v="1899-12-30T22:00:00"/>
    <d v="1899-12-30T22:15:00"/>
    <n v="0"/>
    <x v="1"/>
  </r>
  <r>
    <x v="0"/>
    <s v="Egypt"/>
    <x v="11"/>
    <x v="59"/>
    <x v="59"/>
    <m/>
    <m/>
    <s v="Break 30 Night"/>
    <s v="+12:45 AM"/>
    <s v="+1:15 AM"/>
    <n v="0"/>
    <x v="1"/>
  </r>
  <r>
    <x v="0"/>
    <s v="Egypt"/>
    <x v="11"/>
    <x v="59"/>
    <x v="59"/>
    <d v="2025-06-28T00:00:00"/>
    <m/>
    <s v="Day Off"/>
    <m/>
    <m/>
    <n v="0"/>
    <x v="1"/>
  </r>
  <r>
    <x v="0"/>
    <s v="Egypt"/>
    <x v="11"/>
    <x v="59"/>
    <x v="59"/>
    <d v="2025-06-29T00:00:00"/>
    <d v="1899-12-30T08:15:00"/>
    <s v="Annual Exception"/>
    <m/>
    <m/>
    <n v="29700"/>
    <x v="1"/>
  </r>
  <r>
    <x v="0"/>
    <s v="Egypt"/>
    <x v="11"/>
    <x v="59"/>
    <x v="59"/>
    <d v="2025-06-30T00:00:00"/>
    <d v="1899-12-30T08:00:00"/>
    <s v="Non Reserved Annual"/>
    <d v="1899-12-30T09:15:00"/>
    <d v="1899-12-30T17:15:00"/>
    <n v="28800"/>
    <x v="1"/>
  </r>
  <r>
    <x v="0"/>
    <s v="Egypt"/>
    <x v="11"/>
    <x v="59"/>
    <x v="59"/>
    <m/>
    <m/>
    <s v="Non Reserved Annual"/>
    <d v="1899-12-30T09:15:00"/>
    <d v="1899-12-30T17:15:00"/>
    <n v="0"/>
    <x v="1"/>
  </r>
  <r>
    <x v="0"/>
    <s v="Egypt"/>
    <x v="11"/>
    <x v="60"/>
    <x v="60"/>
    <d v="2025-06-01T00:00:00"/>
    <d v="1899-12-30T08:15:00"/>
    <s v="Support Training"/>
    <m/>
    <m/>
    <n v="29700"/>
    <x v="1"/>
  </r>
  <r>
    <x v="0"/>
    <s v="Egypt"/>
    <x v="11"/>
    <x v="60"/>
    <x v="60"/>
    <d v="2025-06-02T00:00:00"/>
    <d v="1899-12-30T08:15:00"/>
    <s v="Support Training"/>
    <m/>
    <m/>
    <n v="29700"/>
    <x v="1"/>
  </r>
  <r>
    <x v="0"/>
    <s v="Egypt"/>
    <x v="11"/>
    <x v="60"/>
    <x v="60"/>
    <d v="2025-06-03T00:00:00"/>
    <d v="1899-12-30T08:15:00"/>
    <s v="Support Training"/>
    <m/>
    <m/>
    <n v="29700"/>
    <x v="1"/>
  </r>
  <r>
    <x v="0"/>
    <s v="Egypt"/>
    <x v="11"/>
    <x v="60"/>
    <x v="60"/>
    <d v="2025-06-04T00:00:00"/>
    <d v="1899-12-30T08:15:00"/>
    <s v="Support Training"/>
    <m/>
    <m/>
    <n v="29700"/>
    <x v="1"/>
  </r>
  <r>
    <x v="0"/>
    <s v="Egypt"/>
    <x v="11"/>
    <x v="60"/>
    <x v="60"/>
    <d v="2025-06-05T00:00:00"/>
    <d v="1899-12-30T08:15:00"/>
    <s v="Support Training"/>
    <m/>
    <m/>
    <n v="29700"/>
    <x v="1"/>
  </r>
  <r>
    <x v="0"/>
    <s v="Egypt"/>
    <x v="11"/>
    <x v="60"/>
    <x v="60"/>
    <d v="2025-06-06T00:00:00"/>
    <m/>
    <s v="Day Off"/>
    <m/>
    <m/>
    <n v="0"/>
    <x v="1"/>
  </r>
  <r>
    <x v="0"/>
    <s v="Egypt"/>
    <x v="11"/>
    <x v="60"/>
    <x v="60"/>
    <d v="2025-06-07T00:00:00"/>
    <m/>
    <s v="Day Off"/>
    <m/>
    <m/>
    <n v="0"/>
    <x v="1"/>
  </r>
  <r>
    <x v="0"/>
    <s v="Egypt"/>
    <x v="11"/>
    <x v="60"/>
    <x v="60"/>
    <d v="2025-06-08T00:00:00"/>
    <d v="1899-12-30T08:15:00"/>
    <s v="Public holiday"/>
    <m/>
    <m/>
    <n v="29700"/>
    <x v="1"/>
  </r>
  <r>
    <x v="0"/>
    <s v="Egypt"/>
    <x v="11"/>
    <x v="60"/>
    <x v="60"/>
    <d v="2025-06-09T00:00:00"/>
    <d v="1899-12-30T08:15:00"/>
    <s v="Non Telecom"/>
    <d v="1899-12-30T13:00:00"/>
    <d v="1899-12-30T21:15:00"/>
    <n v="29700"/>
    <x v="0"/>
  </r>
  <r>
    <x v="0"/>
    <s v="Egypt"/>
    <x v="11"/>
    <x v="60"/>
    <x v="60"/>
    <m/>
    <m/>
    <s v="Break 15 Morning"/>
    <d v="1899-12-30T14:45:00"/>
    <d v="1899-12-30T15:00:00"/>
    <n v="0"/>
    <x v="1"/>
  </r>
  <r>
    <x v="0"/>
    <s v="Egypt"/>
    <x v="11"/>
    <x v="60"/>
    <x v="60"/>
    <m/>
    <m/>
    <s v="Break 30 Morning"/>
    <d v="1899-12-30T18:30:00"/>
    <d v="1899-12-30T19:00:00"/>
    <n v="0"/>
    <x v="1"/>
  </r>
  <r>
    <x v="0"/>
    <s v="Egypt"/>
    <x v="11"/>
    <x v="60"/>
    <x v="60"/>
    <d v="2025-06-10T00:00:00"/>
    <m/>
    <s v="Day Off"/>
    <m/>
    <m/>
    <n v="0"/>
    <x v="1"/>
  </r>
  <r>
    <x v="0"/>
    <s v="Egypt"/>
    <x v="11"/>
    <x v="60"/>
    <x v="60"/>
    <d v="2025-06-11T00:00:00"/>
    <m/>
    <s v="Day Off"/>
    <m/>
    <m/>
    <n v="0"/>
    <x v="1"/>
  </r>
  <r>
    <x v="0"/>
    <s v="Egypt"/>
    <x v="11"/>
    <x v="60"/>
    <x v="60"/>
    <d v="2025-06-12T00:00:00"/>
    <d v="1899-12-30T08:15:00"/>
    <s v="Annual Exception"/>
    <m/>
    <m/>
    <n v="29700"/>
    <x v="1"/>
  </r>
  <r>
    <x v="0"/>
    <s v="Egypt"/>
    <x v="11"/>
    <x v="60"/>
    <x v="60"/>
    <d v="2025-06-13T00:00:00"/>
    <d v="1899-12-30T08:15:00"/>
    <s v="Annual Exception"/>
    <m/>
    <m/>
    <n v="29700"/>
    <x v="1"/>
  </r>
  <r>
    <x v="0"/>
    <s v="Egypt"/>
    <x v="11"/>
    <x v="60"/>
    <x v="60"/>
    <d v="2025-06-14T00:00:00"/>
    <d v="1899-12-30T08:15:00"/>
    <s v="Non Telecom"/>
    <d v="1899-12-30T08:00:00"/>
    <d v="1899-12-30T16:15:00"/>
    <n v="29700"/>
    <x v="0"/>
  </r>
  <r>
    <x v="0"/>
    <s v="Egypt"/>
    <x v="11"/>
    <x v="60"/>
    <x v="60"/>
    <m/>
    <m/>
    <s v="Break 15 Morning"/>
    <d v="1899-12-30T09:30:00"/>
    <d v="1899-12-30T09:45:00"/>
    <n v="0"/>
    <x v="1"/>
  </r>
  <r>
    <x v="0"/>
    <s v="Egypt"/>
    <x v="11"/>
    <x v="60"/>
    <x v="60"/>
    <m/>
    <m/>
    <s v="Break 30 Morning"/>
    <d v="1899-12-30T12:15:00"/>
    <d v="1899-12-30T12:45:00"/>
    <n v="0"/>
    <x v="1"/>
  </r>
  <r>
    <x v="0"/>
    <s v="Egypt"/>
    <x v="11"/>
    <x v="60"/>
    <x v="60"/>
    <d v="2025-06-15T00:00:00"/>
    <d v="1899-12-30T08:15:00"/>
    <s v="Non Telecom"/>
    <d v="1899-12-30T16:15:00"/>
    <s v="+12:30 AM"/>
    <n v="29700"/>
    <x v="0"/>
  </r>
  <r>
    <x v="0"/>
    <s v="Egypt"/>
    <x v="11"/>
    <x v="60"/>
    <x v="60"/>
    <m/>
    <m/>
    <s v="Break 15 Night"/>
    <d v="1899-12-30T18:30:00"/>
    <d v="1899-12-30T18:45:00"/>
    <n v="0"/>
    <x v="1"/>
  </r>
  <r>
    <x v="0"/>
    <s v="Egypt"/>
    <x v="11"/>
    <x v="60"/>
    <x v="60"/>
    <m/>
    <m/>
    <s v="Break 30 Night"/>
    <d v="1899-12-30T21:15:00"/>
    <d v="1899-12-30T21:45:00"/>
    <n v="0"/>
    <x v="1"/>
  </r>
  <r>
    <x v="0"/>
    <s v="Egypt"/>
    <x v="11"/>
    <x v="60"/>
    <x v="60"/>
    <d v="2025-06-16T00:00:00"/>
    <d v="1899-12-30T08:15:00"/>
    <s v="Non Telecom"/>
    <d v="1899-12-30T11:00:00"/>
    <d v="1899-12-30T19:15:00"/>
    <n v="29700"/>
    <x v="0"/>
  </r>
  <r>
    <x v="0"/>
    <s v="Egypt"/>
    <x v="11"/>
    <x v="60"/>
    <x v="60"/>
    <m/>
    <m/>
    <s v="Break 15 Morning"/>
    <d v="1899-12-30T13:30:00"/>
    <d v="1899-12-30T13:45:00"/>
    <n v="0"/>
    <x v="1"/>
  </r>
  <r>
    <x v="0"/>
    <s v="Egypt"/>
    <x v="11"/>
    <x v="60"/>
    <x v="60"/>
    <m/>
    <m/>
    <s v="Break 30 Morning"/>
    <d v="1899-12-30T15:45:00"/>
    <d v="1899-12-30T16:15:00"/>
    <n v="0"/>
    <x v="1"/>
  </r>
  <r>
    <x v="0"/>
    <s v="Egypt"/>
    <x v="11"/>
    <x v="60"/>
    <x v="60"/>
    <m/>
    <m/>
    <s v="Leave Early"/>
    <d v="1899-12-30T17:15:00"/>
    <d v="1899-12-30T19:15:00"/>
    <n v="0"/>
    <x v="1"/>
  </r>
  <r>
    <x v="0"/>
    <s v="Egypt"/>
    <x v="11"/>
    <x v="60"/>
    <x v="60"/>
    <d v="2025-06-17T00:00:00"/>
    <d v="1899-12-30T08:15:00"/>
    <s v="Annual Exception"/>
    <m/>
    <m/>
    <n v="29700"/>
    <x v="1"/>
  </r>
  <r>
    <x v="0"/>
    <s v="Egypt"/>
    <x v="11"/>
    <x v="60"/>
    <x v="60"/>
    <d v="2025-06-18T00:00:00"/>
    <m/>
    <s v="Day Off"/>
    <m/>
    <m/>
    <n v="0"/>
    <x v="1"/>
  </r>
  <r>
    <x v="0"/>
    <s v="Egypt"/>
    <x v="11"/>
    <x v="60"/>
    <x v="60"/>
    <d v="2025-06-19T00:00:00"/>
    <m/>
    <s v="Day Off"/>
    <m/>
    <m/>
    <n v="0"/>
    <x v="1"/>
  </r>
  <r>
    <x v="0"/>
    <s v="Egypt"/>
    <x v="11"/>
    <x v="60"/>
    <x v="60"/>
    <d v="2025-06-20T00:00:00"/>
    <d v="1899-12-30T09:15:00"/>
    <s v="Non Telecom"/>
    <d v="1899-12-30T16:15:00"/>
    <s v="+1:30 AM"/>
    <n v="33300"/>
    <x v="0"/>
  </r>
  <r>
    <x v="0"/>
    <s v="Egypt"/>
    <x v="11"/>
    <x v="60"/>
    <x v="60"/>
    <m/>
    <m/>
    <s v="Shift Move"/>
    <d v="1899-12-30T16:15:00"/>
    <d v="1899-12-30T17:15:00"/>
    <n v="0"/>
    <x v="1"/>
  </r>
  <r>
    <x v="0"/>
    <s v="Egypt"/>
    <x v="11"/>
    <x v="60"/>
    <x v="60"/>
    <m/>
    <m/>
    <s v="Break 15 Night"/>
    <d v="1899-12-30T19:00:00"/>
    <d v="1899-12-30T19:15:00"/>
    <n v="0"/>
    <x v="1"/>
  </r>
  <r>
    <x v="0"/>
    <s v="Egypt"/>
    <x v="11"/>
    <x v="60"/>
    <x v="60"/>
    <m/>
    <m/>
    <s v="Break 30 Night"/>
    <d v="1899-12-30T22:15:00"/>
    <d v="1899-12-30T22:45:00"/>
    <n v="0"/>
    <x v="1"/>
  </r>
  <r>
    <x v="0"/>
    <s v="Egypt"/>
    <x v="11"/>
    <x v="60"/>
    <x v="60"/>
    <d v="2025-06-21T00:00:00"/>
    <d v="1899-12-30T08:15:00"/>
    <s v="Non Telecom"/>
    <d v="1899-12-30T16:15:00"/>
    <s v="+12:30 AM"/>
    <n v="29700"/>
    <x v="0"/>
  </r>
  <r>
    <x v="0"/>
    <s v="Egypt"/>
    <x v="11"/>
    <x v="60"/>
    <x v="60"/>
    <m/>
    <m/>
    <s v="Break 15 Night"/>
    <d v="1899-12-30T18:45:00"/>
    <d v="1899-12-30T19:00:00"/>
    <n v="0"/>
    <x v="1"/>
  </r>
  <r>
    <x v="0"/>
    <s v="Egypt"/>
    <x v="11"/>
    <x v="60"/>
    <x v="60"/>
    <m/>
    <m/>
    <s v="Break 30 Night"/>
    <d v="1899-12-30T21:30:00"/>
    <d v="1899-12-30T22:00:00"/>
    <n v="0"/>
    <x v="1"/>
  </r>
  <r>
    <x v="0"/>
    <s v="Egypt"/>
    <x v="11"/>
    <x v="60"/>
    <x v="60"/>
    <d v="2025-06-22T00:00:00"/>
    <d v="1899-12-30T08:15:00"/>
    <s v="Non Telecom"/>
    <d v="1899-12-30T13:00:00"/>
    <d v="1899-12-30T21:15:00"/>
    <n v="29700"/>
    <x v="0"/>
  </r>
  <r>
    <x v="0"/>
    <s v="Egypt"/>
    <x v="11"/>
    <x v="60"/>
    <x v="60"/>
    <m/>
    <m/>
    <s v="Break 15 Morning"/>
    <d v="1899-12-30T14:45:00"/>
    <d v="1899-12-30T15:00:00"/>
    <n v="0"/>
    <x v="1"/>
  </r>
  <r>
    <x v="0"/>
    <s v="Egypt"/>
    <x v="11"/>
    <x v="60"/>
    <x v="60"/>
    <m/>
    <m/>
    <s v="Break 30 Morning"/>
    <d v="1899-12-30T17:15:00"/>
    <d v="1899-12-30T17:45:00"/>
    <n v="0"/>
    <x v="1"/>
  </r>
  <r>
    <x v="0"/>
    <s v="Egypt"/>
    <x v="11"/>
    <x v="60"/>
    <x v="60"/>
    <d v="2025-06-23T00:00:00"/>
    <d v="1899-12-30T08:15:00"/>
    <s v="Non Telecom"/>
    <d v="1899-12-30T09:00:00"/>
    <d v="1899-12-30T17:15:00"/>
    <n v="29700"/>
    <x v="0"/>
  </r>
  <r>
    <x v="0"/>
    <s v="Egypt"/>
    <x v="11"/>
    <x v="60"/>
    <x v="60"/>
    <m/>
    <m/>
    <s v="Break 15 Morning"/>
    <d v="1899-12-30T11:30:00"/>
    <d v="1899-12-30T11:45:00"/>
    <n v="0"/>
    <x v="1"/>
  </r>
  <r>
    <x v="0"/>
    <s v="Egypt"/>
    <x v="11"/>
    <x v="60"/>
    <x v="60"/>
    <m/>
    <m/>
    <s v="Break 30 Morning"/>
    <d v="1899-12-30T14:15:00"/>
    <d v="1899-12-30T14:45:00"/>
    <n v="0"/>
    <x v="1"/>
  </r>
  <r>
    <x v="0"/>
    <s v="Egypt"/>
    <x v="11"/>
    <x v="60"/>
    <x v="60"/>
    <d v="2025-06-24T00:00:00"/>
    <m/>
    <s v="Day Off"/>
    <m/>
    <m/>
    <n v="0"/>
    <x v="1"/>
  </r>
  <r>
    <x v="0"/>
    <s v="Egypt"/>
    <x v="11"/>
    <x v="60"/>
    <x v="60"/>
    <d v="2025-06-25T00:00:00"/>
    <m/>
    <s v="Day Off"/>
    <m/>
    <m/>
    <n v="0"/>
    <x v="1"/>
  </r>
  <r>
    <x v="0"/>
    <s v="Egypt"/>
    <x v="11"/>
    <x v="60"/>
    <x v="60"/>
    <d v="2025-06-26T00:00:00"/>
    <d v="1899-12-30T08:15:00"/>
    <s v="Non Telecom"/>
    <d v="1899-12-30T19:15:00"/>
    <s v="+3:30 AM"/>
    <n v="29700"/>
    <x v="0"/>
  </r>
  <r>
    <x v="0"/>
    <s v="Egypt"/>
    <x v="11"/>
    <x v="60"/>
    <x v="60"/>
    <m/>
    <m/>
    <s v="Break 15 Night"/>
    <d v="1899-12-30T22:00:00"/>
    <d v="1899-12-30T22:15:00"/>
    <n v="0"/>
    <x v="1"/>
  </r>
  <r>
    <x v="0"/>
    <s v="Egypt"/>
    <x v="11"/>
    <x v="60"/>
    <x v="60"/>
    <m/>
    <m/>
    <s v="Break 30 Night"/>
    <s v="+1:00 AM"/>
    <s v="+1:30 AM"/>
    <n v="0"/>
    <x v="1"/>
  </r>
  <r>
    <x v="0"/>
    <s v="Egypt"/>
    <x v="11"/>
    <x v="60"/>
    <x v="60"/>
    <d v="2025-06-27T00:00:00"/>
    <d v="1899-12-30T08:15:00"/>
    <s v="Non Telecom"/>
    <d v="1899-12-30T19:15:00"/>
    <s v="+3:30 AM"/>
    <n v="29700"/>
    <x v="0"/>
  </r>
  <r>
    <x v="0"/>
    <s v="Egypt"/>
    <x v="11"/>
    <x v="60"/>
    <x v="60"/>
    <m/>
    <m/>
    <s v="Break 15 Night"/>
    <d v="1899-12-30T22:15:00"/>
    <d v="1899-12-30T22:30:00"/>
    <n v="0"/>
    <x v="1"/>
  </r>
  <r>
    <x v="0"/>
    <s v="Egypt"/>
    <x v="11"/>
    <x v="60"/>
    <x v="60"/>
    <m/>
    <m/>
    <s v="Break 30 Night"/>
    <s v="+1:15 AM"/>
    <s v="+1:45 AM"/>
    <n v="0"/>
    <x v="1"/>
  </r>
  <r>
    <x v="0"/>
    <s v="Egypt"/>
    <x v="11"/>
    <x v="60"/>
    <x v="60"/>
    <d v="2025-06-28T00:00:00"/>
    <d v="1899-12-30T11:15:00"/>
    <s v="Non Telecom"/>
    <d v="1899-12-30T16:15:00"/>
    <s v="+3:30 AM"/>
    <n v="40500"/>
    <x v="0"/>
  </r>
  <r>
    <x v="0"/>
    <s v="Egypt"/>
    <x v="11"/>
    <x v="60"/>
    <x v="60"/>
    <m/>
    <m/>
    <s v="Break 15 Night"/>
    <d v="1899-12-30T19:00:00"/>
    <d v="1899-12-30T19:15:00"/>
    <n v="0"/>
    <x v="1"/>
  </r>
  <r>
    <x v="0"/>
    <s v="Egypt"/>
    <x v="11"/>
    <x v="60"/>
    <x v="60"/>
    <m/>
    <m/>
    <s v="Break 30 Night"/>
    <d v="1899-12-30T22:00:00"/>
    <d v="1899-12-30T22:30:00"/>
    <n v="0"/>
    <x v="1"/>
  </r>
  <r>
    <x v="0"/>
    <s v="Egypt"/>
    <x v="11"/>
    <x v="60"/>
    <x v="60"/>
    <m/>
    <m/>
    <s v="Shift Move"/>
    <s v="+12:30 AM"/>
    <s v="+3:30 AM"/>
    <n v="0"/>
    <x v="1"/>
  </r>
  <r>
    <x v="0"/>
    <s v="Egypt"/>
    <x v="11"/>
    <x v="60"/>
    <x v="60"/>
    <d v="2025-06-29T00:00:00"/>
    <d v="1899-12-30T08:15:00"/>
    <s v="Planned Task"/>
    <m/>
    <m/>
    <n v="29700"/>
    <x v="1"/>
  </r>
  <r>
    <x v="0"/>
    <s v="Egypt"/>
    <x v="11"/>
    <x v="60"/>
    <x v="60"/>
    <d v="2025-06-30T00:00:00"/>
    <d v="1899-12-30T08:15:00"/>
    <s v="Planned Task"/>
    <m/>
    <m/>
    <n v="29700"/>
    <x v="1"/>
  </r>
  <r>
    <x v="0"/>
    <s v="Egypt"/>
    <x v="11"/>
    <x v="61"/>
    <x v="61"/>
    <d v="2025-06-01T00:00:00"/>
    <m/>
    <s v="Day Off"/>
    <m/>
    <m/>
    <n v="0"/>
    <x v="1"/>
  </r>
  <r>
    <x v="0"/>
    <s v="Egypt"/>
    <x v="11"/>
    <x v="61"/>
    <x v="61"/>
    <d v="2025-06-02T00:00:00"/>
    <m/>
    <s v="Day Off"/>
    <m/>
    <m/>
    <n v="0"/>
    <x v="1"/>
  </r>
  <r>
    <x v="0"/>
    <s v="Egypt"/>
    <x v="11"/>
    <x v="61"/>
    <x v="61"/>
    <d v="2025-06-03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0:15:00"/>
    <d v="1899-12-30T20:30:00"/>
    <n v="0"/>
    <x v="1"/>
  </r>
  <r>
    <x v="0"/>
    <s v="Egypt"/>
    <x v="11"/>
    <x v="61"/>
    <x v="61"/>
    <m/>
    <m/>
    <s v="Break 30 Night"/>
    <d v="1899-12-30T23:15:00"/>
    <d v="1899-12-30T23:45:00"/>
    <n v="0"/>
    <x v="1"/>
  </r>
  <r>
    <x v="0"/>
    <s v="Egypt"/>
    <x v="11"/>
    <x v="61"/>
    <x v="61"/>
    <d v="2025-06-04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15:00"/>
    <d v="1899-12-30T22:30:00"/>
    <n v="0"/>
    <x v="1"/>
  </r>
  <r>
    <x v="0"/>
    <s v="Egypt"/>
    <x v="11"/>
    <x v="61"/>
    <x v="61"/>
    <m/>
    <m/>
    <s v="Break 30 Night"/>
    <s v="+1:30 AM"/>
    <s v="+2:00 AM"/>
    <n v="0"/>
    <x v="1"/>
  </r>
  <r>
    <x v="0"/>
    <s v="Egypt"/>
    <x v="11"/>
    <x v="61"/>
    <x v="61"/>
    <d v="2025-06-05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00:00"/>
    <d v="1899-12-30T22:15:00"/>
    <n v="0"/>
    <x v="1"/>
  </r>
  <r>
    <x v="0"/>
    <s v="Egypt"/>
    <x v="11"/>
    <x v="61"/>
    <x v="61"/>
    <m/>
    <m/>
    <s v="Break 30 Night"/>
    <s v="+1:15 AM"/>
    <s v="+1:45 AM"/>
    <n v="0"/>
    <x v="1"/>
  </r>
  <r>
    <x v="0"/>
    <s v="Egypt"/>
    <x v="11"/>
    <x v="61"/>
    <x v="61"/>
    <d v="2025-06-06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1:45:00"/>
    <d v="1899-12-30T22:00:00"/>
    <n v="0"/>
    <x v="1"/>
  </r>
  <r>
    <x v="0"/>
    <s v="Egypt"/>
    <x v="11"/>
    <x v="61"/>
    <x v="61"/>
    <m/>
    <m/>
    <s v="Break 30 Night"/>
    <d v="1899-12-30T23:45:00"/>
    <s v="+12:15 AM"/>
    <n v="0"/>
    <x v="1"/>
  </r>
  <r>
    <x v="0"/>
    <s v="Egypt"/>
    <x v="11"/>
    <x v="61"/>
    <x v="61"/>
    <d v="2025-06-07T00:00:00"/>
    <d v="1899-12-30T08:15:00"/>
    <s v="Non Telecom"/>
    <d v="1899-12-30T17:15:00"/>
    <s v="+1:30 AM"/>
    <n v="29700"/>
    <x v="0"/>
  </r>
  <r>
    <x v="0"/>
    <s v="Egypt"/>
    <x v="11"/>
    <x v="61"/>
    <x v="61"/>
    <m/>
    <m/>
    <s v="Break 15 Night"/>
    <d v="1899-12-30T20:00:00"/>
    <d v="1899-12-30T20:15:00"/>
    <n v="0"/>
    <x v="1"/>
  </r>
  <r>
    <x v="0"/>
    <s v="Egypt"/>
    <x v="11"/>
    <x v="61"/>
    <x v="61"/>
    <m/>
    <m/>
    <s v="Break 30 Night"/>
    <d v="1899-12-30T23:00:00"/>
    <d v="1899-12-30T23:30:00"/>
    <n v="0"/>
    <x v="1"/>
  </r>
  <r>
    <x v="0"/>
    <s v="Egypt"/>
    <x v="11"/>
    <x v="61"/>
    <x v="61"/>
    <d v="2025-06-08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00:00"/>
    <d v="1899-12-30T22:15:00"/>
    <n v="0"/>
    <x v="1"/>
  </r>
  <r>
    <x v="0"/>
    <s v="Egypt"/>
    <x v="11"/>
    <x v="61"/>
    <x v="61"/>
    <m/>
    <m/>
    <s v="Break 30 Night"/>
    <s v="+12:45 AM"/>
    <s v="+1:15 AM"/>
    <n v="0"/>
    <x v="1"/>
  </r>
  <r>
    <x v="0"/>
    <s v="Egypt"/>
    <x v="11"/>
    <x v="61"/>
    <x v="61"/>
    <d v="2025-06-09T00:00:00"/>
    <d v="1899-12-30T08:15:00"/>
    <s v="Public holiday"/>
    <m/>
    <m/>
    <n v="29700"/>
    <x v="1"/>
  </r>
  <r>
    <x v="0"/>
    <s v="Egypt"/>
    <x v="11"/>
    <x v="61"/>
    <x v="61"/>
    <d v="2025-06-10T00:00:00"/>
    <m/>
    <s v="Day Off"/>
    <m/>
    <m/>
    <n v="0"/>
    <x v="1"/>
  </r>
  <r>
    <x v="0"/>
    <s v="Egypt"/>
    <x v="11"/>
    <x v="61"/>
    <x v="61"/>
    <d v="2025-06-11T00:00:00"/>
    <m/>
    <s v="Day Off"/>
    <m/>
    <m/>
    <n v="0"/>
    <x v="1"/>
  </r>
  <r>
    <x v="0"/>
    <s v="Egypt"/>
    <x v="11"/>
    <x v="61"/>
    <x v="61"/>
    <d v="2025-06-12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30:00"/>
    <d v="1899-12-30T22:45:00"/>
    <n v="0"/>
    <x v="1"/>
  </r>
  <r>
    <x v="0"/>
    <s v="Egypt"/>
    <x v="11"/>
    <x v="61"/>
    <x v="61"/>
    <m/>
    <m/>
    <s v="Break 30 Night"/>
    <s v="+1:30 AM"/>
    <s v="+2:00 AM"/>
    <n v="0"/>
    <x v="1"/>
  </r>
  <r>
    <x v="0"/>
    <s v="Egypt"/>
    <x v="11"/>
    <x v="61"/>
    <x v="61"/>
    <d v="2025-06-13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0:30:00"/>
    <d v="1899-12-30T20:45:00"/>
    <n v="0"/>
    <x v="1"/>
  </r>
  <r>
    <x v="0"/>
    <s v="Egypt"/>
    <x v="11"/>
    <x v="61"/>
    <x v="61"/>
    <m/>
    <m/>
    <s v="Break 30 Night"/>
    <d v="1899-12-30T23:30:00"/>
    <s v="+12:00 AM"/>
    <n v="0"/>
    <x v="1"/>
  </r>
  <r>
    <x v="0"/>
    <s v="Egypt"/>
    <x v="11"/>
    <x v="61"/>
    <x v="61"/>
    <d v="2025-06-14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1:00:00"/>
    <d v="1899-12-30T21:15:00"/>
    <n v="0"/>
    <x v="1"/>
  </r>
  <r>
    <x v="0"/>
    <s v="Egypt"/>
    <x v="11"/>
    <x v="61"/>
    <x v="61"/>
    <m/>
    <m/>
    <s v="Break 30 Night"/>
    <d v="1899-12-30T23:30:00"/>
    <s v="+12:00 AM"/>
    <n v="0"/>
    <x v="1"/>
  </r>
  <r>
    <x v="0"/>
    <s v="Egypt"/>
    <x v="11"/>
    <x v="61"/>
    <x v="61"/>
    <d v="2025-06-15T00:00:00"/>
    <d v="1899-12-30T08:15:00"/>
    <s v="Annual Exception"/>
    <m/>
    <m/>
    <n v="29700"/>
    <x v="1"/>
  </r>
  <r>
    <x v="0"/>
    <s v="Egypt"/>
    <x v="11"/>
    <x v="61"/>
    <x v="61"/>
    <d v="2025-06-16T00:00:00"/>
    <m/>
    <s v="Day Off"/>
    <m/>
    <m/>
    <n v="0"/>
    <x v="1"/>
  </r>
  <r>
    <x v="0"/>
    <s v="Egypt"/>
    <x v="11"/>
    <x v="61"/>
    <x v="61"/>
    <d v="2025-06-17T00:00:00"/>
    <m/>
    <s v="Day Off"/>
    <m/>
    <m/>
    <n v="0"/>
    <x v="1"/>
  </r>
  <r>
    <x v="0"/>
    <s v="Egypt"/>
    <x v="11"/>
    <x v="61"/>
    <x v="61"/>
    <d v="2025-06-18T00:00:00"/>
    <d v="1899-12-30T08:15:00"/>
    <s v="Annual Exception"/>
    <m/>
    <m/>
    <n v="29700"/>
    <x v="1"/>
  </r>
  <r>
    <x v="0"/>
    <s v="Egypt"/>
    <x v="11"/>
    <x v="61"/>
    <x v="61"/>
    <d v="2025-06-19T00:00:00"/>
    <d v="1899-12-30T08:15:00"/>
    <s v="Sick"/>
    <m/>
    <m/>
    <n v="29700"/>
    <x v="1"/>
  </r>
  <r>
    <x v="0"/>
    <s v="Egypt"/>
    <x v="11"/>
    <x v="61"/>
    <x v="61"/>
    <d v="2025-06-20T00:00:00"/>
    <d v="1899-12-30T08:15:00"/>
    <s v="Sick"/>
    <m/>
    <m/>
    <n v="29700"/>
    <x v="1"/>
  </r>
  <r>
    <x v="0"/>
    <s v="Egypt"/>
    <x v="11"/>
    <x v="61"/>
    <x v="61"/>
    <d v="2025-06-21T00:00:00"/>
    <d v="1899-12-30T08:15:00"/>
    <s v="Non Telecom"/>
    <d v="1899-12-30T16:15:00"/>
    <s v="+12:30 AM"/>
    <n v="29700"/>
    <x v="0"/>
  </r>
  <r>
    <x v="0"/>
    <s v="Egypt"/>
    <x v="11"/>
    <x v="61"/>
    <x v="61"/>
    <m/>
    <m/>
    <s v="Break 15 Night"/>
    <d v="1899-12-30T18:45:00"/>
    <d v="1899-12-30T19:00:00"/>
    <n v="0"/>
    <x v="1"/>
  </r>
  <r>
    <x v="0"/>
    <s v="Egypt"/>
    <x v="11"/>
    <x v="61"/>
    <x v="61"/>
    <m/>
    <m/>
    <s v="Break 30 Night"/>
    <d v="1899-12-30T22:00:00"/>
    <d v="1899-12-30T22:30:00"/>
    <n v="0"/>
    <x v="1"/>
  </r>
  <r>
    <x v="0"/>
    <s v="Egypt"/>
    <x v="11"/>
    <x v="61"/>
    <x v="61"/>
    <d v="2025-06-22T00:00:00"/>
    <m/>
    <s v="Day Off"/>
    <m/>
    <m/>
    <n v="0"/>
    <x v="1"/>
  </r>
  <r>
    <x v="0"/>
    <s v="Egypt"/>
    <x v="11"/>
    <x v="61"/>
    <x v="61"/>
    <d v="2025-06-23T00:00:00"/>
    <m/>
    <s v="Day Off"/>
    <m/>
    <m/>
    <n v="0"/>
    <x v="1"/>
  </r>
  <r>
    <x v="0"/>
    <s v="Egypt"/>
    <x v="11"/>
    <x v="61"/>
    <x v="61"/>
    <d v="2025-06-24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45:00"/>
    <d v="1899-12-30T23:00:00"/>
    <n v="0"/>
    <x v="1"/>
  </r>
  <r>
    <x v="0"/>
    <s v="Egypt"/>
    <x v="11"/>
    <x v="61"/>
    <x v="61"/>
    <m/>
    <m/>
    <s v="Break 30 Night"/>
    <s v="+1:15 AM"/>
    <s v="+1:45 AM"/>
    <n v="0"/>
    <x v="1"/>
  </r>
  <r>
    <x v="0"/>
    <s v="Egypt"/>
    <x v="11"/>
    <x v="61"/>
    <x v="61"/>
    <d v="2025-06-25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15:00"/>
    <d v="1899-12-30T22:30:00"/>
    <n v="0"/>
    <x v="1"/>
  </r>
  <r>
    <x v="0"/>
    <s v="Egypt"/>
    <x v="11"/>
    <x v="61"/>
    <x v="61"/>
    <m/>
    <m/>
    <s v="Break 30 Night"/>
    <s v="+1:30 AM"/>
    <s v="+2:00 AM"/>
    <n v="0"/>
    <x v="1"/>
  </r>
  <r>
    <x v="0"/>
    <s v="Egypt"/>
    <x v="11"/>
    <x v="61"/>
    <x v="61"/>
    <d v="2025-06-26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15:00"/>
    <d v="1899-12-30T22:30:00"/>
    <n v="0"/>
    <x v="1"/>
  </r>
  <r>
    <x v="0"/>
    <s v="Egypt"/>
    <x v="11"/>
    <x v="61"/>
    <x v="61"/>
    <m/>
    <m/>
    <s v="Break 30 Night"/>
    <s v="+1:30 AM"/>
    <s v="+2:00 AM"/>
    <n v="0"/>
    <x v="1"/>
  </r>
  <r>
    <x v="0"/>
    <s v="Egypt"/>
    <x v="11"/>
    <x v="61"/>
    <x v="61"/>
    <d v="2025-06-27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2:15:00"/>
    <d v="1899-12-30T22:30:00"/>
    <n v="0"/>
    <x v="1"/>
  </r>
  <r>
    <x v="0"/>
    <s v="Egypt"/>
    <x v="11"/>
    <x v="61"/>
    <x v="61"/>
    <m/>
    <m/>
    <s v="Break 30 Night"/>
    <s v="+1:15 AM"/>
    <s v="+1:45 AM"/>
    <n v="0"/>
    <x v="1"/>
  </r>
  <r>
    <x v="0"/>
    <s v="Egypt"/>
    <x v="11"/>
    <x v="61"/>
    <x v="61"/>
    <d v="2025-06-28T00:00:00"/>
    <d v="1899-12-30T08:15:00"/>
    <s v="Non Telecom"/>
    <d v="1899-12-30T19:15:00"/>
    <s v="+3:30 AM"/>
    <n v="29700"/>
    <x v="0"/>
  </r>
  <r>
    <x v="0"/>
    <s v="Egypt"/>
    <x v="11"/>
    <x v="61"/>
    <x v="61"/>
    <m/>
    <m/>
    <s v="Break 15 Night"/>
    <d v="1899-12-30T20:15:00"/>
    <d v="1899-12-30T20:30:00"/>
    <n v="0"/>
    <x v="1"/>
  </r>
  <r>
    <x v="0"/>
    <s v="Egypt"/>
    <x v="11"/>
    <x v="61"/>
    <x v="61"/>
    <m/>
    <m/>
    <s v="Break 30 Night"/>
    <d v="1899-12-30T23:15:00"/>
    <d v="1899-12-30T23:45:00"/>
    <n v="0"/>
    <x v="1"/>
  </r>
  <r>
    <x v="0"/>
    <s v="Egypt"/>
    <x v="11"/>
    <x v="61"/>
    <x v="61"/>
    <d v="2025-06-29T00:00:00"/>
    <m/>
    <s v="Day Off"/>
    <m/>
    <m/>
    <n v="0"/>
    <x v="1"/>
  </r>
  <r>
    <x v="0"/>
    <s v="Egypt"/>
    <x v="11"/>
    <x v="61"/>
    <x v="61"/>
    <d v="2025-06-30T00:00:00"/>
    <d v="1899-12-30T08:15:00"/>
    <s v="Annual Exception"/>
    <m/>
    <m/>
    <n v="29700"/>
    <x v="1"/>
  </r>
  <r>
    <x v="0"/>
    <s v="Egypt"/>
    <x v="12"/>
    <x v="62"/>
    <x v="62"/>
    <d v="2025-06-01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15:00"/>
    <d v="1899-12-30T11:30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02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00:00"/>
    <d v="1899-12-30T11:15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03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15:00"/>
    <d v="1899-12-30T11:30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04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00:00"/>
    <d v="1899-12-30T11:15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05T00:00:00"/>
    <d v="1899-12-30T09:15:00"/>
    <s v="Non Telecom"/>
    <d v="1899-12-30T08:00:00"/>
    <d v="1899-12-30T17:15:00"/>
    <n v="33300"/>
    <x v="0"/>
  </r>
  <r>
    <x v="0"/>
    <s v="Egypt"/>
    <x v="12"/>
    <x v="62"/>
    <x v="62"/>
    <m/>
    <m/>
    <s v="Break 15 Morning"/>
    <d v="1899-12-30T11:00:00"/>
    <d v="1899-12-30T11:15:00"/>
    <n v="0"/>
    <x v="1"/>
  </r>
  <r>
    <x v="0"/>
    <s v="Egypt"/>
    <x v="12"/>
    <x v="62"/>
    <x v="62"/>
    <m/>
    <m/>
    <s v="Break 30 Morning"/>
    <d v="1899-12-30T13:00:00"/>
    <d v="1899-12-30T13:30:00"/>
    <n v="0"/>
    <x v="1"/>
  </r>
  <r>
    <x v="0"/>
    <s v="Egypt"/>
    <x v="12"/>
    <x v="62"/>
    <x v="62"/>
    <m/>
    <m/>
    <s v="Shift Move"/>
    <d v="1899-12-30T16:15:00"/>
    <d v="1899-12-30T17:15:00"/>
    <n v="0"/>
    <x v="1"/>
  </r>
  <r>
    <x v="0"/>
    <s v="Egypt"/>
    <x v="12"/>
    <x v="62"/>
    <x v="62"/>
    <d v="2025-06-06T00:00:00"/>
    <m/>
    <s v="Day Off"/>
    <m/>
    <m/>
    <n v="0"/>
    <x v="1"/>
  </r>
  <r>
    <x v="0"/>
    <s v="Egypt"/>
    <x v="12"/>
    <x v="62"/>
    <x v="62"/>
    <d v="2025-06-07T00:00:00"/>
    <m/>
    <s v="Day Off"/>
    <m/>
    <m/>
    <n v="0"/>
    <x v="1"/>
  </r>
  <r>
    <x v="0"/>
    <s v="Egypt"/>
    <x v="12"/>
    <x v="62"/>
    <x v="62"/>
    <d v="2025-06-08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15:00"/>
    <d v="1899-12-30T09:30:00"/>
    <n v="0"/>
    <x v="1"/>
  </r>
  <r>
    <x v="0"/>
    <s v="Egypt"/>
    <x v="12"/>
    <x v="62"/>
    <x v="62"/>
    <m/>
    <m/>
    <s v="Break 30 Morning"/>
    <d v="1899-12-30T12:15:00"/>
    <d v="1899-12-30T12:45:00"/>
    <n v="0"/>
    <x v="1"/>
  </r>
  <r>
    <x v="0"/>
    <s v="Egypt"/>
    <x v="12"/>
    <x v="62"/>
    <x v="62"/>
    <d v="2025-06-09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30:00"/>
    <d v="1899-12-30T09:45:00"/>
    <n v="0"/>
    <x v="1"/>
  </r>
  <r>
    <x v="0"/>
    <s v="Egypt"/>
    <x v="12"/>
    <x v="62"/>
    <x v="62"/>
    <m/>
    <m/>
    <s v="Break 30 Morning"/>
    <d v="1899-12-30T12:45:00"/>
    <d v="1899-12-30T13:15:00"/>
    <n v="0"/>
    <x v="1"/>
  </r>
  <r>
    <x v="0"/>
    <s v="Egypt"/>
    <x v="12"/>
    <x v="62"/>
    <x v="62"/>
    <d v="2025-06-10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15:00"/>
    <d v="1899-12-30T09:30:00"/>
    <n v="0"/>
    <x v="1"/>
  </r>
  <r>
    <x v="0"/>
    <s v="Egypt"/>
    <x v="12"/>
    <x v="62"/>
    <x v="62"/>
    <m/>
    <m/>
    <s v="Break 30 Morning"/>
    <d v="1899-12-30T12:15:00"/>
    <d v="1899-12-30T12:45:00"/>
    <n v="0"/>
    <x v="1"/>
  </r>
  <r>
    <x v="0"/>
    <s v="Egypt"/>
    <x v="12"/>
    <x v="62"/>
    <x v="62"/>
    <d v="2025-06-11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30:00"/>
    <d v="1899-12-30T09:45:00"/>
    <n v="0"/>
    <x v="1"/>
  </r>
  <r>
    <x v="0"/>
    <s v="Egypt"/>
    <x v="12"/>
    <x v="62"/>
    <x v="62"/>
    <m/>
    <m/>
    <s v="Break 30 Morning"/>
    <d v="1899-12-30T12:15:00"/>
    <d v="1899-12-30T12:45:00"/>
    <n v="0"/>
    <x v="1"/>
  </r>
  <r>
    <x v="0"/>
    <s v="Egypt"/>
    <x v="12"/>
    <x v="62"/>
    <x v="62"/>
    <d v="2025-06-12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30:00"/>
    <d v="1899-12-30T09:45:00"/>
    <n v="0"/>
    <x v="1"/>
  </r>
  <r>
    <x v="0"/>
    <s v="Egypt"/>
    <x v="12"/>
    <x v="62"/>
    <x v="62"/>
    <m/>
    <m/>
    <s v="Break 30 Morning"/>
    <d v="1899-12-30T12:15:00"/>
    <d v="1899-12-30T12:45:00"/>
    <n v="0"/>
    <x v="1"/>
  </r>
  <r>
    <x v="0"/>
    <s v="Egypt"/>
    <x v="12"/>
    <x v="62"/>
    <x v="62"/>
    <d v="2025-06-13T00:00:00"/>
    <m/>
    <s v="Day Off"/>
    <m/>
    <m/>
    <n v="0"/>
    <x v="1"/>
  </r>
  <r>
    <x v="0"/>
    <s v="Egypt"/>
    <x v="12"/>
    <x v="62"/>
    <x v="62"/>
    <d v="2025-06-14T00:00:00"/>
    <m/>
    <s v="Day Off"/>
    <m/>
    <m/>
    <n v="0"/>
    <x v="1"/>
  </r>
  <r>
    <x v="0"/>
    <s v="Egypt"/>
    <x v="12"/>
    <x v="62"/>
    <x v="62"/>
    <d v="2025-06-15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00:00"/>
    <d v="1899-12-30T11:15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16T00:00:00"/>
    <d v="1899-12-30T08:15:00"/>
    <s v="Annual Exception"/>
    <m/>
    <m/>
    <n v="29700"/>
    <x v="1"/>
  </r>
  <r>
    <x v="0"/>
    <s v="Egypt"/>
    <x v="12"/>
    <x v="62"/>
    <x v="62"/>
    <d v="2025-06-17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0:45:00"/>
    <d v="1899-12-30T11:00:00"/>
    <n v="0"/>
    <x v="1"/>
  </r>
  <r>
    <x v="0"/>
    <s v="Egypt"/>
    <x v="12"/>
    <x v="62"/>
    <x v="62"/>
    <m/>
    <m/>
    <s v="Break 30 Morning"/>
    <d v="1899-12-30T13:45:00"/>
    <d v="1899-12-30T14:15:00"/>
    <n v="0"/>
    <x v="1"/>
  </r>
  <r>
    <x v="0"/>
    <s v="Egypt"/>
    <x v="12"/>
    <x v="62"/>
    <x v="62"/>
    <d v="2025-06-18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2:15:00"/>
    <d v="1899-12-30T12:30:00"/>
    <n v="0"/>
    <x v="1"/>
  </r>
  <r>
    <x v="0"/>
    <s v="Egypt"/>
    <x v="12"/>
    <x v="62"/>
    <x v="62"/>
    <m/>
    <m/>
    <s v="Break 30 Morning"/>
    <d v="1899-12-30T15:15:00"/>
    <d v="1899-12-30T15:45:00"/>
    <n v="0"/>
    <x v="1"/>
  </r>
  <r>
    <x v="0"/>
    <s v="Egypt"/>
    <x v="12"/>
    <x v="62"/>
    <x v="62"/>
    <d v="2025-06-19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00:00"/>
    <d v="1899-12-30T11:15:00"/>
    <n v="0"/>
    <x v="1"/>
  </r>
  <r>
    <x v="0"/>
    <s v="Egypt"/>
    <x v="12"/>
    <x v="62"/>
    <x v="62"/>
    <m/>
    <m/>
    <s v="Break 30 Morning"/>
    <d v="1899-12-30T13:45:00"/>
    <d v="1899-12-30T14:15:00"/>
    <n v="0"/>
    <x v="1"/>
  </r>
  <r>
    <x v="0"/>
    <s v="Egypt"/>
    <x v="12"/>
    <x v="62"/>
    <x v="62"/>
    <d v="2025-06-20T00:00:00"/>
    <m/>
    <s v="Day Off"/>
    <m/>
    <m/>
    <n v="0"/>
    <x v="1"/>
  </r>
  <r>
    <x v="0"/>
    <s v="Egypt"/>
    <x v="12"/>
    <x v="62"/>
    <x v="62"/>
    <d v="2025-06-21T00:00:00"/>
    <m/>
    <s v="Day Off"/>
    <m/>
    <m/>
    <n v="0"/>
    <x v="1"/>
  </r>
  <r>
    <x v="0"/>
    <s v="Egypt"/>
    <x v="12"/>
    <x v="62"/>
    <x v="62"/>
    <d v="2025-06-22T00:00:00"/>
    <d v="1899-12-30T08:15:00"/>
    <s v="No show"/>
    <d v="1899-12-30T08:00:00"/>
    <d v="1899-12-30T16:15:00"/>
    <n v="29700"/>
    <x v="1"/>
  </r>
  <r>
    <x v="0"/>
    <s v="Egypt"/>
    <x v="12"/>
    <x v="62"/>
    <x v="62"/>
    <d v="2025-06-23T00:00:00"/>
    <d v="1899-12-30T08:15:00"/>
    <s v="Annual Exception"/>
    <m/>
    <m/>
    <n v="29700"/>
    <x v="1"/>
  </r>
  <r>
    <x v="0"/>
    <s v="Egypt"/>
    <x v="12"/>
    <x v="62"/>
    <x v="62"/>
    <d v="2025-06-24T00:00:00"/>
    <d v="1899-12-30T08:15:00"/>
    <s v="Uncertified Sick Leave"/>
    <m/>
    <m/>
    <n v="29700"/>
    <x v="1"/>
  </r>
  <r>
    <x v="0"/>
    <s v="Egypt"/>
    <x v="12"/>
    <x v="62"/>
    <x v="62"/>
    <d v="2025-06-25T00:00:00"/>
    <d v="1899-12-30T08:15:00"/>
    <s v="Annual Exception"/>
    <m/>
    <m/>
    <n v="29700"/>
    <x v="1"/>
  </r>
  <r>
    <x v="0"/>
    <s v="Egypt"/>
    <x v="12"/>
    <x v="62"/>
    <x v="62"/>
    <d v="2025-06-26T00:00:00"/>
    <d v="1899-12-30T08:15:00"/>
    <s v="Public holiday"/>
    <m/>
    <m/>
    <n v="29700"/>
    <x v="1"/>
  </r>
  <r>
    <x v="0"/>
    <s v="Egypt"/>
    <x v="12"/>
    <x v="62"/>
    <x v="62"/>
    <d v="2025-06-27T00:00:00"/>
    <m/>
    <s v="Day Off"/>
    <m/>
    <m/>
    <n v="0"/>
    <x v="1"/>
  </r>
  <r>
    <x v="0"/>
    <s v="Egypt"/>
    <x v="12"/>
    <x v="62"/>
    <x v="62"/>
    <d v="2025-06-28T00:00:00"/>
    <m/>
    <s v="Day Off"/>
    <m/>
    <m/>
    <n v="0"/>
    <x v="1"/>
  </r>
  <r>
    <x v="0"/>
    <s v="Egypt"/>
    <x v="12"/>
    <x v="62"/>
    <x v="62"/>
    <d v="2025-06-29T00:00:00"/>
    <d v="1899-12-30T08:15:00"/>
    <s v="Non Telecom"/>
    <d v="1899-12-30T09:00:00"/>
    <d v="1899-12-30T17:15:00"/>
    <n v="29700"/>
    <x v="0"/>
  </r>
  <r>
    <x v="0"/>
    <s v="Egypt"/>
    <x v="12"/>
    <x v="62"/>
    <x v="62"/>
    <m/>
    <m/>
    <s v="Break 15 Morning"/>
    <d v="1899-12-30T11:15:00"/>
    <d v="1899-12-30T11:30:00"/>
    <n v="0"/>
    <x v="1"/>
  </r>
  <r>
    <x v="0"/>
    <s v="Egypt"/>
    <x v="12"/>
    <x v="62"/>
    <x v="62"/>
    <m/>
    <m/>
    <s v="Break 30 Morning"/>
    <d v="1899-12-30T14:15:00"/>
    <d v="1899-12-30T14:45:00"/>
    <n v="0"/>
    <x v="1"/>
  </r>
  <r>
    <x v="0"/>
    <s v="Egypt"/>
    <x v="12"/>
    <x v="62"/>
    <x v="62"/>
    <d v="2025-06-30T00:00:00"/>
    <d v="1899-12-30T08:15:00"/>
    <s v="Non Telecom"/>
    <d v="1899-12-30T08:00:00"/>
    <d v="1899-12-30T16:15:00"/>
    <n v="29700"/>
    <x v="0"/>
  </r>
  <r>
    <x v="0"/>
    <s v="Egypt"/>
    <x v="12"/>
    <x v="62"/>
    <x v="62"/>
    <m/>
    <m/>
    <s v="Break 15 Morning"/>
    <d v="1899-12-30T09:15:00"/>
    <d v="1899-12-30T09:30:00"/>
    <n v="0"/>
    <x v="1"/>
  </r>
  <r>
    <x v="0"/>
    <s v="Egypt"/>
    <x v="12"/>
    <x v="62"/>
    <x v="62"/>
    <m/>
    <m/>
    <s v="Break 30 Morning"/>
    <d v="1899-12-30T12:15:00"/>
    <d v="1899-12-30T12:45:00"/>
    <n v="0"/>
    <x v="1"/>
  </r>
  <r>
    <x v="0"/>
    <s v="Egypt"/>
    <x v="12"/>
    <x v="63"/>
    <x v="63"/>
    <d v="2025-06-01T00:00:00"/>
    <m/>
    <s v="Day Off"/>
    <m/>
    <m/>
    <n v="0"/>
    <x v="1"/>
  </r>
  <r>
    <x v="0"/>
    <s v="Egypt"/>
    <x v="12"/>
    <x v="63"/>
    <x v="63"/>
    <d v="2025-06-02T00:00:00"/>
    <m/>
    <s v="Day Off"/>
    <m/>
    <m/>
    <n v="0"/>
    <x v="1"/>
  </r>
  <r>
    <x v="0"/>
    <s v="Egypt"/>
    <x v="12"/>
    <x v="63"/>
    <x v="63"/>
    <d v="2025-06-03T00:00:00"/>
    <d v="1899-12-30T08:15:00"/>
    <s v="Non Telecom"/>
    <d v="1899-12-30T11:00:00"/>
    <d v="1899-12-30T19:15:00"/>
    <n v="29700"/>
    <x v="0"/>
  </r>
  <r>
    <x v="0"/>
    <s v="Egypt"/>
    <x v="12"/>
    <x v="63"/>
    <x v="63"/>
    <m/>
    <m/>
    <s v="Break 15 Morning"/>
    <d v="1899-12-30T12:00:00"/>
    <d v="1899-12-30T12:15:00"/>
    <n v="0"/>
    <x v="1"/>
  </r>
  <r>
    <x v="0"/>
    <s v="Egypt"/>
    <x v="12"/>
    <x v="63"/>
    <x v="63"/>
    <m/>
    <m/>
    <s v="Break 30 Morning"/>
    <d v="1899-12-30T14:30:00"/>
    <d v="1899-12-30T15:00:00"/>
    <n v="0"/>
    <x v="1"/>
  </r>
  <r>
    <x v="0"/>
    <s v="Egypt"/>
    <x v="12"/>
    <x v="63"/>
    <x v="63"/>
    <d v="2025-06-04T00:00:00"/>
    <d v="1899-12-30T08:15:00"/>
    <s v="Non Telecom"/>
    <d v="1899-12-30T10:00:00"/>
    <d v="1899-12-30T18:15:00"/>
    <n v="29700"/>
    <x v="0"/>
  </r>
  <r>
    <x v="0"/>
    <s v="Egypt"/>
    <x v="12"/>
    <x v="63"/>
    <x v="63"/>
    <m/>
    <m/>
    <s v="Break 15 Morning"/>
    <d v="1899-12-30T12:30:00"/>
    <d v="1899-12-30T12:45:00"/>
    <n v="0"/>
    <x v="1"/>
  </r>
  <r>
    <x v="0"/>
    <s v="Egypt"/>
    <x v="12"/>
    <x v="63"/>
    <x v="63"/>
    <m/>
    <m/>
    <s v="Break 30 Morning"/>
    <d v="1899-12-30T15:15:00"/>
    <d v="1899-12-30T15:45:00"/>
    <n v="0"/>
    <x v="1"/>
  </r>
  <r>
    <x v="0"/>
    <s v="Egypt"/>
    <x v="12"/>
    <x v="63"/>
    <x v="63"/>
    <d v="2025-06-05T00:00:00"/>
    <d v="1899-12-30T08:15:00"/>
    <s v="Non Telecom"/>
    <d v="1899-12-30T10:00:00"/>
    <d v="1899-12-30T18:15:00"/>
    <n v="29700"/>
    <x v="0"/>
  </r>
  <r>
    <x v="0"/>
    <s v="Egypt"/>
    <x v="12"/>
    <x v="63"/>
    <x v="63"/>
    <m/>
    <m/>
    <s v="Break 15 Morning"/>
    <d v="1899-12-30T12:45:00"/>
    <d v="1899-12-30T13:00:00"/>
    <n v="0"/>
    <x v="1"/>
  </r>
  <r>
    <x v="0"/>
    <s v="Egypt"/>
    <x v="12"/>
    <x v="63"/>
    <x v="63"/>
    <m/>
    <m/>
    <s v="Break 30 Morning"/>
    <d v="1899-12-30T15:45:00"/>
    <d v="1899-12-30T16:15:00"/>
    <n v="0"/>
    <x v="1"/>
  </r>
  <r>
    <x v="0"/>
    <s v="Egypt"/>
    <x v="12"/>
    <x v="63"/>
    <x v="63"/>
    <d v="2025-06-06T00:00:00"/>
    <d v="1899-12-30T08:15:00"/>
    <s v="Public holiday"/>
    <m/>
    <m/>
    <n v="29700"/>
    <x v="1"/>
  </r>
  <r>
    <x v="0"/>
    <s v="Egypt"/>
    <x v="12"/>
    <x v="63"/>
    <x v="63"/>
    <d v="2025-06-07T00:00:00"/>
    <d v="1899-12-30T08:15:00"/>
    <s v="Non Telecom"/>
    <d v="1899-12-30T10:00:00"/>
    <d v="1899-12-30T18:15:00"/>
    <n v="29700"/>
    <x v="0"/>
  </r>
  <r>
    <x v="0"/>
    <s v="Egypt"/>
    <x v="12"/>
    <x v="63"/>
    <x v="63"/>
    <m/>
    <m/>
    <s v="Break 15 Morning"/>
    <d v="1899-12-30T12:00:00"/>
    <d v="1899-12-30T12:15:00"/>
    <n v="0"/>
    <x v="1"/>
  </r>
  <r>
    <x v="0"/>
    <s v="Egypt"/>
    <x v="12"/>
    <x v="63"/>
    <x v="63"/>
    <m/>
    <m/>
    <s v="Break 30 Morning"/>
    <d v="1899-12-30T16:00:00"/>
    <d v="1899-12-30T16:30:00"/>
    <n v="0"/>
    <x v="1"/>
  </r>
  <r>
    <x v="0"/>
    <s v="Egypt"/>
    <x v="12"/>
    <x v="63"/>
    <x v="63"/>
    <d v="2025-06-08T00:00:00"/>
    <m/>
    <s v="Day Off"/>
    <m/>
    <m/>
    <n v="0"/>
    <x v="1"/>
  </r>
  <r>
    <x v="0"/>
    <s v="Egypt"/>
    <x v="12"/>
    <x v="63"/>
    <x v="63"/>
    <d v="2025-06-09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15:00"/>
    <d v="1899-12-30T10:30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10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15:00"/>
    <d v="1899-12-30T10:30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11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15:00"/>
    <d v="1899-12-30T10:30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12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15:00"/>
    <d v="1899-12-30T10:30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13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00:00"/>
    <d v="1899-12-30T10:15:00"/>
    <n v="0"/>
    <x v="1"/>
  </r>
  <r>
    <x v="0"/>
    <s v="Egypt"/>
    <x v="12"/>
    <x v="63"/>
    <x v="63"/>
    <m/>
    <m/>
    <s v="Break 30 Morning"/>
    <d v="1899-12-30T13:00:00"/>
    <d v="1899-12-30T13:30:00"/>
    <n v="0"/>
    <x v="1"/>
  </r>
  <r>
    <x v="0"/>
    <s v="Egypt"/>
    <x v="12"/>
    <x v="63"/>
    <x v="63"/>
    <d v="2025-06-14T00:00:00"/>
    <m/>
    <s v="Day Off"/>
    <m/>
    <m/>
    <n v="0"/>
    <x v="1"/>
  </r>
  <r>
    <x v="0"/>
    <s v="Egypt"/>
    <x v="12"/>
    <x v="63"/>
    <x v="63"/>
    <d v="2025-06-15T00:00:00"/>
    <d v="1899-12-30T08:15:00"/>
    <s v="Non Telecom"/>
    <d v="1899-12-30T13:00:00"/>
    <d v="1899-12-30T21:15:00"/>
    <n v="29700"/>
    <x v="0"/>
  </r>
  <r>
    <x v="0"/>
    <s v="Egypt"/>
    <x v="12"/>
    <x v="63"/>
    <x v="63"/>
    <m/>
    <m/>
    <s v="Break 15 Morning"/>
    <d v="1899-12-30T16:15:00"/>
    <d v="1899-12-30T16:30:00"/>
    <n v="0"/>
    <x v="1"/>
  </r>
  <r>
    <x v="0"/>
    <s v="Egypt"/>
    <x v="12"/>
    <x v="63"/>
    <x v="63"/>
    <m/>
    <m/>
    <s v="Break 30 Morning"/>
    <d v="1899-12-30T19:15:00"/>
    <d v="1899-12-30T19:45:00"/>
    <n v="0"/>
    <x v="1"/>
  </r>
  <r>
    <x v="0"/>
    <s v="Egypt"/>
    <x v="12"/>
    <x v="63"/>
    <x v="63"/>
    <d v="2025-06-16T00:00:00"/>
    <d v="1899-12-30T08:15:00"/>
    <s v="Non Telecom"/>
    <d v="1899-12-30T09:00:00"/>
    <d v="1899-12-30T17:15:00"/>
    <n v="29700"/>
    <x v="0"/>
  </r>
  <r>
    <x v="0"/>
    <s v="Egypt"/>
    <x v="12"/>
    <x v="63"/>
    <x v="63"/>
    <m/>
    <m/>
    <s v="Break 15 Morning"/>
    <d v="1899-12-30T12:30:00"/>
    <d v="1899-12-30T12:45:00"/>
    <n v="0"/>
    <x v="1"/>
  </r>
  <r>
    <x v="0"/>
    <s v="Egypt"/>
    <x v="12"/>
    <x v="63"/>
    <x v="63"/>
    <m/>
    <m/>
    <s v="Break 30 Morning"/>
    <d v="1899-12-30T15:15:00"/>
    <d v="1899-12-30T15:45:00"/>
    <n v="0"/>
    <x v="1"/>
  </r>
  <r>
    <x v="0"/>
    <s v="Egypt"/>
    <x v="12"/>
    <x v="63"/>
    <x v="63"/>
    <d v="2025-06-17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30:00"/>
    <d v="1899-12-30T10:45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18T00:00:00"/>
    <m/>
    <s v="Day Off"/>
    <m/>
    <m/>
    <n v="0"/>
    <x v="1"/>
  </r>
  <r>
    <x v="0"/>
    <s v="Egypt"/>
    <x v="12"/>
    <x v="63"/>
    <x v="63"/>
    <d v="2025-06-19T00:00:00"/>
    <m/>
    <s v="Day Off"/>
    <m/>
    <m/>
    <n v="0"/>
    <x v="1"/>
  </r>
  <r>
    <x v="0"/>
    <s v="Egypt"/>
    <x v="12"/>
    <x v="63"/>
    <x v="63"/>
    <d v="2025-06-20T00:00:00"/>
    <d v="1899-12-30T08:15:00"/>
    <s v="Sick"/>
    <m/>
    <m/>
    <n v="29700"/>
    <x v="1"/>
  </r>
  <r>
    <x v="0"/>
    <s v="Egypt"/>
    <x v="12"/>
    <x v="63"/>
    <x v="63"/>
    <d v="2025-06-21T00:00:00"/>
    <d v="1899-12-30T08:15:00"/>
    <s v="No show"/>
    <d v="1899-12-30T08:00:00"/>
    <d v="1899-12-30T16:15:00"/>
    <n v="29700"/>
    <x v="1"/>
  </r>
  <r>
    <x v="0"/>
    <s v="Egypt"/>
    <x v="12"/>
    <x v="63"/>
    <x v="63"/>
    <d v="2025-06-22T00:00:00"/>
    <d v="1899-12-30T08:15:00"/>
    <s v="Annual Exception"/>
    <m/>
    <m/>
    <n v="29700"/>
    <x v="1"/>
  </r>
  <r>
    <x v="0"/>
    <s v="Egypt"/>
    <x v="12"/>
    <x v="63"/>
    <x v="63"/>
    <d v="2025-06-23T00:00:00"/>
    <m/>
    <s v="Day Off"/>
    <m/>
    <m/>
    <n v="0"/>
    <x v="1"/>
  </r>
  <r>
    <x v="0"/>
    <s v="Egypt"/>
    <x v="12"/>
    <x v="63"/>
    <x v="63"/>
    <d v="2025-06-24T00:00:00"/>
    <m/>
    <s v="Day Off"/>
    <m/>
    <m/>
    <n v="0"/>
    <x v="1"/>
  </r>
  <r>
    <x v="0"/>
    <s v="Egypt"/>
    <x v="12"/>
    <x v="63"/>
    <x v="63"/>
    <d v="2025-06-25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30:00"/>
    <d v="1899-12-30T10:45:00"/>
    <n v="0"/>
    <x v="1"/>
  </r>
  <r>
    <x v="0"/>
    <s v="Egypt"/>
    <x v="12"/>
    <x v="63"/>
    <x v="63"/>
    <m/>
    <m/>
    <s v="Break 30 Morning"/>
    <d v="1899-12-30T13:15:00"/>
    <d v="1899-12-30T13:45:00"/>
    <n v="0"/>
    <x v="1"/>
  </r>
  <r>
    <x v="0"/>
    <s v="Egypt"/>
    <x v="12"/>
    <x v="63"/>
    <x v="63"/>
    <d v="2025-06-26T00:00:00"/>
    <d v="1899-12-30T08:15:00"/>
    <s v="No show"/>
    <d v="1899-12-30T08:00:00"/>
    <d v="1899-12-30T16:15:00"/>
    <n v="29700"/>
    <x v="1"/>
  </r>
  <r>
    <x v="0"/>
    <s v="Egypt"/>
    <x v="12"/>
    <x v="63"/>
    <x v="63"/>
    <d v="2025-06-27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45:00"/>
    <d v="1899-12-30T11:00:00"/>
    <n v="0"/>
    <x v="1"/>
  </r>
  <r>
    <x v="0"/>
    <s v="Egypt"/>
    <x v="12"/>
    <x v="63"/>
    <x v="63"/>
    <m/>
    <m/>
    <s v="Break 30 Morning"/>
    <d v="1899-12-30T13:45:00"/>
    <d v="1899-12-30T14:15:00"/>
    <n v="0"/>
    <x v="1"/>
  </r>
  <r>
    <x v="0"/>
    <s v="Egypt"/>
    <x v="12"/>
    <x v="63"/>
    <x v="63"/>
    <d v="2025-06-28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10:45:00"/>
    <d v="1899-12-30T11:00:00"/>
    <n v="0"/>
    <x v="1"/>
  </r>
  <r>
    <x v="0"/>
    <s v="Egypt"/>
    <x v="12"/>
    <x v="63"/>
    <x v="63"/>
    <m/>
    <m/>
    <s v="Break 30 Morning"/>
    <d v="1899-12-30T13:45:00"/>
    <d v="1899-12-30T14:15:00"/>
    <n v="0"/>
    <x v="1"/>
  </r>
  <r>
    <x v="0"/>
    <s v="Egypt"/>
    <x v="12"/>
    <x v="63"/>
    <x v="63"/>
    <d v="2025-06-29T00:00:00"/>
    <d v="1899-12-30T08:15:00"/>
    <s v="Non Telecom"/>
    <d v="1899-12-30T08:00:00"/>
    <d v="1899-12-30T16:15:00"/>
    <n v="29700"/>
    <x v="0"/>
  </r>
  <r>
    <x v="0"/>
    <s v="Egypt"/>
    <x v="12"/>
    <x v="63"/>
    <x v="63"/>
    <m/>
    <m/>
    <s v="Break 15 Morning"/>
    <d v="1899-12-30T09:15:00"/>
    <d v="1899-12-30T09:30:00"/>
    <n v="0"/>
    <x v="1"/>
  </r>
  <r>
    <x v="0"/>
    <s v="Egypt"/>
    <x v="12"/>
    <x v="63"/>
    <x v="63"/>
    <m/>
    <m/>
    <s v="Break 30 Morning"/>
    <d v="1899-12-30T12:15:00"/>
    <d v="1899-12-30T12:45:00"/>
    <n v="0"/>
    <x v="1"/>
  </r>
  <r>
    <x v="0"/>
    <s v="Egypt"/>
    <x v="12"/>
    <x v="63"/>
    <x v="63"/>
    <d v="2025-06-30T00:00:00"/>
    <m/>
    <s v="Day Off"/>
    <m/>
    <m/>
    <n v="0"/>
    <x v="1"/>
  </r>
  <r>
    <x v="0"/>
    <s v="Egypt"/>
    <x v="13"/>
    <x v="64"/>
    <x v="64"/>
    <d v="2025-06-01T00:00:00"/>
    <d v="1899-12-30T08:15:00"/>
    <s v="Annual Exception"/>
    <m/>
    <m/>
    <n v="29700"/>
    <x v="1"/>
  </r>
  <r>
    <x v="0"/>
    <s v="Egypt"/>
    <x v="13"/>
    <x v="64"/>
    <x v="64"/>
    <d v="2025-06-02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03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04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05T00:00:00"/>
    <m/>
    <s v="Day Off"/>
    <m/>
    <m/>
    <n v="0"/>
    <x v="1"/>
  </r>
  <r>
    <x v="0"/>
    <s v="Egypt"/>
    <x v="13"/>
    <x v="64"/>
    <x v="64"/>
    <d v="2025-06-06T00:00:00"/>
    <m/>
    <s v="Day Off"/>
    <m/>
    <m/>
    <n v="0"/>
    <x v="1"/>
  </r>
  <r>
    <x v="0"/>
    <s v="Egypt"/>
    <x v="13"/>
    <x v="64"/>
    <x v="64"/>
    <d v="2025-06-07T00:00:00"/>
    <d v="1899-12-30T08:15:00"/>
    <s v="Non Telecom"/>
    <d v="1899-12-30T09:00:00"/>
    <d v="1899-12-30T17:15:00"/>
    <n v="29700"/>
    <x v="0"/>
  </r>
  <r>
    <x v="0"/>
    <s v="Egypt"/>
    <x v="13"/>
    <x v="64"/>
    <x v="64"/>
    <m/>
    <m/>
    <s v="Break 15 Morning"/>
    <d v="1899-12-30T10:00:00"/>
    <d v="1899-12-30T10:15:00"/>
    <n v="0"/>
    <x v="1"/>
  </r>
  <r>
    <x v="0"/>
    <s v="Egypt"/>
    <x v="13"/>
    <x v="64"/>
    <x v="64"/>
    <m/>
    <m/>
    <s v="Break 30 Morning"/>
    <d v="1899-12-30T12:30:00"/>
    <d v="1899-12-30T13:00:00"/>
    <n v="0"/>
    <x v="1"/>
  </r>
  <r>
    <x v="0"/>
    <s v="Egypt"/>
    <x v="13"/>
    <x v="64"/>
    <x v="64"/>
    <m/>
    <m/>
    <s v="Leave Early"/>
    <d v="1899-12-30T16:15:00"/>
    <d v="1899-12-30T17:15:00"/>
    <n v="0"/>
    <x v="1"/>
  </r>
  <r>
    <x v="0"/>
    <s v="Egypt"/>
    <x v="13"/>
    <x v="64"/>
    <x v="64"/>
    <d v="2025-06-08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09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10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15:00"/>
    <d v="1899-12-30T09:30:00"/>
    <n v="0"/>
    <x v="1"/>
  </r>
  <r>
    <x v="0"/>
    <s v="Egypt"/>
    <x v="13"/>
    <x v="64"/>
    <x v="64"/>
    <m/>
    <m/>
    <s v="Break 30 Morning"/>
    <d v="1899-12-30T12:15:00"/>
    <d v="1899-12-30T12:45:00"/>
    <n v="0"/>
    <x v="1"/>
  </r>
  <r>
    <x v="0"/>
    <s v="Egypt"/>
    <x v="13"/>
    <x v="64"/>
    <x v="64"/>
    <d v="2025-06-11T00:00:00"/>
    <m/>
    <s v="Day Off"/>
    <m/>
    <m/>
    <n v="0"/>
    <x v="1"/>
  </r>
  <r>
    <x v="0"/>
    <s v="Egypt"/>
    <x v="13"/>
    <x v="64"/>
    <x v="64"/>
    <d v="2025-06-12T00:00:00"/>
    <m/>
    <s v="Day Off"/>
    <m/>
    <m/>
    <n v="0"/>
    <x v="1"/>
  </r>
  <r>
    <x v="0"/>
    <s v="Egypt"/>
    <x v="13"/>
    <x v="64"/>
    <x v="64"/>
    <d v="2025-06-13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15:00"/>
    <d v="1899-12-30T09:30:00"/>
    <n v="0"/>
    <x v="1"/>
  </r>
  <r>
    <x v="0"/>
    <s v="Egypt"/>
    <x v="13"/>
    <x v="64"/>
    <x v="64"/>
    <m/>
    <m/>
    <s v="Break 30 Morning"/>
    <d v="1899-12-30T12:30:00"/>
    <d v="1899-12-30T13:00:00"/>
    <n v="0"/>
    <x v="1"/>
  </r>
  <r>
    <x v="0"/>
    <s v="Egypt"/>
    <x v="13"/>
    <x v="64"/>
    <x v="64"/>
    <d v="2025-06-14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15:00"/>
    <d v="1899-12-30T09:30:00"/>
    <n v="0"/>
    <x v="1"/>
  </r>
  <r>
    <x v="0"/>
    <s v="Egypt"/>
    <x v="13"/>
    <x v="64"/>
    <x v="64"/>
    <m/>
    <m/>
    <s v="Break 30 Morning"/>
    <d v="1899-12-30T12:15:00"/>
    <d v="1899-12-30T12:45:00"/>
    <n v="0"/>
    <x v="1"/>
  </r>
  <r>
    <x v="0"/>
    <s v="Egypt"/>
    <x v="13"/>
    <x v="64"/>
    <x v="64"/>
    <d v="2025-06-15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Global Outage"/>
    <d v="1899-12-30T11:25:00"/>
    <d v="1899-12-30T13:40:00"/>
    <n v="0"/>
    <x v="1"/>
  </r>
  <r>
    <x v="0"/>
    <s v="Egypt"/>
    <x v="13"/>
    <x v="64"/>
    <x v="64"/>
    <m/>
    <m/>
    <s v="Break 30 Morning"/>
    <d v="1899-12-30T14:00:00"/>
    <d v="1899-12-30T14:30:00"/>
    <n v="0"/>
    <x v="1"/>
  </r>
  <r>
    <x v="0"/>
    <s v="Egypt"/>
    <x v="13"/>
    <x v="64"/>
    <x v="64"/>
    <d v="2025-06-16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15:00"/>
    <d v="1899-12-30T12:45:00"/>
    <n v="0"/>
    <x v="1"/>
  </r>
  <r>
    <x v="0"/>
    <s v="Egypt"/>
    <x v="13"/>
    <x v="64"/>
    <x v="64"/>
    <d v="2025-06-17T00:00:00"/>
    <m/>
    <s v="Day Off"/>
    <m/>
    <m/>
    <n v="0"/>
    <x v="1"/>
  </r>
  <r>
    <x v="0"/>
    <s v="Egypt"/>
    <x v="13"/>
    <x v="64"/>
    <x v="64"/>
    <d v="2025-06-18T00:00:00"/>
    <m/>
    <s v="Day Off"/>
    <m/>
    <m/>
    <n v="0"/>
    <x v="1"/>
  </r>
  <r>
    <x v="0"/>
    <s v="Egypt"/>
    <x v="13"/>
    <x v="64"/>
    <x v="64"/>
    <d v="2025-06-19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15:00"/>
    <d v="1899-12-30T09:30:00"/>
    <n v="0"/>
    <x v="1"/>
  </r>
  <r>
    <x v="0"/>
    <s v="Egypt"/>
    <x v="13"/>
    <x v="64"/>
    <x v="64"/>
    <m/>
    <m/>
    <s v="Break 30 Morning"/>
    <d v="1899-12-30T12:15:00"/>
    <d v="1899-12-30T12:45:00"/>
    <n v="0"/>
    <x v="1"/>
  </r>
  <r>
    <x v="0"/>
    <s v="Egypt"/>
    <x v="13"/>
    <x v="64"/>
    <x v="64"/>
    <d v="2025-06-20T00:00:00"/>
    <d v="1899-12-30T08:15:00"/>
    <s v="Annual Exception"/>
    <m/>
    <m/>
    <n v="29700"/>
    <x v="1"/>
  </r>
  <r>
    <x v="0"/>
    <s v="Egypt"/>
    <x v="13"/>
    <x v="64"/>
    <x v="64"/>
    <d v="2025-06-21T00:00:00"/>
    <d v="1899-12-30T08:15:00"/>
    <s v="Annual Exception"/>
    <m/>
    <m/>
    <n v="29700"/>
    <x v="1"/>
  </r>
  <r>
    <x v="0"/>
    <s v="Egypt"/>
    <x v="13"/>
    <x v="64"/>
    <x v="64"/>
    <d v="2025-06-22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00:00"/>
    <d v="1899-12-30T09:15:00"/>
    <n v="0"/>
    <x v="1"/>
  </r>
  <r>
    <x v="0"/>
    <s v="Egypt"/>
    <x v="13"/>
    <x v="64"/>
    <x v="64"/>
    <m/>
    <m/>
    <s v="Break 30 Morning"/>
    <d v="1899-12-30T11:30:00"/>
    <d v="1899-12-30T12:00:00"/>
    <n v="0"/>
    <x v="1"/>
  </r>
  <r>
    <x v="0"/>
    <s v="Egypt"/>
    <x v="13"/>
    <x v="64"/>
    <x v="64"/>
    <d v="2025-06-23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24T00:00:00"/>
    <m/>
    <s v="Day Off"/>
    <m/>
    <m/>
    <n v="0"/>
    <x v="1"/>
  </r>
  <r>
    <x v="0"/>
    <s v="Egypt"/>
    <x v="13"/>
    <x v="64"/>
    <x v="64"/>
    <d v="2025-06-25T00:00:00"/>
    <m/>
    <s v="Day Off"/>
    <m/>
    <m/>
    <n v="0"/>
    <x v="1"/>
  </r>
  <r>
    <x v="0"/>
    <s v="Egypt"/>
    <x v="13"/>
    <x v="64"/>
    <x v="64"/>
    <d v="2025-06-26T00:00:00"/>
    <d v="1899-12-30T08:15:00"/>
    <s v="Public holiday"/>
    <m/>
    <m/>
    <n v="29700"/>
    <x v="1"/>
  </r>
  <r>
    <x v="0"/>
    <s v="Egypt"/>
    <x v="13"/>
    <x v="64"/>
    <x v="64"/>
    <d v="2025-06-27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28T00:00:00"/>
    <d v="1899-12-30T08:15:00"/>
    <s v="Non Telecom"/>
    <d v="1899-12-30T08:00:00"/>
    <d v="1899-12-30T16:15:00"/>
    <n v="29700"/>
    <x v="0"/>
  </r>
  <r>
    <x v="0"/>
    <s v="Egypt"/>
    <x v="13"/>
    <x v="64"/>
    <x v="64"/>
    <m/>
    <m/>
    <s v="Break 15 Morning"/>
    <d v="1899-12-30T09:30:00"/>
    <d v="1899-12-30T09:45:00"/>
    <n v="0"/>
    <x v="1"/>
  </r>
  <r>
    <x v="0"/>
    <s v="Egypt"/>
    <x v="13"/>
    <x v="64"/>
    <x v="64"/>
    <m/>
    <m/>
    <s v="Break 30 Morning"/>
    <d v="1899-12-30T12:45:00"/>
    <d v="1899-12-30T13:15:00"/>
    <n v="0"/>
    <x v="1"/>
  </r>
  <r>
    <x v="0"/>
    <s v="Egypt"/>
    <x v="13"/>
    <x v="64"/>
    <x v="64"/>
    <d v="2025-06-29T00:00:00"/>
    <d v="1899-12-30T08:15:00"/>
    <s v="Annual Exception"/>
    <m/>
    <m/>
    <n v="29700"/>
    <x v="1"/>
  </r>
  <r>
    <x v="0"/>
    <s v="Egypt"/>
    <x v="13"/>
    <x v="64"/>
    <x v="64"/>
    <d v="2025-06-30T00:00:00"/>
    <m/>
    <s v="Day Off"/>
    <m/>
    <m/>
    <n v="0"/>
    <x v="1"/>
  </r>
  <r>
    <x v="0"/>
    <s v="Egypt"/>
    <x v="13"/>
    <x v="65"/>
    <x v="65"/>
    <d v="2025-06-01T00:00:00"/>
    <d v="1899-12-30T07:15:00"/>
    <s v="Planned Task"/>
    <m/>
    <m/>
    <n v="26100"/>
    <x v="1"/>
  </r>
  <r>
    <x v="0"/>
    <s v="Egypt"/>
    <x v="13"/>
    <x v="65"/>
    <x v="65"/>
    <d v="2025-06-02T00:00:00"/>
    <d v="1899-12-30T07:15:00"/>
    <s v="Planned Task"/>
    <m/>
    <m/>
    <n v="26100"/>
    <x v="1"/>
  </r>
  <r>
    <x v="0"/>
    <s v="Egypt"/>
    <x v="13"/>
    <x v="65"/>
    <x v="65"/>
    <d v="2025-06-03T00:00:00"/>
    <d v="1899-12-30T07:15:00"/>
    <s v="Planned Task"/>
    <m/>
    <m/>
    <n v="26100"/>
    <x v="1"/>
  </r>
  <r>
    <x v="0"/>
    <s v="Egypt"/>
    <x v="13"/>
    <x v="65"/>
    <x v="65"/>
    <d v="2025-06-04T00:00:00"/>
    <d v="1899-12-30T07:15:00"/>
    <s v="Planned Task"/>
    <m/>
    <m/>
    <n v="26100"/>
    <x v="1"/>
  </r>
  <r>
    <x v="0"/>
    <s v="Egypt"/>
    <x v="13"/>
    <x v="65"/>
    <x v="65"/>
    <d v="2025-06-05T00:00:00"/>
    <d v="1899-12-30T07:15:00"/>
    <s v="Planned Task"/>
    <m/>
    <m/>
    <n v="26100"/>
    <x v="1"/>
  </r>
  <r>
    <x v="0"/>
    <s v="Egypt"/>
    <x v="13"/>
    <x v="65"/>
    <x v="65"/>
    <d v="2025-06-06T00:00:00"/>
    <d v="1899-12-30T07:15:00"/>
    <s v="Planned Task"/>
    <m/>
    <m/>
    <n v="26100"/>
    <x v="1"/>
  </r>
  <r>
    <x v="0"/>
    <s v="Egypt"/>
    <x v="13"/>
    <x v="65"/>
    <x v="65"/>
    <d v="2025-06-07T00:00:00"/>
    <d v="1899-12-30T07:15:00"/>
    <s v="Planned Task"/>
    <m/>
    <m/>
    <n v="26100"/>
    <x v="1"/>
  </r>
  <r>
    <x v="0"/>
    <s v="Egypt"/>
    <x v="13"/>
    <x v="65"/>
    <x v="65"/>
    <d v="2025-06-08T00:00:00"/>
    <d v="1899-12-30T07:15:00"/>
    <s v="Planned Task"/>
    <m/>
    <m/>
    <n v="26100"/>
    <x v="1"/>
  </r>
  <r>
    <x v="0"/>
    <s v="Egypt"/>
    <x v="13"/>
    <x v="65"/>
    <x v="65"/>
    <d v="2025-06-09T00:00:00"/>
    <d v="1899-12-30T07:15:00"/>
    <s v="Planned Task"/>
    <m/>
    <m/>
    <n v="26100"/>
    <x v="1"/>
  </r>
  <r>
    <x v="0"/>
    <s v="Egypt"/>
    <x v="13"/>
    <x v="65"/>
    <x v="65"/>
    <d v="2025-06-10T00:00:00"/>
    <d v="1899-12-30T07:15:00"/>
    <s v="Planned Task"/>
    <m/>
    <m/>
    <n v="26100"/>
    <x v="1"/>
  </r>
  <r>
    <x v="0"/>
    <s v="Egypt"/>
    <x v="13"/>
    <x v="65"/>
    <x v="65"/>
    <d v="2025-06-11T00:00:00"/>
    <d v="1899-12-30T07:15:00"/>
    <s v="Planned Task"/>
    <m/>
    <m/>
    <n v="26100"/>
    <x v="1"/>
  </r>
  <r>
    <x v="0"/>
    <s v="Egypt"/>
    <x v="13"/>
    <x v="65"/>
    <x v="65"/>
    <d v="2025-06-12T00:00:00"/>
    <d v="1899-12-30T07:15:00"/>
    <s v="Planned Task"/>
    <m/>
    <m/>
    <n v="26100"/>
    <x v="1"/>
  </r>
  <r>
    <x v="0"/>
    <s v="Egypt"/>
    <x v="13"/>
    <x v="65"/>
    <x v="65"/>
    <d v="2025-06-13T00:00:00"/>
    <d v="1899-12-30T07:15:00"/>
    <s v="Planned Task"/>
    <m/>
    <m/>
    <n v="26100"/>
    <x v="1"/>
  </r>
  <r>
    <x v="0"/>
    <s v="Egypt"/>
    <x v="13"/>
    <x v="65"/>
    <x v="65"/>
    <d v="2025-06-14T00:00:00"/>
    <d v="1899-12-30T07:15:00"/>
    <s v="Planned Task"/>
    <m/>
    <m/>
    <n v="26100"/>
    <x v="1"/>
  </r>
  <r>
    <x v="0"/>
    <s v="Egypt"/>
    <x v="13"/>
    <x v="65"/>
    <x v="65"/>
    <d v="2025-06-15T00:00:00"/>
    <d v="1899-12-30T07:15:00"/>
    <s v="Planned Task"/>
    <m/>
    <m/>
    <n v="26100"/>
    <x v="1"/>
  </r>
  <r>
    <x v="0"/>
    <s v="Egypt"/>
    <x v="13"/>
    <x v="65"/>
    <x v="65"/>
    <d v="2025-06-16T00:00:00"/>
    <d v="1899-12-30T07:15:00"/>
    <s v="Planned Task"/>
    <m/>
    <m/>
    <n v="26100"/>
    <x v="1"/>
  </r>
  <r>
    <x v="0"/>
    <s v="Egypt"/>
    <x v="13"/>
    <x v="65"/>
    <x v="65"/>
    <d v="2025-06-17T00:00:00"/>
    <d v="1899-12-30T07:15:00"/>
    <s v="Planned Task"/>
    <m/>
    <m/>
    <n v="26100"/>
    <x v="1"/>
  </r>
  <r>
    <x v="0"/>
    <s v="Egypt"/>
    <x v="13"/>
    <x v="65"/>
    <x v="65"/>
    <d v="2025-06-18T00:00:00"/>
    <d v="1899-12-30T07:15:00"/>
    <s v="Planned Task"/>
    <m/>
    <m/>
    <n v="26100"/>
    <x v="1"/>
  </r>
  <r>
    <x v="0"/>
    <s v="Egypt"/>
    <x v="13"/>
    <x v="65"/>
    <x v="65"/>
    <d v="2025-06-19T00:00:00"/>
    <d v="1899-12-30T07:15:00"/>
    <s v="Planned Task"/>
    <m/>
    <m/>
    <n v="26100"/>
    <x v="1"/>
  </r>
  <r>
    <x v="0"/>
    <s v="Egypt"/>
    <x v="13"/>
    <x v="65"/>
    <x v="65"/>
    <d v="2025-06-20T00:00:00"/>
    <d v="1899-12-30T07:15:00"/>
    <s v="Planned Task"/>
    <m/>
    <m/>
    <n v="26100"/>
    <x v="1"/>
  </r>
  <r>
    <x v="0"/>
    <s v="Egypt"/>
    <x v="13"/>
    <x v="65"/>
    <x v="65"/>
    <d v="2025-06-21T00:00:00"/>
    <d v="1899-12-30T07:15:00"/>
    <s v="Planned Task"/>
    <m/>
    <m/>
    <n v="26100"/>
    <x v="1"/>
  </r>
  <r>
    <x v="0"/>
    <s v="Egypt"/>
    <x v="13"/>
    <x v="65"/>
    <x v="65"/>
    <d v="2025-06-22T00:00:00"/>
    <d v="1899-12-30T07:15:00"/>
    <s v="Planned Task"/>
    <m/>
    <m/>
    <n v="26100"/>
    <x v="1"/>
  </r>
  <r>
    <x v="0"/>
    <s v="Egypt"/>
    <x v="13"/>
    <x v="65"/>
    <x v="65"/>
    <d v="2025-06-23T00:00:00"/>
    <d v="1899-12-30T07:15:00"/>
    <s v="Planned Task"/>
    <m/>
    <m/>
    <n v="26100"/>
    <x v="1"/>
  </r>
  <r>
    <x v="0"/>
    <s v="Egypt"/>
    <x v="13"/>
    <x v="65"/>
    <x v="65"/>
    <d v="2025-06-24T00:00:00"/>
    <d v="1899-12-30T07:15:00"/>
    <s v="Planned Task"/>
    <m/>
    <m/>
    <n v="26100"/>
    <x v="1"/>
  </r>
  <r>
    <x v="0"/>
    <s v="Egypt"/>
    <x v="13"/>
    <x v="65"/>
    <x v="65"/>
    <d v="2025-06-25T00:00:00"/>
    <d v="1899-12-30T07:15:00"/>
    <s v="Planned Task"/>
    <m/>
    <m/>
    <n v="26100"/>
    <x v="1"/>
  </r>
  <r>
    <x v="0"/>
    <s v="Egypt"/>
    <x v="13"/>
    <x v="65"/>
    <x v="65"/>
    <d v="2025-06-26T00:00:00"/>
    <d v="1899-12-30T07:15:00"/>
    <s v="Planned Task"/>
    <m/>
    <m/>
    <n v="26100"/>
    <x v="1"/>
  </r>
  <r>
    <x v="0"/>
    <s v="Egypt"/>
    <x v="13"/>
    <x v="65"/>
    <x v="65"/>
    <d v="2025-06-27T00:00:00"/>
    <d v="1899-12-30T07:15:00"/>
    <s v="Planned Task"/>
    <m/>
    <m/>
    <n v="26100"/>
    <x v="1"/>
  </r>
  <r>
    <x v="0"/>
    <s v="Egypt"/>
    <x v="13"/>
    <x v="65"/>
    <x v="65"/>
    <d v="2025-06-28T00:00:00"/>
    <d v="1899-12-30T07:15:00"/>
    <s v="Planned Task"/>
    <m/>
    <m/>
    <n v="26100"/>
    <x v="1"/>
  </r>
  <r>
    <x v="0"/>
    <s v="Egypt"/>
    <x v="13"/>
    <x v="65"/>
    <x v="65"/>
    <d v="2025-06-29T00:00:00"/>
    <d v="1899-12-30T07:15:00"/>
    <s v="Planned Task"/>
    <m/>
    <m/>
    <n v="26100"/>
    <x v="1"/>
  </r>
  <r>
    <x v="0"/>
    <s v="Egypt"/>
    <x v="13"/>
    <x v="65"/>
    <x v="65"/>
    <d v="2025-06-30T00:00:00"/>
    <d v="1899-12-30T07:15:00"/>
    <s v="Planned Task"/>
    <m/>
    <m/>
    <n v="26100"/>
    <x v="1"/>
  </r>
  <r>
    <x v="0"/>
    <s v="Egypt"/>
    <x v="13"/>
    <x v="66"/>
    <x v="66"/>
    <d v="2025-06-01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02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00:00"/>
    <d v="1899-12-30T10:15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03T00:00:00"/>
    <d v="1899-12-30T08:15:00"/>
    <s v="Annual Exception"/>
    <m/>
    <m/>
    <n v="29700"/>
    <x v="1"/>
  </r>
  <r>
    <x v="0"/>
    <s v="Egypt"/>
    <x v="13"/>
    <x v="66"/>
    <x v="66"/>
    <d v="2025-06-04T00:00:00"/>
    <m/>
    <s v="Day Off"/>
    <m/>
    <m/>
    <n v="0"/>
    <x v="1"/>
  </r>
  <r>
    <x v="0"/>
    <s v="Egypt"/>
    <x v="13"/>
    <x v="66"/>
    <x v="66"/>
    <d v="2025-06-05T00:00:00"/>
    <m/>
    <s v="Day Off"/>
    <m/>
    <m/>
    <n v="0"/>
    <x v="1"/>
  </r>
  <r>
    <x v="0"/>
    <s v="Egypt"/>
    <x v="13"/>
    <x v="66"/>
    <x v="66"/>
    <d v="2025-06-06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30:00"/>
    <d v="1899-12-30T10:45:00"/>
    <n v="0"/>
    <x v="1"/>
  </r>
  <r>
    <x v="0"/>
    <s v="Egypt"/>
    <x v="13"/>
    <x v="66"/>
    <x v="66"/>
    <m/>
    <m/>
    <s v="Break 30 Morning"/>
    <d v="1899-12-30T13:45:00"/>
    <d v="1899-12-30T14:15:00"/>
    <n v="0"/>
    <x v="1"/>
  </r>
  <r>
    <x v="0"/>
    <s v="Egypt"/>
    <x v="13"/>
    <x v="66"/>
    <x v="66"/>
    <d v="2025-06-07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00:00"/>
    <d v="1899-12-30T10:15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08T00:00:00"/>
    <d v="1899-12-30T08:15:00"/>
    <s v="Annual Exception"/>
    <m/>
    <m/>
    <n v="29700"/>
    <x v="1"/>
  </r>
  <r>
    <x v="0"/>
    <s v="Egypt"/>
    <x v="13"/>
    <x v="66"/>
    <x v="66"/>
    <d v="2025-06-09T00:00:00"/>
    <d v="1899-12-30T08:15:00"/>
    <s v="Public holiday"/>
    <m/>
    <m/>
    <n v="29700"/>
    <x v="1"/>
  </r>
  <r>
    <x v="0"/>
    <s v="Egypt"/>
    <x v="13"/>
    <x v="66"/>
    <x v="66"/>
    <d v="2025-06-10T00:00:00"/>
    <m/>
    <s v="Day Off"/>
    <m/>
    <m/>
    <n v="0"/>
    <x v="1"/>
  </r>
  <r>
    <x v="0"/>
    <s v="Egypt"/>
    <x v="13"/>
    <x v="66"/>
    <x v="66"/>
    <d v="2025-06-11T00:00:00"/>
    <m/>
    <s v="Day Off"/>
    <m/>
    <m/>
    <n v="0"/>
    <x v="1"/>
  </r>
  <r>
    <x v="0"/>
    <s v="Egypt"/>
    <x v="13"/>
    <x v="66"/>
    <x v="66"/>
    <d v="2025-06-12T00:00:00"/>
    <d v="1899-12-30T08:15:00"/>
    <s v="Non Telecom"/>
    <d v="1899-12-30T09:00:00"/>
    <d v="1899-12-30T17:15:00"/>
    <n v="29700"/>
    <x v="0"/>
  </r>
  <r>
    <x v="0"/>
    <s v="Egypt"/>
    <x v="13"/>
    <x v="66"/>
    <x v="66"/>
    <m/>
    <m/>
    <s v="Break 15 Morning"/>
    <d v="1899-12-30T11:15:00"/>
    <d v="1899-12-30T11:30:00"/>
    <n v="0"/>
    <x v="1"/>
  </r>
  <r>
    <x v="0"/>
    <s v="Egypt"/>
    <x v="13"/>
    <x v="66"/>
    <x v="66"/>
    <m/>
    <m/>
    <s v="Break 30 Morning"/>
    <d v="1899-12-30T15:15:00"/>
    <d v="1899-12-30T15:45:00"/>
    <n v="0"/>
    <x v="1"/>
  </r>
  <r>
    <x v="0"/>
    <s v="Egypt"/>
    <x v="13"/>
    <x v="66"/>
    <x v="66"/>
    <d v="2025-06-13T00:00:00"/>
    <d v="1899-12-30T08:15:00"/>
    <s v="Annual Exception"/>
    <m/>
    <m/>
    <n v="29700"/>
    <x v="1"/>
  </r>
  <r>
    <x v="0"/>
    <s v="Egypt"/>
    <x v="13"/>
    <x v="66"/>
    <x v="66"/>
    <d v="2025-06-14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30:00"/>
    <d v="1899-12-30T10:45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15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00:00"/>
    <d v="1899-12-30T10:15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16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17T00:00:00"/>
    <m/>
    <s v="Day Off"/>
    <m/>
    <m/>
    <n v="0"/>
    <x v="1"/>
  </r>
  <r>
    <x v="0"/>
    <s v="Egypt"/>
    <x v="13"/>
    <x v="66"/>
    <x v="66"/>
    <d v="2025-06-18T00:00:00"/>
    <m/>
    <s v="Day Off"/>
    <m/>
    <m/>
    <n v="0"/>
    <x v="1"/>
  </r>
  <r>
    <x v="0"/>
    <s v="Egypt"/>
    <x v="13"/>
    <x v="66"/>
    <x v="66"/>
    <d v="2025-06-19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20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09:45:00"/>
    <d v="1899-12-30T10:00:00"/>
    <n v="0"/>
    <x v="1"/>
  </r>
  <r>
    <x v="0"/>
    <s v="Egypt"/>
    <x v="13"/>
    <x v="66"/>
    <x v="66"/>
    <m/>
    <m/>
    <s v="Break 30 Morning"/>
    <d v="1899-12-30T12:45:00"/>
    <d v="1899-12-30T13:15:00"/>
    <n v="0"/>
    <x v="1"/>
  </r>
  <r>
    <x v="0"/>
    <s v="Egypt"/>
    <x v="13"/>
    <x v="66"/>
    <x v="66"/>
    <d v="2025-06-21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22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23T00:00:00"/>
    <d v="1899-12-30T08:15:00"/>
    <s v="Annual Exception"/>
    <m/>
    <m/>
    <n v="29700"/>
    <x v="1"/>
  </r>
  <r>
    <x v="0"/>
    <s v="Egypt"/>
    <x v="13"/>
    <x v="66"/>
    <x v="66"/>
    <d v="2025-06-24T00:00:00"/>
    <m/>
    <s v="Day Off"/>
    <m/>
    <m/>
    <n v="0"/>
    <x v="1"/>
  </r>
  <r>
    <x v="0"/>
    <s v="Egypt"/>
    <x v="13"/>
    <x v="66"/>
    <x v="66"/>
    <d v="2025-06-25T00:00:00"/>
    <m/>
    <s v="Day Off"/>
    <m/>
    <m/>
    <n v="0"/>
    <x v="1"/>
  </r>
  <r>
    <x v="0"/>
    <s v="Egypt"/>
    <x v="13"/>
    <x v="66"/>
    <x v="66"/>
    <d v="2025-06-26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45:00"/>
    <d v="1899-12-30T14:15:00"/>
    <n v="0"/>
    <x v="1"/>
  </r>
  <r>
    <x v="0"/>
    <s v="Egypt"/>
    <x v="13"/>
    <x v="66"/>
    <x v="66"/>
    <d v="2025-06-27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30:00"/>
    <d v="1899-12-30T10:45:00"/>
    <n v="0"/>
    <x v="1"/>
  </r>
  <r>
    <x v="0"/>
    <s v="Egypt"/>
    <x v="13"/>
    <x v="66"/>
    <x v="66"/>
    <m/>
    <m/>
    <s v="Break 30 Morning"/>
    <d v="1899-12-30T13:45:00"/>
    <d v="1899-12-30T14:15:00"/>
    <n v="0"/>
    <x v="1"/>
  </r>
  <r>
    <x v="0"/>
    <s v="Egypt"/>
    <x v="13"/>
    <x v="66"/>
    <x v="66"/>
    <d v="2025-06-28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30:00"/>
    <d v="1899-12-30T10:45:00"/>
    <n v="0"/>
    <x v="1"/>
  </r>
  <r>
    <x v="0"/>
    <s v="Egypt"/>
    <x v="13"/>
    <x v="66"/>
    <x v="66"/>
    <m/>
    <m/>
    <s v="Break 30 Morning"/>
    <d v="1899-12-30T13:45:00"/>
    <d v="1899-12-30T14:15:00"/>
    <n v="0"/>
    <x v="1"/>
  </r>
  <r>
    <x v="0"/>
    <s v="Egypt"/>
    <x v="13"/>
    <x v="66"/>
    <x v="66"/>
    <d v="2025-06-29T00:00:00"/>
    <d v="1899-12-30T08:15:00"/>
    <s v="Non Telecom"/>
    <d v="1899-12-30T08:00:00"/>
    <d v="1899-12-30T16:15:00"/>
    <n v="29700"/>
    <x v="0"/>
  </r>
  <r>
    <x v="0"/>
    <s v="Egypt"/>
    <x v="13"/>
    <x v="66"/>
    <x v="66"/>
    <m/>
    <m/>
    <s v="Break 15 Morning"/>
    <d v="1899-12-30T10:15:00"/>
    <d v="1899-12-30T10:30:00"/>
    <n v="0"/>
    <x v="1"/>
  </r>
  <r>
    <x v="0"/>
    <s v="Egypt"/>
    <x v="13"/>
    <x v="66"/>
    <x v="66"/>
    <m/>
    <m/>
    <s v="Break 30 Morning"/>
    <d v="1899-12-30T13:15:00"/>
    <d v="1899-12-30T13:45:00"/>
    <n v="0"/>
    <x v="1"/>
  </r>
  <r>
    <x v="0"/>
    <s v="Egypt"/>
    <x v="13"/>
    <x v="66"/>
    <x v="66"/>
    <d v="2025-06-30T00:00:00"/>
    <m/>
    <s v="Day Off"/>
    <m/>
    <m/>
    <n v="0"/>
    <x v="1"/>
  </r>
  <r>
    <x v="0"/>
    <s v="Egypt"/>
    <x v="13"/>
    <x v="67"/>
    <x v="67"/>
    <d v="2025-06-01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45:00"/>
    <d v="1899-12-30T14:15:00"/>
    <n v="0"/>
    <x v="1"/>
  </r>
  <r>
    <x v="0"/>
    <s v="Egypt"/>
    <x v="13"/>
    <x v="67"/>
    <x v="67"/>
    <d v="2025-06-02T00:00:00"/>
    <d v="1899-12-30T08:15:00"/>
    <s v="Annual Exception"/>
    <m/>
    <m/>
    <n v="29700"/>
    <x v="1"/>
  </r>
  <r>
    <x v="0"/>
    <s v="Egypt"/>
    <x v="13"/>
    <x v="67"/>
    <x v="67"/>
    <d v="2025-06-03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15:00"/>
    <d v="1899-12-30T10:30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04T00:00:00"/>
    <m/>
    <s v="Day Off"/>
    <m/>
    <m/>
    <n v="0"/>
    <x v="1"/>
  </r>
  <r>
    <x v="0"/>
    <s v="Egypt"/>
    <x v="13"/>
    <x v="67"/>
    <x v="67"/>
    <d v="2025-06-05T00:00:00"/>
    <m/>
    <s v="Day Off"/>
    <m/>
    <m/>
    <n v="0"/>
    <x v="1"/>
  </r>
  <r>
    <x v="0"/>
    <s v="Egypt"/>
    <x v="13"/>
    <x v="67"/>
    <x v="67"/>
    <d v="2025-06-06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45:00"/>
    <d v="1899-12-30T14:15:00"/>
    <n v="0"/>
    <x v="1"/>
  </r>
  <r>
    <x v="0"/>
    <s v="Egypt"/>
    <x v="13"/>
    <x v="67"/>
    <x v="67"/>
    <d v="2025-06-07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15:00"/>
    <d v="1899-12-30T10:30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08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15:00"/>
    <d v="1899-12-30T10:30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09T00:00:00"/>
    <d v="1899-12-30T08:15:00"/>
    <s v="Public holiday"/>
    <m/>
    <m/>
    <n v="29700"/>
    <x v="1"/>
  </r>
  <r>
    <x v="0"/>
    <s v="Egypt"/>
    <x v="13"/>
    <x v="67"/>
    <x v="67"/>
    <d v="2025-06-10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15:00"/>
    <d v="1899-12-30T10:30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11T00:00:00"/>
    <m/>
    <s v="Day Off"/>
    <m/>
    <m/>
    <n v="0"/>
    <x v="1"/>
  </r>
  <r>
    <x v="0"/>
    <s v="Egypt"/>
    <x v="13"/>
    <x v="67"/>
    <x v="67"/>
    <d v="2025-06-12T00:00:00"/>
    <m/>
    <s v="Day Off"/>
    <m/>
    <m/>
    <n v="0"/>
    <x v="1"/>
  </r>
  <r>
    <x v="0"/>
    <s v="Egypt"/>
    <x v="13"/>
    <x v="67"/>
    <x v="67"/>
    <d v="2025-06-13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00:00"/>
    <d v="1899-12-30T10:15:00"/>
    <n v="0"/>
    <x v="1"/>
  </r>
  <r>
    <x v="0"/>
    <s v="Egypt"/>
    <x v="13"/>
    <x v="67"/>
    <x v="67"/>
    <m/>
    <m/>
    <s v="Break 30 Morning"/>
    <d v="1899-12-30T13:00:00"/>
    <d v="1899-12-30T13:30:00"/>
    <n v="0"/>
    <x v="1"/>
  </r>
  <r>
    <x v="0"/>
    <s v="Egypt"/>
    <x v="13"/>
    <x v="67"/>
    <x v="67"/>
    <d v="2025-06-14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15T00:00:00"/>
    <m/>
    <s v="Day Off"/>
    <m/>
    <m/>
    <n v="0"/>
    <x v="1"/>
  </r>
  <r>
    <x v="0"/>
    <s v="Egypt"/>
    <x v="13"/>
    <x v="67"/>
    <x v="67"/>
    <d v="2025-06-16T00:00:00"/>
    <m/>
    <s v="Day Off"/>
    <m/>
    <m/>
    <n v="0"/>
    <x v="1"/>
  </r>
  <r>
    <x v="0"/>
    <s v="Egypt"/>
    <x v="13"/>
    <x v="67"/>
    <x v="67"/>
    <d v="2025-06-17T00:00:00"/>
    <d v="1899-12-30T08:15:00"/>
    <s v="Annual Exception"/>
    <m/>
    <m/>
    <n v="29700"/>
    <x v="1"/>
  </r>
  <r>
    <x v="0"/>
    <s v="Egypt"/>
    <x v="13"/>
    <x v="67"/>
    <x v="67"/>
    <d v="2025-06-18T00:00:00"/>
    <d v="1899-12-30T08:15:00"/>
    <s v="Annual Exception"/>
    <m/>
    <m/>
    <n v="29700"/>
    <x v="1"/>
  </r>
  <r>
    <x v="0"/>
    <s v="Egypt"/>
    <x v="13"/>
    <x v="67"/>
    <x v="67"/>
    <d v="2025-06-19T00:00:00"/>
    <d v="1899-12-30T08:15:00"/>
    <s v="Annual Exception"/>
    <m/>
    <m/>
    <n v="29700"/>
    <x v="1"/>
  </r>
  <r>
    <x v="0"/>
    <s v="Egypt"/>
    <x v="13"/>
    <x v="67"/>
    <x v="67"/>
    <d v="2025-06-20T00:00:00"/>
    <d v="1899-12-30T08:15:00"/>
    <s v="Annual Exception"/>
    <m/>
    <m/>
    <n v="29700"/>
    <x v="1"/>
  </r>
  <r>
    <x v="0"/>
    <s v="Egypt"/>
    <x v="13"/>
    <x v="67"/>
    <x v="67"/>
    <d v="2025-06-21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22T00:00:00"/>
    <m/>
    <s v="Day Off"/>
    <m/>
    <m/>
    <n v="0"/>
    <x v="1"/>
  </r>
  <r>
    <x v="0"/>
    <s v="Egypt"/>
    <x v="13"/>
    <x v="67"/>
    <x v="67"/>
    <d v="2025-06-23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24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15:00"/>
    <d v="1899-12-30T13:45:00"/>
    <n v="0"/>
    <x v="1"/>
  </r>
  <r>
    <x v="0"/>
    <s v="Egypt"/>
    <x v="13"/>
    <x v="67"/>
    <x v="67"/>
    <d v="2025-06-25T00:00:00"/>
    <m/>
    <s v="Day Off"/>
    <m/>
    <m/>
    <n v="0"/>
    <x v="1"/>
  </r>
  <r>
    <x v="0"/>
    <s v="Egypt"/>
    <x v="13"/>
    <x v="67"/>
    <x v="67"/>
    <d v="2025-06-26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09:15:00"/>
    <d v="1899-12-30T09:30:00"/>
    <n v="0"/>
    <x v="1"/>
  </r>
  <r>
    <x v="0"/>
    <s v="Egypt"/>
    <x v="13"/>
    <x v="67"/>
    <x v="67"/>
    <m/>
    <m/>
    <s v="Break 30 Morning"/>
    <d v="1899-12-30T11:30:00"/>
    <d v="1899-12-30T12:00:00"/>
    <n v="0"/>
    <x v="1"/>
  </r>
  <r>
    <x v="0"/>
    <s v="Egypt"/>
    <x v="13"/>
    <x v="67"/>
    <x v="67"/>
    <d v="2025-06-27T00:00:00"/>
    <d v="1899-12-30T09:15:00"/>
    <s v="Non Telecom"/>
    <d v="1899-12-30T08:00:00"/>
    <d v="1899-12-30T17:15:00"/>
    <n v="33300"/>
    <x v="0"/>
  </r>
  <r>
    <x v="0"/>
    <s v="Egypt"/>
    <x v="13"/>
    <x v="67"/>
    <x v="67"/>
    <m/>
    <m/>
    <s v="Shift Move"/>
    <d v="1899-12-30T08:00:00"/>
    <d v="1899-12-30T09:00:00"/>
    <n v="0"/>
    <x v="1"/>
  </r>
  <r>
    <x v="0"/>
    <s v="Egypt"/>
    <x v="13"/>
    <x v="67"/>
    <x v="67"/>
    <m/>
    <m/>
    <s v="Break 15 Morning"/>
    <d v="1899-12-30T11:15:00"/>
    <d v="1899-12-30T11:30:00"/>
    <n v="0"/>
    <x v="1"/>
  </r>
  <r>
    <x v="0"/>
    <s v="Egypt"/>
    <x v="13"/>
    <x v="67"/>
    <x v="67"/>
    <m/>
    <m/>
    <s v="Break 30 Morning"/>
    <d v="1899-12-30T14:15:00"/>
    <d v="1899-12-30T14:45:00"/>
    <n v="0"/>
    <x v="1"/>
  </r>
  <r>
    <x v="0"/>
    <s v="Egypt"/>
    <x v="13"/>
    <x v="67"/>
    <x v="67"/>
    <d v="2025-06-28T00:00:00"/>
    <d v="1899-12-30T08:15:00"/>
    <s v="Non Telecom"/>
    <d v="1899-12-30T08:00:00"/>
    <d v="1899-12-30T16:15:00"/>
    <n v="29700"/>
    <x v="0"/>
  </r>
  <r>
    <x v="0"/>
    <s v="Egypt"/>
    <x v="13"/>
    <x v="67"/>
    <x v="67"/>
    <m/>
    <m/>
    <s v="Break 15 Morning"/>
    <d v="1899-12-30T10:30:00"/>
    <d v="1899-12-30T10:45:00"/>
    <n v="0"/>
    <x v="1"/>
  </r>
  <r>
    <x v="0"/>
    <s v="Egypt"/>
    <x v="13"/>
    <x v="67"/>
    <x v="67"/>
    <m/>
    <m/>
    <s v="Break 30 Morning"/>
    <d v="1899-12-30T13:45:00"/>
    <d v="1899-12-30T14:15:00"/>
    <n v="0"/>
    <x v="1"/>
  </r>
  <r>
    <x v="0"/>
    <s v="Egypt"/>
    <x v="13"/>
    <x v="67"/>
    <x v="67"/>
    <d v="2025-06-29T00:00:00"/>
    <m/>
    <s v="Day Off"/>
    <m/>
    <m/>
    <n v="0"/>
    <x v="1"/>
  </r>
  <r>
    <x v="0"/>
    <s v="Egypt"/>
    <x v="13"/>
    <x v="67"/>
    <x v="67"/>
    <d v="2025-06-30T00:00:00"/>
    <d v="1899-12-30T08:15:00"/>
    <s v="Non Telecom"/>
    <d v="1899-12-30T09:00:00"/>
    <d v="1899-12-30T17:15:00"/>
    <n v="29700"/>
    <x v="0"/>
  </r>
  <r>
    <x v="0"/>
    <s v="Egypt"/>
    <x v="13"/>
    <x v="67"/>
    <x v="67"/>
    <m/>
    <m/>
    <s v="Break 15 Morning"/>
    <d v="1899-12-30T11:45:00"/>
    <d v="1899-12-30T12:00:00"/>
    <n v="0"/>
    <x v="1"/>
  </r>
  <r>
    <x v="0"/>
    <s v="Egypt"/>
    <x v="13"/>
    <x v="67"/>
    <x v="67"/>
    <m/>
    <m/>
    <s v="Break 30 Morning"/>
    <d v="1899-12-30T14:45:00"/>
    <d v="1899-12-30T15:15:00"/>
    <n v="0"/>
    <x v="1"/>
  </r>
  <r>
    <x v="0"/>
    <s v="Egypt"/>
    <x v="13"/>
    <x v="68"/>
    <x v="68"/>
    <d v="2025-06-01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02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15:00"/>
    <d v="1899-12-30T10:30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03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04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05T00:00:00"/>
    <d v="1899-12-30T08:15:00"/>
    <s v="Annual"/>
    <m/>
    <m/>
    <n v="29700"/>
    <x v="1"/>
  </r>
  <r>
    <x v="0"/>
    <s v="Egypt"/>
    <x v="13"/>
    <x v="68"/>
    <x v="68"/>
    <d v="2025-06-06T00:00:00"/>
    <m/>
    <s v="Day Off"/>
    <m/>
    <m/>
    <n v="0"/>
    <x v="1"/>
  </r>
  <r>
    <x v="0"/>
    <s v="Egypt"/>
    <x v="13"/>
    <x v="68"/>
    <x v="68"/>
    <d v="2025-06-07T00:00:00"/>
    <m/>
    <s v="Day Off"/>
    <m/>
    <m/>
    <n v="0"/>
    <x v="1"/>
  </r>
  <r>
    <x v="0"/>
    <s v="Egypt"/>
    <x v="13"/>
    <x v="68"/>
    <x v="68"/>
    <d v="2025-06-08T00:00:00"/>
    <d v="1899-12-30T08:15:00"/>
    <s v="No show"/>
    <d v="1899-12-30T09:00:00"/>
    <d v="1899-12-30T17:15:00"/>
    <n v="29700"/>
    <x v="1"/>
  </r>
  <r>
    <x v="0"/>
    <s v="Egypt"/>
    <x v="13"/>
    <x v="68"/>
    <x v="68"/>
    <d v="2025-06-09T00:00:00"/>
    <d v="1899-12-30T08:15:00"/>
    <s v="Public holiday"/>
    <m/>
    <m/>
    <n v="29700"/>
    <x v="1"/>
  </r>
  <r>
    <x v="0"/>
    <s v="Egypt"/>
    <x v="13"/>
    <x v="68"/>
    <x v="68"/>
    <d v="2025-06-10T00:00:00"/>
    <d v="1899-12-30T08:15:00"/>
    <s v="No show"/>
    <d v="1899-12-30T09:00:00"/>
    <d v="1899-12-30T17:15:00"/>
    <n v="29700"/>
    <x v="1"/>
  </r>
  <r>
    <x v="0"/>
    <s v="Egypt"/>
    <x v="13"/>
    <x v="68"/>
    <x v="68"/>
    <d v="2025-06-11T00:00:00"/>
    <d v="1899-12-30T08:15:00"/>
    <s v="Annual Exception"/>
    <m/>
    <m/>
    <n v="29700"/>
    <x v="1"/>
  </r>
  <r>
    <x v="0"/>
    <s v="Egypt"/>
    <x v="13"/>
    <x v="68"/>
    <x v="68"/>
    <d v="2025-06-12T00:00:00"/>
    <m/>
    <s v="Day Off"/>
    <m/>
    <m/>
    <n v="0"/>
    <x v="1"/>
  </r>
  <r>
    <x v="0"/>
    <s v="Egypt"/>
    <x v="13"/>
    <x v="68"/>
    <x v="68"/>
    <d v="2025-06-13T00:00:00"/>
    <m/>
    <s v="Day Off"/>
    <m/>
    <m/>
    <n v="0"/>
    <x v="1"/>
  </r>
  <r>
    <x v="0"/>
    <s v="Egypt"/>
    <x v="13"/>
    <x v="68"/>
    <x v="68"/>
    <d v="2025-06-14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45:00"/>
    <d v="1899-12-30T11:00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15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15:00"/>
    <d v="1899-12-30T10:30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16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17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18T00:00:00"/>
    <m/>
    <s v="Day Off"/>
    <m/>
    <m/>
    <n v="0"/>
    <x v="1"/>
  </r>
  <r>
    <x v="0"/>
    <s v="Egypt"/>
    <x v="13"/>
    <x v="68"/>
    <x v="68"/>
    <d v="2025-06-19T00:00:00"/>
    <m/>
    <s v="Day Off"/>
    <m/>
    <m/>
    <n v="0"/>
    <x v="1"/>
  </r>
  <r>
    <x v="0"/>
    <s v="Egypt"/>
    <x v="13"/>
    <x v="68"/>
    <x v="68"/>
    <d v="2025-06-20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15:00"/>
    <d v="1899-12-30T10:30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21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45:00"/>
    <d v="1899-12-30T11:00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22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23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15:00"/>
    <d v="1899-12-30T13:45:00"/>
    <n v="0"/>
    <x v="1"/>
  </r>
  <r>
    <x v="0"/>
    <s v="Egypt"/>
    <x v="13"/>
    <x v="68"/>
    <x v="68"/>
    <d v="2025-06-24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25T00:00:00"/>
    <m/>
    <s v="Day Off"/>
    <m/>
    <m/>
    <n v="0"/>
    <x v="1"/>
  </r>
  <r>
    <x v="0"/>
    <s v="Egypt"/>
    <x v="13"/>
    <x v="68"/>
    <x v="68"/>
    <d v="2025-06-26T00:00:00"/>
    <m/>
    <s v="Day Off"/>
    <m/>
    <m/>
    <n v="0"/>
    <x v="1"/>
  </r>
  <r>
    <x v="0"/>
    <s v="Egypt"/>
    <x v="13"/>
    <x v="68"/>
    <x v="68"/>
    <d v="2025-06-27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45:00"/>
    <d v="1899-12-30T11:00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28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45:00"/>
    <d v="1899-12-30T11:00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29T00:00:00"/>
    <d v="1899-12-30T08:15:00"/>
    <s v="Non Telecom"/>
    <d v="1899-12-30T08:00:00"/>
    <d v="1899-12-30T16:15:00"/>
    <n v="29700"/>
    <x v="0"/>
  </r>
  <r>
    <x v="0"/>
    <s v="Egypt"/>
    <x v="13"/>
    <x v="68"/>
    <x v="68"/>
    <m/>
    <m/>
    <s v="Break 15 Morning"/>
    <d v="1899-12-30T10:30:00"/>
    <d v="1899-12-30T10:45:00"/>
    <n v="0"/>
    <x v="1"/>
  </r>
  <r>
    <x v="0"/>
    <s v="Egypt"/>
    <x v="13"/>
    <x v="68"/>
    <x v="68"/>
    <m/>
    <m/>
    <s v="Break 30 Morning"/>
    <d v="1899-12-30T13:45:00"/>
    <d v="1899-12-30T14:15:00"/>
    <n v="0"/>
    <x v="1"/>
  </r>
  <r>
    <x v="0"/>
    <s v="Egypt"/>
    <x v="13"/>
    <x v="68"/>
    <x v="68"/>
    <d v="2025-06-30T00:00:00"/>
    <d v="1899-12-30T10:15:00"/>
    <s v="Non Telecom"/>
    <d v="1899-12-30T09:00:00"/>
    <d v="1899-12-30T19:15:00"/>
    <n v="36900"/>
    <x v="0"/>
  </r>
  <r>
    <x v="0"/>
    <s v="Egypt"/>
    <x v="13"/>
    <x v="68"/>
    <x v="68"/>
    <m/>
    <m/>
    <s v="Break 15 Morning"/>
    <d v="1899-12-30T11:45:00"/>
    <d v="1899-12-30T12:00:00"/>
    <n v="0"/>
    <x v="1"/>
  </r>
  <r>
    <x v="0"/>
    <s v="Egypt"/>
    <x v="13"/>
    <x v="68"/>
    <x v="68"/>
    <m/>
    <m/>
    <s v="Break 30 Morning"/>
    <d v="1899-12-30T14:45:00"/>
    <d v="1899-12-30T15:15:00"/>
    <n v="0"/>
    <x v="1"/>
  </r>
  <r>
    <x v="0"/>
    <s v="Egypt"/>
    <x v="13"/>
    <x v="68"/>
    <x v="68"/>
    <m/>
    <m/>
    <s v="Shift Move"/>
    <d v="1899-12-30T17:15:00"/>
    <d v="1899-12-30T19:15:00"/>
    <n v="0"/>
    <x v="1"/>
  </r>
  <r>
    <x v="0"/>
    <s v="Egypt"/>
    <x v="14"/>
    <x v="69"/>
    <x v="69"/>
    <d v="2025-06-01T00:00:00"/>
    <d v="1899-12-30T08:15:00"/>
    <s v="Sick"/>
    <m/>
    <m/>
    <n v="29700"/>
    <x v="1"/>
  </r>
  <r>
    <x v="0"/>
    <s v="Egypt"/>
    <x v="14"/>
    <x v="69"/>
    <x v="69"/>
    <d v="2025-06-02T00:00:00"/>
    <d v="1899-12-30T08:15:00"/>
    <s v="Sick"/>
    <m/>
    <m/>
    <n v="29700"/>
    <x v="1"/>
  </r>
  <r>
    <x v="0"/>
    <s v="Egypt"/>
    <x v="14"/>
    <x v="69"/>
    <x v="69"/>
    <d v="2025-06-03T00:00:00"/>
    <d v="1899-12-30T08:15:00"/>
    <s v="Sick"/>
    <m/>
    <m/>
    <n v="29700"/>
    <x v="1"/>
  </r>
  <r>
    <x v="0"/>
    <s v="Egypt"/>
    <x v="14"/>
    <x v="69"/>
    <x v="69"/>
    <d v="2025-06-04T00:00:00"/>
    <d v="1899-12-30T08:15:00"/>
    <s v="Sick"/>
    <m/>
    <m/>
    <n v="29700"/>
    <x v="1"/>
  </r>
  <r>
    <x v="0"/>
    <s v="Egypt"/>
    <x v="14"/>
    <x v="69"/>
    <x v="69"/>
    <d v="2025-06-05T00:00:00"/>
    <d v="1899-12-30T08:15:00"/>
    <s v="Sick"/>
    <m/>
    <m/>
    <n v="29700"/>
    <x v="1"/>
  </r>
  <r>
    <x v="0"/>
    <s v="Egypt"/>
    <x v="14"/>
    <x v="69"/>
    <x v="69"/>
    <d v="2025-06-06T00:00:00"/>
    <m/>
    <s v="Day Off"/>
    <m/>
    <m/>
    <n v="0"/>
    <x v="1"/>
  </r>
  <r>
    <x v="0"/>
    <s v="Egypt"/>
    <x v="14"/>
    <x v="69"/>
    <x v="69"/>
    <d v="2025-06-07T00:00:00"/>
    <m/>
    <s v="Day Off"/>
    <m/>
    <m/>
    <n v="0"/>
    <x v="1"/>
  </r>
  <r>
    <x v="0"/>
    <s v="Egypt"/>
    <x v="14"/>
    <x v="69"/>
    <x v="69"/>
    <d v="2025-06-08T00:00:00"/>
    <d v="1899-12-30T08:15:00"/>
    <s v="Public holiday"/>
    <m/>
    <m/>
    <n v="29700"/>
    <x v="1"/>
  </r>
  <r>
    <x v="0"/>
    <s v="Egypt"/>
    <x v="14"/>
    <x v="69"/>
    <x v="69"/>
    <d v="2025-06-09T00:00:00"/>
    <d v="1899-12-30T08:15:00"/>
    <s v="Public holiday"/>
    <m/>
    <m/>
    <n v="29700"/>
    <x v="1"/>
  </r>
  <r>
    <x v="0"/>
    <s v="Egypt"/>
    <x v="14"/>
    <x v="69"/>
    <x v="69"/>
    <d v="2025-06-10T00:00:00"/>
    <d v="1899-12-30T08:15:00"/>
    <s v="Sick"/>
    <m/>
    <m/>
    <n v="29700"/>
    <x v="1"/>
  </r>
  <r>
    <x v="0"/>
    <s v="Egypt"/>
    <x v="14"/>
    <x v="69"/>
    <x v="69"/>
    <d v="2025-06-11T00:00:00"/>
    <d v="1899-12-30T08:15:00"/>
    <s v="Sick"/>
    <m/>
    <m/>
    <n v="29700"/>
    <x v="1"/>
  </r>
  <r>
    <x v="0"/>
    <s v="Egypt"/>
    <x v="14"/>
    <x v="69"/>
    <x v="69"/>
    <d v="2025-06-12T00:00:00"/>
    <d v="1899-12-30T08:15:00"/>
    <s v="Sick"/>
    <m/>
    <m/>
    <n v="29700"/>
    <x v="1"/>
  </r>
  <r>
    <x v="0"/>
    <s v="Egypt"/>
    <x v="14"/>
    <x v="69"/>
    <x v="69"/>
    <d v="2025-06-13T00:00:00"/>
    <d v="1899-12-30T08:15:00"/>
    <s v="Sick"/>
    <m/>
    <m/>
    <n v="29700"/>
    <x v="1"/>
  </r>
  <r>
    <x v="0"/>
    <s v="Egypt"/>
    <x v="14"/>
    <x v="69"/>
    <x v="69"/>
    <d v="2025-06-14T00:00:00"/>
    <d v="1899-12-30T08:15:00"/>
    <s v="Sick"/>
    <m/>
    <m/>
    <n v="29700"/>
    <x v="1"/>
  </r>
  <r>
    <x v="0"/>
    <s v="Egypt"/>
    <x v="14"/>
    <x v="69"/>
    <x v="69"/>
    <d v="2025-06-15T00:00:00"/>
    <d v="1899-12-30T08:15:00"/>
    <s v="Sick"/>
    <m/>
    <m/>
    <n v="29700"/>
    <x v="1"/>
  </r>
  <r>
    <x v="0"/>
    <s v="Egypt"/>
    <x v="14"/>
    <x v="69"/>
    <x v="69"/>
    <d v="2025-06-16T00:00:00"/>
    <d v="1899-12-30T08:15:00"/>
    <s v="Sick"/>
    <m/>
    <m/>
    <n v="29700"/>
    <x v="1"/>
  </r>
  <r>
    <x v="0"/>
    <s v="Egypt"/>
    <x v="14"/>
    <x v="69"/>
    <x v="69"/>
    <d v="2025-06-17T00:00:00"/>
    <d v="1899-12-30T08:15:00"/>
    <s v="Sick"/>
    <m/>
    <m/>
    <n v="29700"/>
    <x v="1"/>
  </r>
  <r>
    <x v="0"/>
    <s v="Egypt"/>
    <x v="14"/>
    <x v="69"/>
    <x v="69"/>
    <d v="2025-06-18T00:00:00"/>
    <d v="1899-12-30T08:15:00"/>
    <s v="Sick"/>
    <m/>
    <m/>
    <n v="29700"/>
    <x v="1"/>
  </r>
  <r>
    <x v="0"/>
    <s v="Egypt"/>
    <x v="14"/>
    <x v="69"/>
    <x v="69"/>
    <d v="2025-06-19T00:00:00"/>
    <d v="1899-12-30T08:15:00"/>
    <s v="Sick"/>
    <m/>
    <m/>
    <n v="29700"/>
    <x v="1"/>
  </r>
  <r>
    <x v="0"/>
    <s v="Egypt"/>
    <x v="14"/>
    <x v="69"/>
    <x v="69"/>
    <d v="2025-06-20T00:00:00"/>
    <d v="1899-12-30T08:15:00"/>
    <s v="Sick"/>
    <m/>
    <m/>
    <n v="29700"/>
    <x v="1"/>
  </r>
  <r>
    <x v="0"/>
    <s v="Egypt"/>
    <x v="14"/>
    <x v="69"/>
    <x v="69"/>
    <d v="2025-06-21T00:00:00"/>
    <d v="1899-12-30T08:15:00"/>
    <s v="Sick"/>
    <m/>
    <m/>
    <n v="29700"/>
    <x v="1"/>
  </r>
  <r>
    <x v="0"/>
    <s v="Egypt"/>
    <x v="14"/>
    <x v="69"/>
    <x v="69"/>
    <d v="2025-06-22T00:00:00"/>
    <d v="1899-12-30T08:15:00"/>
    <s v="Sick"/>
    <m/>
    <m/>
    <n v="29700"/>
    <x v="1"/>
  </r>
  <r>
    <x v="0"/>
    <s v="Egypt"/>
    <x v="14"/>
    <x v="69"/>
    <x v="69"/>
    <d v="2025-06-23T00:00:00"/>
    <d v="1899-12-30T08:15:00"/>
    <s v="Sick"/>
    <m/>
    <m/>
    <n v="29700"/>
    <x v="1"/>
  </r>
  <r>
    <x v="0"/>
    <s v="Egypt"/>
    <x v="14"/>
    <x v="69"/>
    <x v="69"/>
    <d v="2025-06-24T00:00:00"/>
    <d v="1899-12-30T08:15:00"/>
    <s v="Sick"/>
    <m/>
    <m/>
    <n v="29700"/>
    <x v="1"/>
  </r>
  <r>
    <x v="0"/>
    <s v="Egypt"/>
    <x v="14"/>
    <x v="69"/>
    <x v="69"/>
    <d v="2025-06-25T00:00:00"/>
    <d v="1899-12-30T08:15:00"/>
    <s v="Sick"/>
    <m/>
    <m/>
    <n v="29700"/>
    <x v="1"/>
  </r>
  <r>
    <x v="0"/>
    <s v="Egypt"/>
    <x v="14"/>
    <x v="69"/>
    <x v="69"/>
    <d v="2025-06-26T00:00:00"/>
    <d v="1899-12-30T08:15:00"/>
    <s v="Public holiday"/>
    <m/>
    <m/>
    <n v="29700"/>
    <x v="1"/>
  </r>
  <r>
    <x v="0"/>
    <s v="Egypt"/>
    <x v="14"/>
    <x v="69"/>
    <x v="69"/>
    <d v="2025-06-27T00:00:00"/>
    <m/>
    <s v="Day Off"/>
    <m/>
    <m/>
    <n v="0"/>
    <x v="1"/>
  </r>
  <r>
    <x v="0"/>
    <s v="Egypt"/>
    <x v="14"/>
    <x v="69"/>
    <x v="69"/>
    <d v="2025-06-28T00:00:00"/>
    <m/>
    <s v="Day Off"/>
    <m/>
    <m/>
    <n v="0"/>
    <x v="1"/>
  </r>
  <r>
    <x v="0"/>
    <s v="Egypt"/>
    <x v="14"/>
    <x v="69"/>
    <x v="69"/>
    <d v="2025-06-29T00:00:00"/>
    <d v="1899-12-30T08:15:00"/>
    <s v="Non Telecom"/>
    <d v="1899-12-30T19:15:00"/>
    <s v="+3:30 AM"/>
    <n v="29700"/>
    <x v="0"/>
  </r>
  <r>
    <x v="0"/>
    <s v="Egypt"/>
    <x v="14"/>
    <x v="69"/>
    <x v="69"/>
    <m/>
    <m/>
    <s v="Break 15 Night"/>
    <d v="1899-12-30T21:30:00"/>
    <d v="1899-12-30T21:45:00"/>
    <n v="0"/>
    <x v="1"/>
  </r>
  <r>
    <x v="0"/>
    <s v="Egypt"/>
    <x v="14"/>
    <x v="69"/>
    <x v="69"/>
    <m/>
    <m/>
    <s v="Break 30 Night"/>
    <s v="+12:30 AM"/>
    <s v="+1:00 AM"/>
    <n v="0"/>
    <x v="1"/>
  </r>
  <r>
    <x v="0"/>
    <s v="Egypt"/>
    <x v="14"/>
    <x v="69"/>
    <x v="69"/>
    <d v="2025-06-30T00:00:00"/>
    <d v="1899-12-30T08:15:00"/>
    <s v="Non Telecom"/>
    <d v="1899-12-30T21:00:00"/>
    <s v="+5:15 AM"/>
    <n v="29700"/>
    <x v="0"/>
  </r>
  <r>
    <x v="0"/>
    <s v="Egypt"/>
    <x v="14"/>
    <x v="69"/>
    <x v="69"/>
    <m/>
    <m/>
    <s v="Break 15 Night"/>
    <s v="+12:00 AM"/>
    <s v="+12:15 AM"/>
    <n v="0"/>
    <x v="1"/>
  </r>
  <r>
    <x v="0"/>
    <s v="Egypt"/>
    <x v="14"/>
    <x v="69"/>
    <x v="69"/>
    <m/>
    <m/>
    <s v="Break 30 Night"/>
    <s v="+3:30 AM"/>
    <s v="+4:00 AM"/>
    <n v="0"/>
    <x v="1"/>
  </r>
  <r>
    <x v="0"/>
    <s v="Egypt"/>
    <x v="14"/>
    <x v="70"/>
    <x v="70"/>
    <d v="2025-06-01T00:00:00"/>
    <d v="1899-12-30T08:15:00"/>
    <s v="Non Telecom"/>
    <d v="1899-12-30T13:00:00"/>
    <d v="1899-12-30T21:15:00"/>
    <n v="29700"/>
    <x v="0"/>
  </r>
  <r>
    <x v="0"/>
    <s v="Egypt"/>
    <x v="14"/>
    <x v="70"/>
    <x v="70"/>
    <m/>
    <m/>
    <s v="Break 15 Morning"/>
    <d v="1899-12-30T15:15:00"/>
    <d v="1899-12-30T15:30:00"/>
    <n v="0"/>
    <x v="1"/>
  </r>
  <r>
    <x v="0"/>
    <s v="Egypt"/>
    <x v="14"/>
    <x v="70"/>
    <x v="70"/>
    <m/>
    <m/>
    <s v="Break 30 Morning"/>
    <d v="1899-12-30T18:45:00"/>
    <d v="1899-12-30T19:15:00"/>
    <n v="0"/>
    <x v="1"/>
  </r>
  <r>
    <x v="0"/>
    <s v="Egypt"/>
    <x v="14"/>
    <x v="70"/>
    <x v="70"/>
    <d v="2025-06-02T00:00:00"/>
    <d v="1899-12-30T08:15:00"/>
    <s v="Non Telecom"/>
    <d v="1899-12-30T15:00:00"/>
    <d v="1899-12-30T23:15:00"/>
    <n v="29700"/>
    <x v="0"/>
  </r>
  <r>
    <x v="0"/>
    <s v="Egypt"/>
    <x v="14"/>
    <x v="70"/>
    <x v="70"/>
    <m/>
    <m/>
    <s v="Break 15 Morning"/>
    <d v="1899-12-30T16:45:00"/>
    <d v="1899-12-30T17:00:00"/>
    <n v="0"/>
    <x v="1"/>
  </r>
  <r>
    <x v="0"/>
    <s v="Egypt"/>
    <x v="14"/>
    <x v="70"/>
    <x v="70"/>
    <m/>
    <m/>
    <s v="Break 30 Morning"/>
    <d v="1899-12-30T20:15:00"/>
    <d v="1899-12-30T20:45:00"/>
    <n v="0"/>
    <x v="1"/>
  </r>
  <r>
    <x v="0"/>
    <s v="Egypt"/>
    <x v="14"/>
    <x v="70"/>
    <x v="70"/>
    <d v="2025-06-03T00:00:00"/>
    <d v="1899-12-30T08:15:00"/>
    <s v="Non Telecom"/>
    <d v="1899-12-30T15:00:00"/>
    <d v="1899-12-30T23:15:00"/>
    <n v="29700"/>
    <x v="0"/>
  </r>
  <r>
    <x v="0"/>
    <s v="Egypt"/>
    <x v="14"/>
    <x v="70"/>
    <x v="70"/>
    <m/>
    <m/>
    <s v="Break 15 Morning"/>
    <d v="1899-12-30T17:00:00"/>
    <d v="1899-12-30T17:15:00"/>
    <n v="0"/>
    <x v="1"/>
  </r>
  <r>
    <x v="0"/>
    <s v="Egypt"/>
    <x v="14"/>
    <x v="70"/>
    <x v="70"/>
    <m/>
    <m/>
    <s v="Break 30 Morning"/>
    <d v="1899-12-30T19:45:00"/>
    <d v="1899-12-30T20:15:00"/>
    <n v="0"/>
    <x v="1"/>
  </r>
  <r>
    <x v="0"/>
    <s v="Egypt"/>
    <x v="14"/>
    <x v="70"/>
    <x v="70"/>
    <d v="2025-06-04T00:00:00"/>
    <m/>
    <s v="Day Off"/>
    <m/>
    <m/>
    <n v="0"/>
    <x v="1"/>
  </r>
  <r>
    <x v="0"/>
    <s v="Egypt"/>
    <x v="14"/>
    <x v="70"/>
    <x v="70"/>
    <d v="2025-06-05T00:00:00"/>
    <m/>
    <s v="Day Off"/>
    <m/>
    <m/>
    <n v="0"/>
    <x v="1"/>
  </r>
  <r>
    <x v="0"/>
    <s v="Egypt"/>
    <x v="14"/>
    <x v="70"/>
    <x v="70"/>
    <d v="2025-06-06T00:00:00"/>
    <d v="1899-12-30T08:15:00"/>
    <s v="Annual"/>
    <m/>
    <m/>
    <n v="29700"/>
    <x v="1"/>
  </r>
  <r>
    <x v="0"/>
    <s v="Egypt"/>
    <x v="14"/>
    <x v="70"/>
    <x v="70"/>
    <d v="2025-06-07T00:00:00"/>
    <d v="1899-12-30T08:15:00"/>
    <s v="Non Telecom"/>
    <d v="1899-12-30T18:00:00"/>
    <s v="+2:15 AM"/>
    <n v="29700"/>
    <x v="0"/>
  </r>
  <r>
    <x v="0"/>
    <s v="Egypt"/>
    <x v="14"/>
    <x v="70"/>
    <x v="70"/>
    <m/>
    <m/>
    <s v="Break 15 Night"/>
    <d v="1899-12-30T20:15:00"/>
    <d v="1899-12-30T20:30:00"/>
    <n v="0"/>
    <x v="1"/>
  </r>
  <r>
    <x v="0"/>
    <s v="Egypt"/>
    <x v="14"/>
    <x v="70"/>
    <x v="70"/>
    <m/>
    <m/>
    <s v="Break 30 Night"/>
    <d v="1899-12-30T23:00:00"/>
    <d v="1899-12-30T23:30:00"/>
    <n v="0"/>
    <x v="1"/>
  </r>
  <r>
    <x v="0"/>
    <s v="Egypt"/>
    <x v="14"/>
    <x v="70"/>
    <x v="70"/>
    <d v="2025-06-08T00:00:00"/>
    <m/>
    <s v="Day Off"/>
    <m/>
    <m/>
    <n v="0"/>
    <x v="1"/>
  </r>
  <r>
    <x v="0"/>
    <s v="Egypt"/>
    <x v="14"/>
    <x v="70"/>
    <x v="70"/>
    <d v="2025-06-09T00:00:00"/>
    <m/>
    <s v="Day Off"/>
    <m/>
    <m/>
    <n v="0"/>
    <x v="1"/>
  </r>
  <r>
    <x v="0"/>
    <s v="Egypt"/>
    <x v="14"/>
    <x v="70"/>
    <x v="70"/>
    <d v="2025-06-10T00:00:00"/>
    <d v="1899-12-30T08:15:00"/>
    <s v="Support Training"/>
    <m/>
    <m/>
    <n v="29700"/>
    <x v="1"/>
  </r>
  <r>
    <x v="0"/>
    <s v="Egypt"/>
    <x v="14"/>
    <x v="70"/>
    <x v="70"/>
    <d v="2025-06-11T00:00:00"/>
    <d v="1899-12-30T08:15:00"/>
    <s v="Support Training"/>
    <m/>
    <m/>
    <n v="29700"/>
    <x v="1"/>
  </r>
  <r>
    <x v="0"/>
    <s v="Egypt"/>
    <x v="14"/>
    <x v="70"/>
    <x v="70"/>
    <d v="2025-06-12T00:00:00"/>
    <d v="1899-12-30T08:15:00"/>
    <s v="Support Training"/>
    <m/>
    <m/>
    <n v="29700"/>
    <x v="1"/>
  </r>
  <r>
    <x v="0"/>
    <s v="Egypt"/>
    <x v="14"/>
    <x v="70"/>
    <x v="70"/>
    <d v="2025-06-13T00:00:00"/>
    <d v="1899-12-30T08:15:00"/>
    <s v="Support Training"/>
    <m/>
    <m/>
    <n v="29700"/>
    <x v="1"/>
  </r>
  <r>
    <x v="0"/>
    <s v="Egypt"/>
    <x v="14"/>
    <x v="70"/>
    <x v="70"/>
    <d v="2025-06-14T00:00:00"/>
    <d v="1899-12-30T08:15:00"/>
    <s v="Support Training"/>
    <m/>
    <m/>
    <n v="29700"/>
    <x v="1"/>
  </r>
  <r>
    <x v="0"/>
    <s v="Egypt"/>
    <x v="14"/>
    <x v="70"/>
    <x v="70"/>
    <d v="2025-06-15T00:00:00"/>
    <d v="1899-12-30T08:15:00"/>
    <s v="Support Training"/>
    <m/>
    <m/>
    <n v="29700"/>
    <x v="1"/>
  </r>
  <r>
    <x v="0"/>
    <s v="Egypt"/>
    <x v="14"/>
    <x v="70"/>
    <x v="70"/>
    <d v="2025-06-16T00:00:00"/>
    <d v="1899-12-30T08:15:00"/>
    <s v="Annual Exception"/>
    <m/>
    <m/>
    <n v="29700"/>
    <x v="1"/>
  </r>
  <r>
    <x v="0"/>
    <s v="Egypt"/>
    <x v="14"/>
    <x v="70"/>
    <x v="70"/>
    <d v="2025-06-17T00:00:00"/>
    <m/>
    <s v="Day Off"/>
    <m/>
    <m/>
    <n v="0"/>
    <x v="1"/>
  </r>
  <r>
    <x v="0"/>
    <s v="Egypt"/>
    <x v="14"/>
    <x v="70"/>
    <x v="70"/>
    <d v="2025-06-18T00:00:00"/>
    <m/>
    <s v="Day Off"/>
    <m/>
    <m/>
    <n v="0"/>
    <x v="1"/>
  </r>
  <r>
    <x v="0"/>
    <s v="Egypt"/>
    <x v="14"/>
    <x v="70"/>
    <x v="70"/>
    <d v="2025-06-19T00:00:00"/>
    <d v="1899-12-30T08:15:00"/>
    <s v="Non Telecom"/>
    <d v="1899-12-30T20:00:00"/>
    <s v="+4:15 AM"/>
    <n v="29700"/>
    <x v="0"/>
  </r>
  <r>
    <x v="0"/>
    <s v="Egypt"/>
    <x v="14"/>
    <x v="70"/>
    <x v="70"/>
    <m/>
    <m/>
    <s v="Break 15 Night"/>
    <d v="1899-12-30T23:00:00"/>
    <d v="1899-12-30T23:15:00"/>
    <n v="0"/>
    <x v="1"/>
  </r>
  <r>
    <x v="0"/>
    <s v="Egypt"/>
    <x v="14"/>
    <x v="70"/>
    <x v="70"/>
    <m/>
    <m/>
    <s v="Break 30 Night"/>
    <s v="+2:00 AM"/>
    <s v="+2:30 AM"/>
    <n v="0"/>
    <x v="1"/>
  </r>
  <r>
    <x v="0"/>
    <s v="Egypt"/>
    <x v="14"/>
    <x v="70"/>
    <x v="70"/>
    <d v="2025-06-20T00:00:00"/>
    <d v="1899-12-30T08:15:00"/>
    <s v="Non Telecom"/>
    <d v="1899-12-30T20:00:00"/>
    <s v="+4:15 AM"/>
    <n v="29700"/>
    <x v="0"/>
  </r>
  <r>
    <x v="0"/>
    <s v="Egypt"/>
    <x v="14"/>
    <x v="70"/>
    <x v="70"/>
    <m/>
    <m/>
    <s v="Break 15 Night"/>
    <d v="1899-12-30T22:30:00"/>
    <d v="1899-12-30T22:45:00"/>
    <n v="0"/>
    <x v="1"/>
  </r>
  <r>
    <x v="0"/>
    <s v="Egypt"/>
    <x v="14"/>
    <x v="70"/>
    <x v="70"/>
    <m/>
    <m/>
    <s v="Break 30 Night"/>
    <s v="+1:15 AM"/>
    <s v="+1:45 AM"/>
    <n v="0"/>
    <x v="1"/>
  </r>
  <r>
    <x v="0"/>
    <s v="Egypt"/>
    <x v="14"/>
    <x v="70"/>
    <x v="70"/>
    <d v="2025-06-21T00:00:00"/>
    <d v="1899-12-30T08:15:00"/>
    <s v="Non Telecom"/>
    <d v="1899-12-30T20:00:00"/>
    <s v="+4:15 AM"/>
    <n v="29700"/>
    <x v="0"/>
  </r>
  <r>
    <x v="0"/>
    <s v="Egypt"/>
    <x v="14"/>
    <x v="70"/>
    <x v="70"/>
    <m/>
    <m/>
    <s v="Break 15 Night"/>
    <d v="1899-12-30T22:15:00"/>
    <d v="1899-12-30T22:30:00"/>
    <n v="0"/>
    <x v="1"/>
  </r>
  <r>
    <x v="0"/>
    <s v="Egypt"/>
    <x v="14"/>
    <x v="70"/>
    <x v="70"/>
    <m/>
    <m/>
    <s v="Break 30 Night"/>
    <s v="+1:30 AM"/>
    <s v="+2:00 AM"/>
    <n v="0"/>
    <x v="1"/>
  </r>
  <r>
    <x v="0"/>
    <s v="Egypt"/>
    <x v="14"/>
    <x v="70"/>
    <x v="70"/>
    <d v="2025-06-22T00:00:00"/>
    <d v="1899-12-30T08:15:00"/>
    <s v="Non Telecom"/>
    <d v="1899-12-30T21:00:00"/>
    <s v="+5:15 AM"/>
    <n v="29700"/>
    <x v="0"/>
  </r>
  <r>
    <x v="0"/>
    <s v="Egypt"/>
    <x v="14"/>
    <x v="70"/>
    <x v="70"/>
    <m/>
    <m/>
    <s v="Break 15 Night"/>
    <d v="1899-12-30T22:45:00"/>
    <d v="1899-12-30T23:00:00"/>
    <n v="0"/>
    <x v="1"/>
  </r>
  <r>
    <x v="0"/>
    <s v="Egypt"/>
    <x v="14"/>
    <x v="70"/>
    <x v="70"/>
    <m/>
    <m/>
    <s v="Break 30 Night"/>
    <s v="+1:15 AM"/>
    <s v="+1:45 AM"/>
    <n v="0"/>
    <x v="1"/>
  </r>
  <r>
    <x v="0"/>
    <s v="Egypt"/>
    <x v="14"/>
    <x v="70"/>
    <x v="70"/>
    <d v="2025-06-23T00:00:00"/>
    <m/>
    <s v="Day Off"/>
    <m/>
    <m/>
    <n v="0"/>
    <x v="1"/>
  </r>
  <r>
    <x v="0"/>
    <s v="Egypt"/>
    <x v="14"/>
    <x v="70"/>
    <x v="70"/>
    <d v="2025-06-24T00:00:00"/>
    <m/>
    <s v="Day Off"/>
    <m/>
    <m/>
    <n v="0"/>
    <x v="1"/>
  </r>
  <r>
    <x v="0"/>
    <s v="Egypt"/>
    <x v="14"/>
    <x v="70"/>
    <x v="70"/>
    <d v="2025-06-25T00:00:00"/>
    <d v="1899-12-30T08:15:00"/>
    <s v="Non Telecom"/>
    <d v="1899-12-30T09:00:00"/>
    <d v="1899-12-30T17:15:00"/>
    <n v="29700"/>
    <x v="0"/>
  </r>
  <r>
    <x v="0"/>
    <s v="Egypt"/>
    <x v="14"/>
    <x v="70"/>
    <x v="70"/>
    <m/>
    <m/>
    <s v="Break 15 Morning"/>
    <d v="1899-12-30T10:45:00"/>
    <d v="1899-12-30T11:00:00"/>
    <n v="0"/>
    <x v="1"/>
  </r>
  <r>
    <x v="0"/>
    <s v="Egypt"/>
    <x v="14"/>
    <x v="70"/>
    <x v="70"/>
    <m/>
    <m/>
    <s v="Break 30 Morning"/>
    <d v="1899-12-30T13:45:00"/>
    <d v="1899-12-30T14:15:00"/>
    <n v="0"/>
    <x v="1"/>
  </r>
  <r>
    <x v="0"/>
    <s v="Egypt"/>
    <x v="14"/>
    <x v="70"/>
    <x v="70"/>
    <d v="2025-06-26T00:00:00"/>
    <d v="1899-12-30T08:15:00"/>
    <s v="Non Telecom"/>
    <d v="1899-12-30T09:00:00"/>
    <d v="1899-12-30T17:15:00"/>
    <n v="29700"/>
    <x v="0"/>
  </r>
  <r>
    <x v="0"/>
    <s v="Egypt"/>
    <x v="14"/>
    <x v="70"/>
    <x v="70"/>
    <m/>
    <m/>
    <s v="Break 15 Morning"/>
    <d v="1899-12-30T11:00:00"/>
    <d v="1899-12-30T11:15:00"/>
    <n v="0"/>
    <x v="1"/>
  </r>
  <r>
    <x v="0"/>
    <s v="Egypt"/>
    <x v="14"/>
    <x v="70"/>
    <x v="70"/>
    <m/>
    <m/>
    <s v="Break 30 Morning"/>
    <d v="1899-12-30T14:15:00"/>
    <d v="1899-12-30T14:45:00"/>
    <n v="0"/>
    <x v="1"/>
  </r>
  <r>
    <x v="0"/>
    <s v="Egypt"/>
    <x v="14"/>
    <x v="70"/>
    <x v="70"/>
    <d v="2025-06-27T00:00:00"/>
    <d v="1899-12-30T08:15:00"/>
    <s v="Non Telecom"/>
    <d v="1899-12-30T09:00:00"/>
    <d v="1899-12-30T17:15:00"/>
    <n v="29700"/>
    <x v="0"/>
  </r>
  <r>
    <x v="0"/>
    <s v="Egypt"/>
    <x v="14"/>
    <x v="70"/>
    <x v="70"/>
    <m/>
    <m/>
    <s v="Break 15 Morning"/>
    <d v="1899-12-30T11:00:00"/>
    <d v="1899-12-30T11:15:00"/>
    <n v="0"/>
    <x v="1"/>
  </r>
  <r>
    <x v="0"/>
    <s v="Egypt"/>
    <x v="14"/>
    <x v="70"/>
    <x v="70"/>
    <m/>
    <m/>
    <s v="Friday Pray"/>
    <d v="1899-12-30T12:55:00"/>
    <d v="1899-12-30T14:00:00"/>
    <n v="0"/>
    <x v="1"/>
  </r>
  <r>
    <x v="0"/>
    <s v="Egypt"/>
    <x v="14"/>
    <x v="70"/>
    <x v="70"/>
    <m/>
    <m/>
    <s v="Break 30 Morning"/>
    <d v="1899-12-30T14:15:00"/>
    <d v="1899-12-30T14:45:00"/>
    <n v="0"/>
    <x v="1"/>
  </r>
  <r>
    <x v="0"/>
    <s v="Egypt"/>
    <x v="14"/>
    <x v="70"/>
    <x v="70"/>
    <d v="2025-06-28T00:00:00"/>
    <d v="1899-12-30T08:15:00"/>
    <s v="Non Telecom"/>
    <d v="1899-12-30T09:00:00"/>
    <d v="1899-12-30T17:15:00"/>
    <n v="29700"/>
    <x v="0"/>
  </r>
  <r>
    <x v="0"/>
    <s v="Egypt"/>
    <x v="14"/>
    <x v="70"/>
    <x v="70"/>
    <m/>
    <m/>
    <s v="Break 15 Morning"/>
    <d v="1899-12-30T11:00:00"/>
    <d v="1899-12-30T11:15:00"/>
    <n v="0"/>
    <x v="1"/>
  </r>
  <r>
    <x v="0"/>
    <s v="Egypt"/>
    <x v="14"/>
    <x v="70"/>
    <x v="70"/>
    <m/>
    <m/>
    <s v="Break 30 Morning"/>
    <d v="1899-12-30T14:15:00"/>
    <d v="1899-12-30T14:45:00"/>
    <n v="0"/>
    <x v="1"/>
  </r>
  <r>
    <x v="0"/>
    <s v="Egypt"/>
    <x v="14"/>
    <x v="70"/>
    <x v="70"/>
    <d v="2025-06-29T00:00:00"/>
    <m/>
    <s v="Day Off"/>
    <m/>
    <m/>
    <n v="0"/>
    <x v="1"/>
  </r>
  <r>
    <x v="0"/>
    <s v="Egypt"/>
    <x v="14"/>
    <x v="70"/>
    <x v="70"/>
    <d v="2025-06-30T00:00:00"/>
    <d v="1899-12-30T08:15:00"/>
    <s v="Non Telecom"/>
    <d v="1899-12-30T09:00:00"/>
    <d v="1899-12-30T17:15:00"/>
    <n v="29700"/>
    <x v="0"/>
  </r>
  <r>
    <x v="0"/>
    <s v="Egypt"/>
    <x v="14"/>
    <x v="70"/>
    <x v="70"/>
    <m/>
    <m/>
    <s v="Break 15 Morning"/>
    <d v="1899-12-30T11:00:00"/>
    <d v="1899-12-30T11:15:00"/>
    <n v="0"/>
    <x v="1"/>
  </r>
  <r>
    <x v="0"/>
    <s v="Egypt"/>
    <x v="14"/>
    <x v="70"/>
    <x v="70"/>
    <m/>
    <m/>
    <s v="Break 30 Morning"/>
    <d v="1899-12-30T13:45:00"/>
    <d v="1899-12-30T14:15:00"/>
    <n v="0"/>
    <x v="1"/>
  </r>
  <r>
    <x v="0"/>
    <s v="Egypt"/>
    <x v="14"/>
    <x v="71"/>
    <x v="71"/>
    <d v="2025-06-01T00:00:00"/>
    <d v="1899-12-30T08:15:00"/>
    <s v="Support Training"/>
    <m/>
    <m/>
    <n v="29700"/>
    <x v="1"/>
  </r>
  <r>
    <x v="0"/>
    <s v="Egypt"/>
    <x v="14"/>
    <x v="71"/>
    <x v="71"/>
    <d v="2025-06-02T00:00:00"/>
    <d v="1899-12-30T08:15:00"/>
    <s v="Support Training"/>
    <m/>
    <m/>
    <n v="29700"/>
    <x v="1"/>
  </r>
  <r>
    <x v="0"/>
    <s v="Egypt"/>
    <x v="14"/>
    <x v="71"/>
    <x v="71"/>
    <d v="2025-06-03T00:00:00"/>
    <d v="1899-12-30T08:15:00"/>
    <s v="Support Training"/>
    <m/>
    <m/>
    <n v="29700"/>
    <x v="1"/>
  </r>
  <r>
    <x v="0"/>
    <s v="Egypt"/>
    <x v="14"/>
    <x v="71"/>
    <x v="71"/>
    <d v="2025-06-04T00:00:00"/>
    <d v="1899-12-30T08:15:00"/>
    <s v="Support Training"/>
    <m/>
    <m/>
    <n v="29700"/>
    <x v="1"/>
  </r>
  <r>
    <x v="0"/>
    <s v="Egypt"/>
    <x v="14"/>
    <x v="71"/>
    <x v="71"/>
    <d v="2025-06-05T00:00:00"/>
    <d v="1899-12-30T08:15:00"/>
    <s v="Support Training"/>
    <m/>
    <m/>
    <n v="29700"/>
    <x v="1"/>
  </r>
  <r>
    <x v="0"/>
    <s v="Egypt"/>
    <x v="14"/>
    <x v="71"/>
    <x v="71"/>
    <d v="2025-06-06T00:00:00"/>
    <m/>
    <s v="Day Off"/>
    <m/>
    <m/>
    <n v="0"/>
    <x v="1"/>
  </r>
  <r>
    <x v="0"/>
    <s v="Egypt"/>
    <x v="14"/>
    <x v="71"/>
    <x v="71"/>
    <d v="2025-06-07T00:00:00"/>
    <m/>
    <s v="Day Off"/>
    <m/>
    <m/>
    <n v="0"/>
    <x v="1"/>
  </r>
  <r>
    <x v="0"/>
    <s v="Egypt"/>
    <x v="14"/>
    <x v="71"/>
    <x v="71"/>
    <d v="2025-06-08T00:00:00"/>
    <d v="1899-12-30T08:15:00"/>
    <s v="Support Training"/>
    <m/>
    <m/>
    <n v="29700"/>
    <x v="1"/>
  </r>
  <r>
    <x v="0"/>
    <s v="Egypt"/>
    <x v="14"/>
    <x v="71"/>
    <x v="71"/>
    <d v="2025-06-09T00:00:00"/>
    <d v="1899-12-30T08:15:00"/>
    <s v="Support Training"/>
    <m/>
    <m/>
    <n v="29700"/>
    <x v="1"/>
  </r>
  <r>
    <x v="0"/>
    <s v="Egypt"/>
    <x v="14"/>
    <x v="71"/>
    <x v="71"/>
    <d v="2025-06-10T00:00:00"/>
    <m/>
    <s v="Day Off"/>
    <m/>
    <m/>
    <n v="0"/>
    <x v="1"/>
  </r>
  <r>
    <x v="0"/>
    <s v="Egypt"/>
    <x v="14"/>
    <x v="71"/>
    <x v="71"/>
    <d v="2025-06-11T00:00:00"/>
    <d v="1899-12-30T08:15:00"/>
    <s v="Support Training"/>
    <m/>
    <m/>
    <n v="29700"/>
    <x v="1"/>
  </r>
  <r>
    <x v="0"/>
    <s v="Egypt"/>
    <x v="14"/>
    <x v="71"/>
    <x v="71"/>
    <d v="2025-06-12T00:00:00"/>
    <d v="1899-12-30T08:15:00"/>
    <s v="Support Training"/>
    <m/>
    <m/>
    <n v="29700"/>
    <x v="1"/>
  </r>
  <r>
    <x v="0"/>
    <s v="Egypt"/>
    <x v="14"/>
    <x v="71"/>
    <x v="71"/>
    <d v="2025-06-13T00:00:00"/>
    <d v="1899-12-30T08:15:00"/>
    <s v="Support Training"/>
    <m/>
    <m/>
    <n v="29700"/>
    <x v="1"/>
  </r>
  <r>
    <x v="0"/>
    <s v="Egypt"/>
    <x v="14"/>
    <x v="71"/>
    <x v="71"/>
    <d v="2025-06-14T00:00:00"/>
    <m/>
    <s v="Day Off"/>
    <m/>
    <m/>
    <n v="0"/>
    <x v="1"/>
  </r>
  <r>
    <x v="0"/>
    <s v="Egypt"/>
    <x v="14"/>
    <x v="71"/>
    <x v="71"/>
    <d v="2025-06-15T00:00:00"/>
    <d v="1899-12-30T08:15:00"/>
    <s v="Non Telecom"/>
    <d v="1899-12-30T21:00:00"/>
    <s v="+5:15 AM"/>
    <n v="29700"/>
    <x v="0"/>
  </r>
  <r>
    <x v="0"/>
    <s v="Egypt"/>
    <x v="14"/>
    <x v="71"/>
    <x v="71"/>
    <m/>
    <m/>
    <s v="Break 15 Night"/>
    <d v="1899-12-30T23:00:00"/>
    <d v="1899-12-30T23:15:00"/>
    <n v="0"/>
    <x v="1"/>
  </r>
  <r>
    <x v="0"/>
    <s v="Egypt"/>
    <x v="14"/>
    <x v="71"/>
    <x v="71"/>
    <m/>
    <m/>
    <s v="Break 30 Night"/>
    <s v="+1:15 AM"/>
    <s v="+1:45 AM"/>
    <n v="0"/>
    <x v="1"/>
  </r>
  <r>
    <x v="0"/>
    <s v="Egypt"/>
    <x v="14"/>
    <x v="71"/>
    <x v="71"/>
    <d v="2025-06-16T00:00:00"/>
    <d v="1899-12-30T08:15:00"/>
    <s v="Non Telecom"/>
    <d v="1899-12-30T21:00:00"/>
    <s v="+5:15 AM"/>
    <n v="29700"/>
    <x v="0"/>
  </r>
  <r>
    <x v="0"/>
    <s v="Egypt"/>
    <x v="14"/>
    <x v="71"/>
    <x v="71"/>
    <m/>
    <m/>
    <s v="Break 15 Night"/>
    <d v="1899-12-30T22:45:00"/>
    <d v="1899-12-30T23:00:00"/>
    <n v="0"/>
    <x v="1"/>
  </r>
  <r>
    <x v="0"/>
    <s v="Egypt"/>
    <x v="14"/>
    <x v="71"/>
    <x v="71"/>
    <m/>
    <m/>
    <s v="Break 30 Night"/>
    <s v="+1:30 AM"/>
    <s v="+2:00 AM"/>
    <n v="0"/>
    <x v="1"/>
  </r>
  <r>
    <x v="0"/>
    <s v="Egypt"/>
    <x v="14"/>
    <x v="71"/>
    <x v="71"/>
    <d v="2025-06-17T00:00:00"/>
    <d v="1899-12-30T08:15:00"/>
    <s v="Non Telecom"/>
    <d v="1899-12-30T21:00:00"/>
    <s v="+5:15 AM"/>
    <n v="29700"/>
    <x v="0"/>
  </r>
  <r>
    <x v="0"/>
    <s v="Egypt"/>
    <x v="14"/>
    <x v="71"/>
    <x v="71"/>
    <m/>
    <m/>
    <s v="Break 15 Night"/>
    <d v="1899-12-30T22:45:00"/>
    <d v="1899-12-30T23:00:00"/>
    <n v="0"/>
    <x v="1"/>
  </r>
  <r>
    <x v="0"/>
    <s v="Egypt"/>
    <x v="14"/>
    <x v="71"/>
    <x v="71"/>
    <m/>
    <m/>
    <s v="Break 30 Night"/>
    <s v="+1:30 AM"/>
    <s v="+2:00 AM"/>
    <n v="0"/>
    <x v="1"/>
  </r>
  <r>
    <x v="0"/>
    <s v="Egypt"/>
    <x v="14"/>
    <x v="71"/>
    <x v="71"/>
    <d v="2025-06-18T00:00:00"/>
    <m/>
    <s v="Day Off"/>
    <m/>
    <m/>
    <n v="0"/>
    <x v="1"/>
  </r>
  <r>
    <x v="0"/>
    <s v="Egypt"/>
    <x v="14"/>
    <x v="71"/>
    <x v="71"/>
    <d v="2025-06-19T00:00:00"/>
    <m/>
    <s v="Day Off"/>
    <m/>
    <m/>
    <n v="0"/>
    <x v="1"/>
  </r>
  <r>
    <x v="0"/>
    <s v="Egypt"/>
    <x v="14"/>
    <x v="71"/>
    <x v="71"/>
    <d v="2025-06-20T00:00:00"/>
    <m/>
    <s v="Day Off"/>
    <m/>
    <m/>
    <n v="0"/>
    <x v="1"/>
  </r>
  <r>
    <x v="0"/>
    <s v="Egypt"/>
    <x v="14"/>
    <x v="71"/>
    <x v="71"/>
    <d v="2025-06-21T00:00:00"/>
    <d v="1899-12-30T08:15:00"/>
    <s v="Annual Exception"/>
    <m/>
    <m/>
    <n v="29700"/>
    <x v="1"/>
  </r>
  <r>
    <x v="0"/>
    <s v="Egypt"/>
    <x v="14"/>
    <x v="71"/>
    <x v="71"/>
    <d v="2025-06-22T00:00:00"/>
    <d v="1899-12-30T08:15:00"/>
    <s v="Annual Exception"/>
    <m/>
    <m/>
    <n v="29700"/>
    <x v="1"/>
  </r>
  <r>
    <x v="0"/>
    <s v="Egypt"/>
    <x v="14"/>
    <x v="71"/>
    <x v="71"/>
    <d v="2025-06-23T00:00:00"/>
    <d v="1899-12-30T08:15:00"/>
    <s v="Annual Exception"/>
    <m/>
    <m/>
    <n v="29700"/>
    <x v="1"/>
  </r>
  <r>
    <x v="0"/>
    <s v="Egypt"/>
    <x v="14"/>
    <x v="71"/>
    <x v="71"/>
    <d v="2025-06-24T00:00:00"/>
    <m/>
    <s v="Day Off"/>
    <m/>
    <m/>
    <n v="0"/>
    <x v="1"/>
  </r>
  <r>
    <x v="0"/>
    <s v="Egypt"/>
    <x v="14"/>
    <x v="71"/>
    <x v="71"/>
    <d v="2025-06-25T00:00:00"/>
    <d v="1899-12-30T08:15:00"/>
    <s v="Annual Exception"/>
    <m/>
    <m/>
    <n v="29700"/>
    <x v="1"/>
  </r>
  <r>
    <x v="0"/>
    <s v="Egypt"/>
    <x v="14"/>
    <x v="71"/>
    <x v="71"/>
    <d v="2025-06-26T00:00:00"/>
    <d v="1899-12-30T08:15:00"/>
    <s v="Non Telecom"/>
    <d v="1899-12-30T21:00:00"/>
    <s v="+5:15 AM"/>
    <n v="29700"/>
    <x v="0"/>
  </r>
  <r>
    <x v="0"/>
    <s v="Egypt"/>
    <x v="14"/>
    <x v="71"/>
    <x v="71"/>
    <m/>
    <m/>
    <s v="Break 15 Night"/>
    <d v="1899-12-30T22:45:00"/>
    <d v="1899-12-30T23:00:00"/>
    <n v="0"/>
    <x v="1"/>
  </r>
  <r>
    <x v="0"/>
    <s v="Egypt"/>
    <x v="14"/>
    <x v="71"/>
    <x v="71"/>
    <m/>
    <m/>
    <s v="Break 30 Night"/>
    <s v="+2:00 AM"/>
    <s v="+2:30 AM"/>
    <n v="0"/>
    <x v="1"/>
  </r>
  <r>
    <x v="0"/>
    <s v="Egypt"/>
    <x v="14"/>
    <x v="71"/>
    <x v="71"/>
    <d v="2025-06-27T00:00:00"/>
    <d v="1899-12-30T08:15:00"/>
    <s v="Annual Exception"/>
    <m/>
    <m/>
    <n v="29700"/>
    <x v="1"/>
  </r>
  <r>
    <x v="0"/>
    <s v="Egypt"/>
    <x v="14"/>
    <x v="71"/>
    <x v="71"/>
    <d v="2025-06-28T00:00:00"/>
    <d v="1899-12-30T08:15:00"/>
    <s v="Annual Exception"/>
    <m/>
    <m/>
    <n v="29700"/>
    <x v="1"/>
  </r>
  <r>
    <x v="0"/>
    <s v="Egypt"/>
    <x v="14"/>
    <x v="71"/>
    <x v="71"/>
    <d v="2025-06-29T00:00:00"/>
    <m/>
    <s v="Day Off"/>
    <m/>
    <m/>
    <n v="0"/>
    <x v="1"/>
  </r>
  <r>
    <x v="0"/>
    <s v="Egypt"/>
    <x v="14"/>
    <x v="71"/>
    <x v="71"/>
    <d v="2025-06-30T00:00:00"/>
    <m/>
    <s v="Day Off"/>
    <m/>
    <m/>
    <n v="0"/>
    <x v="1"/>
  </r>
  <r>
    <x v="0"/>
    <s v="Egypt"/>
    <x v="14"/>
    <x v="72"/>
    <x v="72"/>
    <d v="2025-06-01T00:00:00"/>
    <d v="1899-12-30T08:15:00"/>
    <s v="Support Training"/>
    <m/>
    <m/>
    <n v="29700"/>
    <x v="1"/>
  </r>
  <r>
    <x v="0"/>
    <s v="Egypt"/>
    <x v="14"/>
    <x v="72"/>
    <x v="72"/>
    <d v="2025-06-02T00:00:00"/>
    <d v="1899-12-30T08:15:00"/>
    <s v="Support Training"/>
    <m/>
    <m/>
    <n v="29700"/>
    <x v="1"/>
  </r>
  <r>
    <x v="0"/>
    <s v="Egypt"/>
    <x v="14"/>
    <x v="72"/>
    <x v="72"/>
    <d v="2025-06-03T00:00:00"/>
    <d v="1899-12-30T08:15:00"/>
    <s v="Support Training"/>
    <m/>
    <m/>
    <n v="29700"/>
    <x v="1"/>
  </r>
  <r>
    <x v="0"/>
    <s v="Egypt"/>
    <x v="14"/>
    <x v="72"/>
    <x v="72"/>
    <d v="2025-06-04T00:00:00"/>
    <d v="1899-12-30T08:15:00"/>
    <s v="Support Training"/>
    <m/>
    <m/>
    <n v="29700"/>
    <x v="1"/>
  </r>
  <r>
    <x v="0"/>
    <s v="Egypt"/>
    <x v="14"/>
    <x v="72"/>
    <x v="72"/>
    <d v="2025-06-05T00:00:00"/>
    <d v="1899-12-30T08:15:00"/>
    <s v="Support Training"/>
    <m/>
    <m/>
    <n v="29700"/>
    <x v="1"/>
  </r>
  <r>
    <x v="0"/>
    <s v="Egypt"/>
    <x v="14"/>
    <x v="72"/>
    <x v="72"/>
    <d v="2025-06-06T00:00:00"/>
    <m/>
    <s v="Day Off"/>
    <m/>
    <m/>
    <n v="0"/>
    <x v="1"/>
  </r>
  <r>
    <x v="0"/>
    <s v="Egypt"/>
    <x v="14"/>
    <x v="72"/>
    <x v="72"/>
    <d v="2025-06-07T00:00:00"/>
    <m/>
    <s v="Day Off"/>
    <m/>
    <m/>
    <n v="0"/>
    <x v="1"/>
  </r>
  <r>
    <x v="0"/>
    <s v="Egypt"/>
    <x v="14"/>
    <x v="72"/>
    <x v="72"/>
    <d v="2025-06-08T00:00:00"/>
    <d v="1899-12-30T08:15:00"/>
    <s v="Non Telecom"/>
    <d v="1899-12-30T18:00:00"/>
    <s v="+2:15 AM"/>
    <n v="29700"/>
    <x v="0"/>
  </r>
  <r>
    <x v="0"/>
    <s v="Egypt"/>
    <x v="14"/>
    <x v="72"/>
    <x v="72"/>
    <m/>
    <m/>
    <s v="Break 15 Night"/>
    <d v="1899-12-30T20:15:00"/>
    <d v="1899-12-30T20:30:00"/>
    <n v="0"/>
    <x v="1"/>
  </r>
  <r>
    <x v="0"/>
    <s v="Egypt"/>
    <x v="14"/>
    <x v="72"/>
    <x v="72"/>
    <m/>
    <m/>
    <s v="Break 30 Night"/>
    <d v="1899-12-30T23:15:00"/>
    <d v="1899-12-30T23:45:00"/>
    <n v="0"/>
    <x v="1"/>
  </r>
  <r>
    <x v="0"/>
    <s v="Egypt"/>
    <x v="14"/>
    <x v="72"/>
    <x v="72"/>
    <d v="2025-06-09T00:00:00"/>
    <d v="1899-12-30T08:15:00"/>
    <s v="Non Telecom"/>
    <d v="1899-12-30T18:00:00"/>
    <s v="+2:15 AM"/>
    <n v="29700"/>
    <x v="0"/>
  </r>
  <r>
    <x v="0"/>
    <s v="Egypt"/>
    <x v="14"/>
    <x v="72"/>
    <x v="72"/>
    <m/>
    <m/>
    <s v="Break 15 Night"/>
    <d v="1899-12-30T20:00:00"/>
    <d v="1899-12-30T20:15:00"/>
    <n v="0"/>
    <x v="1"/>
  </r>
  <r>
    <x v="0"/>
    <s v="Egypt"/>
    <x v="14"/>
    <x v="72"/>
    <x v="72"/>
    <m/>
    <m/>
    <s v="Break 30 Night"/>
    <d v="1899-12-30T23:15:00"/>
    <d v="1899-12-30T23:45:00"/>
    <n v="0"/>
    <x v="1"/>
  </r>
  <r>
    <x v="0"/>
    <s v="Egypt"/>
    <x v="14"/>
    <x v="72"/>
    <x v="72"/>
    <d v="2025-06-10T00:00:00"/>
    <d v="1899-12-30T08:15:00"/>
    <s v="Non Telecom"/>
    <d v="1899-12-30T18:00:00"/>
    <s v="+2:15 AM"/>
    <n v="29700"/>
    <x v="0"/>
  </r>
  <r>
    <x v="0"/>
    <s v="Egypt"/>
    <x v="14"/>
    <x v="72"/>
    <x v="72"/>
    <m/>
    <m/>
    <s v="Break 15 Night"/>
    <d v="1899-12-30T20:15:00"/>
    <d v="1899-12-30T20:30:00"/>
    <n v="0"/>
    <x v="1"/>
  </r>
  <r>
    <x v="0"/>
    <s v="Egypt"/>
    <x v="14"/>
    <x v="72"/>
    <x v="72"/>
    <m/>
    <m/>
    <s v="Break 30 Night"/>
    <d v="1899-12-30T23:30:00"/>
    <s v="+12:00 AM"/>
    <n v="0"/>
    <x v="1"/>
  </r>
  <r>
    <x v="0"/>
    <s v="Egypt"/>
    <x v="14"/>
    <x v="72"/>
    <x v="72"/>
    <d v="2025-06-11T00:00:00"/>
    <m/>
    <s v="Day Off"/>
    <m/>
    <m/>
    <n v="0"/>
    <x v="1"/>
  </r>
  <r>
    <x v="0"/>
    <s v="Egypt"/>
    <x v="14"/>
    <x v="72"/>
    <x v="72"/>
    <d v="2025-06-12T00:00:00"/>
    <m/>
    <s v="Day Off"/>
    <m/>
    <m/>
    <n v="0"/>
    <x v="1"/>
  </r>
  <r>
    <x v="0"/>
    <s v="Egypt"/>
    <x v="14"/>
    <x v="72"/>
    <x v="72"/>
    <d v="2025-06-13T00:00:00"/>
    <d v="1899-12-30T08:15:00"/>
    <s v="Non Telecom"/>
    <d v="1899-12-30T16:15:00"/>
    <s v="+12:30 AM"/>
    <n v="29700"/>
    <x v="0"/>
  </r>
  <r>
    <x v="0"/>
    <s v="Egypt"/>
    <x v="14"/>
    <x v="72"/>
    <x v="72"/>
    <m/>
    <m/>
    <s v="Break 15 Night"/>
    <d v="1899-12-30T18:00:00"/>
    <d v="1899-12-30T18:15:00"/>
    <n v="0"/>
    <x v="1"/>
  </r>
  <r>
    <x v="0"/>
    <s v="Egypt"/>
    <x v="14"/>
    <x v="72"/>
    <x v="72"/>
    <m/>
    <m/>
    <s v="Break 30 Night"/>
    <d v="1899-12-30T20:30:00"/>
    <d v="1899-12-30T21:00:00"/>
    <n v="0"/>
    <x v="1"/>
  </r>
  <r>
    <x v="0"/>
    <s v="Egypt"/>
    <x v="14"/>
    <x v="72"/>
    <x v="72"/>
    <d v="2025-06-14T00:00:00"/>
    <d v="1899-12-30T10:15:00"/>
    <s v="Non Telecom"/>
    <d v="1899-12-30T17:15:00"/>
    <s v="+3:30 AM"/>
    <n v="36900"/>
    <x v="0"/>
  </r>
  <r>
    <x v="0"/>
    <s v="Egypt"/>
    <x v="14"/>
    <x v="72"/>
    <x v="72"/>
    <m/>
    <m/>
    <s v="Break 15 Night"/>
    <d v="1899-12-30T19:00:00"/>
    <d v="1899-12-30T19:15:00"/>
    <n v="0"/>
    <x v="1"/>
  </r>
  <r>
    <x v="0"/>
    <s v="Egypt"/>
    <x v="14"/>
    <x v="72"/>
    <x v="72"/>
    <m/>
    <m/>
    <s v="Break 30 Night"/>
    <d v="1899-12-30T22:00:00"/>
    <d v="1899-12-30T22:30:00"/>
    <n v="0"/>
    <x v="1"/>
  </r>
  <r>
    <x v="0"/>
    <s v="Egypt"/>
    <x v="14"/>
    <x v="72"/>
    <x v="72"/>
    <m/>
    <m/>
    <s v="Shift Move"/>
    <s v="+1:30 AM"/>
    <s v="+3:30 AM"/>
    <n v="0"/>
    <x v="1"/>
  </r>
  <r>
    <x v="0"/>
    <s v="Egypt"/>
    <x v="14"/>
    <x v="72"/>
    <x v="72"/>
    <d v="2025-06-15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1:45 AM"/>
    <s v="+2:15 AM"/>
    <n v="0"/>
    <x v="1"/>
  </r>
  <r>
    <x v="0"/>
    <s v="Egypt"/>
    <x v="14"/>
    <x v="72"/>
    <x v="72"/>
    <d v="2025-06-16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1:30 AM"/>
    <s v="+2:00 AM"/>
    <n v="0"/>
    <x v="1"/>
  </r>
  <r>
    <x v="0"/>
    <s v="Egypt"/>
    <x v="14"/>
    <x v="72"/>
    <x v="72"/>
    <d v="2025-06-17T00:00:00"/>
    <m/>
    <s v="Day Off"/>
    <m/>
    <m/>
    <n v="0"/>
    <x v="1"/>
  </r>
  <r>
    <x v="0"/>
    <s v="Egypt"/>
    <x v="14"/>
    <x v="72"/>
    <x v="72"/>
    <d v="2025-06-18T00:00:00"/>
    <m/>
    <s v="Day Off"/>
    <m/>
    <m/>
    <n v="0"/>
    <x v="1"/>
  </r>
  <r>
    <x v="0"/>
    <s v="Egypt"/>
    <x v="14"/>
    <x v="72"/>
    <x v="72"/>
    <d v="2025-06-19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15:00"/>
    <d v="1899-12-30T23:30:00"/>
    <n v="0"/>
    <x v="1"/>
  </r>
  <r>
    <x v="0"/>
    <s v="Egypt"/>
    <x v="14"/>
    <x v="72"/>
    <x v="72"/>
    <m/>
    <m/>
    <s v="Break 30 Night"/>
    <s v="+2:00 AM"/>
    <s v="+2:30 AM"/>
    <n v="0"/>
    <x v="1"/>
  </r>
  <r>
    <x v="0"/>
    <s v="Egypt"/>
    <x v="14"/>
    <x v="72"/>
    <x v="72"/>
    <d v="2025-06-20T00:00:00"/>
    <d v="1899-12-30T08:15:00"/>
    <s v="Non Telecom"/>
    <d v="1899-12-30T11:00:00"/>
    <d v="1899-12-30T19:15:00"/>
    <n v="29700"/>
    <x v="0"/>
  </r>
  <r>
    <x v="0"/>
    <s v="Egypt"/>
    <x v="14"/>
    <x v="72"/>
    <x v="72"/>
    <m/>
    <m/>
    <s v="Friday Prayer"/>
    <d v="1899-12-30T12:55:00"/>
    <d v="1899-12-30T13:40:00"/>
    <n v="0"/>
    <x v="1"/>
  </r>
  <r>
    <x v="0"/>
    <s v="Egypt"/>
    <x v="14"/>
    <x v="72"/>
    <x v="72"/>
    <m/>
    <m/>
    <s v="Break 15 Morning"/>
    <d v="1899-12-30T14:00:00"/>
    <d v="1899-12-30T14:15:00"/>
    <n v="0"/>
    <x v="1"/>
  </r>
  <r>
    <x v="0"/>
    <s v="Egypt"/>
    <x v="14"/>
    <x v="72"/>
    <x v="72"/>
    <m/>
    <m/>
    <s v="Break 30 Morning"/>
    <d v="1899-12-30T16:15:00"/>
    <d v="1899-12-30T16:45:00"/>
    <n v="0"/>
    <x v="1"/>
  </r>
  <r>
    <x v="0"/>
    <s v="Egypt"/>
    <x v="14"/>
    <x v="72"/>
    <x v="72"/>
    <d v="2025-06-21T00:00:00"/>
    <d v="1899-12-30T08:15:00"/>
    <s v="Non Telecom"/>
    <d v="1899-12-30T19:00:00"/>
    <s v="+3:15 AM"/>
    <n v="29700"/>
    <x v="0"/>
  </r>
  <r>
    <x v="0"/>
    <s v="Egypt"/>
    <x v="14"/>
    <x v="72"/>
    <x v="72"/>
    <m/>
    <m/>
    <s v="Break 15 Night"/>
    <d v="1899-12-30T21:00:00"/>
    <d v="1899-12-30T21:15:00"/>
    <n v="0"/>
    <x v="1"/>
  </r>
  <r>
    <x v="0"/>
    <s v="Egypt"/>
    <x v="14"/>
    <x v="72"/>
    <x v="72"/>
    <m/>
    <m/>
    <s v="Break 30 Night"/>
    <s v="+12:30 AM"/>
    <s v="+1:00 AM"/>
    <n v="0"/>
    <x v="1"/>
  </r>
  <r>
    <x v="0"/>
    <s v="Egypt"/>
    <x v="14"/>
    <x v="72"/>
    <x v="72"/>
    <d v="2025-06-22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1:45 AM"/>
    <s v="+2:15 AM"/>
    <n v="0"/>
    <x v="1"/>
  </r>
  <r>
    <x v="0"/>
    <s v="Egypt"/>
    <x v="14"/>
    <x v="72"/>
    <x v="72"/>
    <d v="2025-06-23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Morning"/>
    <d v="1899-12-30T22:45:00"/>
    <d v="1899-12-30T23:00:00"/>
    <n v="0"/>
    <x v="1"/>
  </r>
  <r>
    <x v="0"/>
    <s v="Egypt"/>
    <x v="14"/>
    <x v="72"/>
    <x v="72"/>
    <m/>
    <m/>
    <s v="Break 30 Morning"/>
    <s v="+1:45 AM"/>
    <s v="+2:15 AM"/>
    <n v="0"/>
    <x v="1"/>
  </r>
  <r>
    <x v="0"/>
    <s v="Egypt"/>
    <x v="14"/>
    <x v="72"/>
    <x v="72"/>
    <d v="2025-06-24T00:00:00"/>
    <m/>
    <s v="Day Off"/>
    <m/>
    <m/>
    <n v="0"/>
    <x v="1"/>
  </r>
  <r>
    <x v="0"/>
    <s v="Egypt"/>
    <x v="14"/>
    <x v="72"/>
    <x v="72"/>
    <d v="2025-06-25T00:00:00"/>
    <m/>
    <s v="Day Off"/>
    <m/>
    <m/>
    <n v="0"/>
    <x v="1"/>
  </r>
  <r>
    <x v="0"/>
    <s v="Egypt"/>
    <x v="14"/>
    <x v="72"/>
    <x v="72"/>
    <d v="2025-06-26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2:00 AM"/>
    <s v="+2:30 AM"/>
    <n v="0"/>
    <x v="1"/>
  </r>
  <r>
    <x v="0"/>
    <s v="Egypt"/>
    <x v="14"/>
    <x v="72"/>
    <x v="72"/>
    <d v="2025-06-27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1:45 AM"/>
    <s v="+2:15 AM"/>
    <n v="0"/>
    <x v="1"/>
  </r>
  <r>
    <x v="0"/>
    <s v="Egypt"/>
    <x v="14"/>
    <x v="72"/>
    <x v="72"/>
    <d v="2025-06-28T00:00:00"/>
    <d v="1899-12-30T08:15:00"/>
    <s v="Annual Exception"/>
    <m/>
    <m/>
    <n v="29700"/>
    <x v="1"/>
  </r>
  <r>
    <x v="0"/>
    <s v="Egypt"/>
    <x v="14"/>
    <x v="72"/>
    <x v="72"/>
    <d v="2025-06-29T00:00:00"/>
    <d v="1899-12-30T08:15:00"/>
    <s v="Non Telecom"/>
    <d v="1899-12-30T21:00:00"/>
    <s v="+5:15 AM"/>
    <n v="29700"/>
    <x v="0"/>
  </r>
  <r>
    <x v="0"/>
    <s v="Egypt"/>
    <x v="14"/>
    <x v="72"/>
    <x v="72"/>
    <m/>
    <m/>
    <s v="Break 15 Night"/>
    <d v="1899-12-30T23:00:00"/>
    <d v="1899-12-30T23:15:00"/>
    <n v="0"/>
    <x v="1"/>
  </r>
  <r>
    <x v="0"/>
    <s v="Egypt"/>
    <x v="14"/>
    <x v="72"/>
    <x v="72"/>
    <m/>
    <m/>
    <s v="Break 30 Night"/>
    <s v="+2:00 AM"/>
    <s v="+2:30 AM"/>
    <n v="0"/>
    <x v="1"/>
  </r>
  <r>
    <x v="0"/>
    <s v="Egypt"/>
    <x v="14"/>
    <x v="72"/>
    <x v="72"/>
    <d v="2025-06-30T00:00:00"/>
    <m/>
    <s v="Day Off"/>
    <m/>
    <m/>
    <n v="0"/>
    <x v="1"/>
  </r>
  <r>
    <x v="0"/>
    <s v="Egypt"/>
    <x v="14"/>
    <x v="73"/>
    <x v="73"/>
    <d v="2025-06-01T00:00:00"/>
    <d v="1899-12-30T08:15:00"/>
    <s v="Annual Exception"/>
    <m/>
    <m/>
    <n v="29700"/>
    <x v="1"/>
  </r>
  <r>
    <x v="0"/>
    <s v="Egypt"/>
    <x v="14"/>
    <x v="73"/>
    <x v="73"/>
    <d v="2025-06-02T00:00:00"/>
    <d v="1899-12-30T08:15:00"/>
    <s v="Non Telecom"/>
    <d v="1899-12-30T18:00:00"/>
    <s v="+2:15 AM"/>
    <n v="29700"/>
    <x v="0"/>
  </r>
  <r>
    <x v="0"/>
    <s v="Egypt"/>
    <x v="14"/>
    <x v="73"/>
    <x v="73"/>
    <m/>
    <m/>
    <s v="Break 15 Night"/>
    <d v="1899-12-30T20:30:00"/>
    <d v="1899-12-30T20:45:00"/>
    <n v="0"/>
    <x v="1"/>
  </r>
  <r>
    <x v="0"/>
    <s v="Egypt"/>
    <x v="14"/>
    <x v="73"/>
    <x v="73"/>
    <m/>
    <m/>
    <s v="Break 30 Night"/>
    <d v="1899-12-30T23:45:00"/>
    <s v="+12:15 AM"/>
    <n v="0"/>
    <x v="1"/>
  </r>
  <r>
    <x v="0"/>
    <s v="Egypt"/>
    <x v="14"/>
    <x v="73"/>
    <x v="73"/>
    <d v="2025-06-03T00:00:00"/>
    <d v="1899-12-30T08:15:00"/>
    <s v="Non Telecom"/>
    <d v="1899-12-30T18:00:00"/>
    <s v="+2:15 AM"/>
    <n v="29700"/>
    <x v="0"/>
  </r>
  <r>
    <x v="0"/>
    <s v="Egypt"/>
    <x v="14"/>
    <x v="73"/>
    <x v="73"/>
    <m/>
    <m/>
    <s v="Break 15 Night"/>
    <d v="1899-12-30T21:15:00"/>
    <d v="1899-12-30T21:30:00"/>
    <n v="0"/>
    <x v="1"/>
  </r>
  <r>
    <x v="0"/>
    <s v="Egypt"/>
    <x v="14"/>
    <x v="73"/>
    <x v="73"/>
    <m/>
    <m/>
    <s v="Break 30 Night"/>
    <s v="+12:15 AM"/>
    <s v="+12:45 AM"/>
    <n v="0"/>
    <x v="1"/>
  </r>
  <r>
    <x v="0"/>
    <s v="Egypt"/>
    <x v="14"/>
    <x v="73"/>
    <x v="73"/>
    <d v="2025-06-04T00:00:00"/>
    <d v="1899-12-30T08:15:00"/>
    <s v="Non Telecom"/>
    <d v="1899-12-30T18:00:00"/>
    <s v="+2:15 AM"/>
    <n v="29700"/>
    <x v="0"/>
  </r>
  <r>
    <x v="0"/>
    <s v="Egypt"/>
    <x v="14"/>
    <x v="73"/>
    <x v="73"/>
    <m/>
    <m/>
    <s v="Break 15 Night"/>
    <d v="1899-12-30T20:45:00"/>
    <d v="1899-12-30T21:00:00"/>
    <n v="0"/>
    <x v="1"/>
  </r>
  <r>
    <x v="0"/>
    <s v="Egypt"/>
    <x v="14"/>
    <x v="73"/>
    <x v="73"/>
    <m/>
    <m/>
    <s v="Break 30 Night"/>
    <s v="+12:00 AM"/>
    <s v="+12:30 AM"/>
    <n v="0"/>
    <x v="1"/>
  </r>
  <r>
    <x v="0"/>
    <s v="Egypt"/>
    <x v="14"/>
    <x v="73"/>
    <x v="73"/>
    <d v="2025-06-05T00:00:00"/>
    <m/>
    <s v="Day Off"/>
    <m/>
    <m/>
    <n v="0"/>
    <x v="1"/>
  </r>
  <r>
    <x v="0"/>
    <s v="Egypt"/>
    <x v="14"/>
    <x v="73"/>
    <x v="73"/>
    <d v="2025-06-06T00:00:00"/>
    <m/>
    <s v="Day Off"/>
    <m/>
    <m/>
    <n v="0"/>
    <x v="1"/>
  </r>
  <r>
    <x v="0"/>
    <s v="Egypt"/>
    <x v="14"/>
    <x v="73"/>
    <x v="73"/>
    <d v="2025-06-07T00:00:00"/>
    <d v="1899-12-30T08:15:00"/>
    <s v="Non Telecom"/>
    <d v="1899-12-30T19:15:00"/>
    <s v="+3:30 AM"/>
    <n v="29700"/>
    <x v="0"/>
  </r>
  <r>
    <x v="0"/>
    <s v="Egypt"/>
    <x v="14"/>
    <x v="73"/>
    <x v="73"/>
    <m/>
    <m/>
    <s v="Break 15 Night"/>
    <d v="1899-12-30T20:15:00"/>
    <d v="1899-12-30T20:30:00"/>
    <n v="0"/>
    <x v="1"/>
  </r>
  <r>
    <x v="0"/>
    <s v="Egypt"/>
    <x v="14"/>
    <x v="73"/>
    <x v="73"/>
    <m/>
    <m/>
    <s v="Break 30 Night"/>
    <d v="1899-12-30T23:15:00"/>
    <d v="1899-12-30T23:45:00"/>
    <n v="0"/>
    <x v="1"/>
  </r>
  <r>
    <x v="0"/>
    <s v="Egypt"/>
    <x v="14"/>
    <x v="73"/>
    <x v="73"/>
    <d v="2025-06-08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2:45:00"/>
    <d v="1899-12-30T23:00:00"/>
    <n v="0"/>
    <x v="1"/>
  </r>
  <r>
    <x v="0"/>
    <s v="Egypt"/>
    <x v="14"/>
    <x v="73"/>
    <x v="73"/>
    <m/>
    <m/>
    <s v="Break 30 Night"/>
    <s v="+1:45 AM"/>
    <s v="+2:15 AM"/>
    <n v="0"/>
    <x v="1"/>
  </r>
  <r>
    <x v="0"/>
    <s v="Egypt"/>
    <x v="14"/>
    <x v="73"/>
    <x v="73"/>
    <d v="2025-06-09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2:30:00"/>
    <d v="1899-12-30T22:45:00"/>
    <n v="0"/>
    <x v="1"/>
  </r>
  <r>
    <x v="0"/>
    <s v="Egypt"/>
    <x v="14"/>
    <x v="73"/>
    <x v="73"/>
    <m/>
    <m/>
    <s v="Break 30 Night"/>
    <s v="+1:45 AM"/>
    <s v="+2:15 AM"/>
    <n v="0"/>
    <x v="1"/>
  </r>
  <r>
    <x v="0"/>
    <s v="Egypt"/>
    <x v="14"/>
    <x v="73"/>
    <x v="73"/>
    <d v="2025-06-10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2:30:00"/>
    <d v="1899-12-30T22:45:00"/>
    <n v="0"/>
    <x v="1"/>
  </r>
  <r>
    <x v="0"/>
    <s v="Egypt"/>
    <x v="14"/>
    <x v="73"/>
    <x v="73"/>
    <m/>
    <m/>
    <s v="Break 30 Night"/>
    <s v="+2:00 AM"/>
    <s v="+2:30 AM"/>
    <n v="0"/>
    <x v="1"/>
  </r>
  <r>
    <x v="0"/>
    <s v="Egypt"/>
    <x v="14"/>
    <x v="73"/>
    <x v="73"/>
    <d v="2025-06-11T00:00:00"/>
    <m/>
    <s v="Day Off"/>
    <m/>
    <m/>
    <n v="0"/>
    <x v="1"/>
  </r>
  <r>
    <x v="0"/>
    <s v="Egypt"/>
    <x v="14"/>
    <x v="73"/>
    <x v="73"/>
    <d v="2025-06-12T00:00:00"/>
    <m/>
    <s v="Day Off"/>
    <m/>
    <m/>
    <n v="0"/>
    <x v="1"/>
  </r>
  <r>
    <x v="0"/>
    <s v="Egypt"/>
    <x v="14"/>
    <x v="73"/>
    <x v="73"/>
    <d v="2025-06-13T00:00:00"/>
    <d v="1899-12-30T08:15:00"/>
    <s v="Non Telecom"/>
    <d v="1899-12-30T17:15:00"/>
    <s v="+1:30 AM"/>
    <n v="29700"/>
    <x v="0"/>
  </r>
  <r>
    <x v="0"/>
    <s v="Egypt"/>
    <x v="14"/>
    <x v="73"/>
    <x v="73"/>
    <m/>
    <m/>
    <s v="Break 15 Night"/>
    <d v="1899-12-30T18:45:00"/>
    <d v="1899-12-30T19:00:00"/>
    <n v="0"/>
    <x v="1"/>
  </r>
  <r>
    <x v="0"/>
    <s v="Egypt"/>
    <x v="14"/>
    <x v="73"/>
    <x v="73"/>
    <m/>
    <m/>
    <s v="Break 30 Night"/>
    <d v="1899-12-30T21:30:00"/>
    <d v="1899-12-30T22:00:00"/>
    <n v="0"/>
    <x v="1"/>
  </r>
  <r>
    <x v="0"/>
    <s v="Egypt"/>
    <x v="14"/>
    <x v="73"/>
    <x v="73"/>
    <d v="2025-06-14T00:00:00"/>
    <d v="1899-12-30T08:15:00"/>
    <s v="Non Telecom"/>
    <d v="1899-12-30T19:15:00"/>
    <s v="+3:30 AM"/>
    <n v="29700"/>
    <x v="0"/>
  </r>
  <r>
    <x v="0"/>
    <s v="Egypt"/>
    <x v="14"/>
    <x v="73"/>
    <x v="73"/>
    <m/>
    <m/>
    <s v="Break 15 Night"/>
    <d v="1899-12-30T22:00:00"/>
    <d v="1899-12-30T22:15:00"/>
    <n v="0"/>
    <x v="1"/>
  </r>
  <r>
    <x v="0"/>
    <s v="Egypt"/>
    <x v="14"/>
    <x v="73"/>
    <x v="73"/>
    <m/>
    <m/>
    <s v="Break 30 Night"/>
    <s v="+12:15 AM"/>
    <s v="+12:45 AM"/>
    <n v="0"/>
    <x v="1"/>
  </r>
  <r>
    <x v="0"/>
    <s v="Egypt"/>
    <x v="14"/>
    <x v="73"/>
    <x v="73"/>
    <d v="2025-06-15T00:00:00"/>
    <m/>
    <s v="Day Off"/>
    <m/>
    <m/>
    <n v="0"/>
    <x v="1"/>
  </r>
  <r>
    <x v="0"/>
    <s v="Egypt"/>
    <x v="14"/>
    <x v="73"/>
    <x v="73"/>
    <d v="2025-06-16T00:00:00"/>
    <m/>
    <s v="Day Off"/>
    <m/>
    <m/>
    <n v="0"/>
    <x v="1"/>
  </r>
  <r>
    <x v="0"/>
    <s v="Egypt"/>
    <x v="14"/>
    <x v="73"/>
    <x v="73"/>
    <d v="2025-06-17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3:15:00"/>
    <d v="1899-12-30T23:30:00"/>
    <n v="0"/>
    <x v="1"/>
  </r>
  <r>
    <x v="0"/>
    <s v="Egypt"/>
    <x v="14"/>
    <x v="73"/>
    <x v="73"/>
    <m/>
    <m/>
    <s v="Break 30 Night"/>
    <s v="+2:30 AM"/>
    <s v="+3:00 AM"/>
    <n v="0"/>
    <x v="1"/>
  </r>
  <r>
    <x v="0"/>
    <s v="Egypt"/>
    <x v="14"/>
    <x v="73"/>
    <x v="73"/>
    <d v="2025-06-18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3:00:00"/>
    <d v="1899-12-30T23:15:00"/>
    <n v="0"/>
    <x v="1"/>
  </r>
  <r>
    <x v="0"/>
    <s v="Egypt"/>
    <x v="14"/>
    <x v="73"/>
    <x v="73"/>
    <m/>
    <m/>
    <s v="Break 30 Night"/>
    <s v="+1:45 AM"/>
    <s v="+2:15 AM"/>
    <n v="0"/>
    <x v="1"/>
  </r>
  <r>
    <x v="0"/>
    <s v="Egypt"/>
    <x v="14"/>
    <x v="73"/>
    <x v="73"/>
    <d v="2025-06-19T00:00:00"/>
    <d v="1899-12-30T08:15:00"/>
    <s v="Non Telecom"/>
    <d v="1899-12-30T10:00:00"/>
    <d v="1899-12-30T18:15:00"/>
    <n v="29700"/>
    <x v="0"/>
  </r>
  <r>
    <x v="0"/>
    <s v="Egypt"/>
    <x v="14"/>
    <x v="73"/>
    <x v="73"/>
    <m/>
    <m/>
    <s v="Break 15 Morning"/>
    <d v="1899-12-30T12:45:00"/>
    <d v="1899-12-30T13:00:00"/>
    <n v="0"/>
    <x v="1"/>
  </r>
  <r>
    <x v="0"/>
    <s v="Egypt"/>
    <x v="14"/>
    <x v="73"/>
    <x v="73"/>
    <m/>
    <m/>
    <s v="Break 30 Morning"/>
    <d v="1899-12-30T15:45:00"/>
    <d v="1899-12-30T16:15:00"/>
    <n v="0"/>
    <x v="1"/>
  </r>
  <r>
    <x v="0"/>
    <s v="Egypt"/>
    <x v="14"/>
    <x v="73"/>
    <x v="73"/>
    <d v="2025-06-20T00:00:00"/>
    <d v="1899-12-30T08:15:00"/>
    <s v="Non Telecom"/>
    <d v="1899-12-30T15:00:00"/>
    <d v="1899-12-30T23:15:00"/>
    <n v="29700"/>
    <x v="0"/>
  </r>
  <r>
    <x v="0"/>
    <s v="Egypt"/>
    <x v="14"/>
    <x v="73"/>
    <x v="73"/>
    <m/>
    <m/>
    <s v="Break 15 Morning"/>
    <d v="1899-12-30T17:30:00"/>
    <d v="1899-12-30T17:45:00"/>
    <n v="0"/>
    <x v="1"/>
  </r>
  <r>
    <x v="0"/>
    <s v="Egypt"/>
    <x v="14"/>
    <x v="73"/>
    <x v="73"/>
    <m/>
    <m/>
    <s v="Break 30 Morning"/>
    <d v="1899-12-30T20:15:00"/>
    <d v="1899-12-30T20:45:00"/>
    <n v="0"/>
    <x v="1"/>
  </r>
  <r>
    <x v="0"/>
    <s v="Egypt"/>
    <x v="14"/>
    <x v="73"/>
    <x v="73"/>
    <d v="2025-06-21T00:00:00"/>
    <d v="1899-12-30T08:15:00"/>
    <s v="Annual Exception"/>
    <m/>
    <m/>
    <n v="29700"/>
    <x v="1"/>
  </r>
  <r>
    <x v="0"/>
    <s v="Egypt"/>
    <x v="14"/>
    <x v="73"/>
    <x v="73"/>
    <d v="2025-06-22T00:00:00"/>
    <d v="1899-12-30T13:00:00"/>
    <s v="Non Telecom"/>
    <d v="1899-12-30T16:15:00"/>
    <s v="+5:15 AM"/>
    <n v="46799.999999999993"/>
    <x v="0"/>
  </r>
  <r>
    <x v="0"/>
    <s v="Egypt"/>
    <x v="14"/>
    <x v="73"/>
    <x v="73"/>
    <m/>
    <m/>
    <s v="Break 15 Night"/>
    <d v="1899-12-30T19:30:00"/>
    <d v="1899-12-30T19:45:00"/>
    <n v="0"/>
    <x v="1"/>
  </r>
  <r>
    <x v="0"/>
    <s v="Egypt"/>
    <x v="14"/>
    <x v="73"/>
    <x v="73"/>
    <m/>
    <m/>
    <s v="Break 30 Night"/>
    <d v="1899-12-30T21:30:00"/>
    <d v="1899-12-30T22:00:00"/>
    <n v="0"/>
    <x v="1"/>
  </r>
  <r>
    <x v="0"/>
    <s v="Egypt"/>
    <x v="14"/>
    <x v="73"/>
    <x v="73"/>
    <m/>
    <m/>
    <s v="Shift Move"/>
    <s v="+12:30 AM"/>
    <s v="+5:15 AM"/>
    <n v="0"/>
    <x v="1"/>
  </r>
  <r>
    <x v="0"/>
    <s v="Egypt"/>
    <x v="14"/>
    <x v="73"/>
    <x v="73"/>
    <d v="2025-06-23T00:00:00"/>
    <d v="1899-12-30T12:00:00"/>
    <s v="Non Telecom"/>
    <d v="1899-12-30T17:15:00"/>
    <s v="+5:15 AM"/>
    <n v="43200"/>
    <x v="0"/>
  </r>
  <r>
    <x v="0"/>
    <s v="Egypt"/>
    <x v="14"/>
    <x v="73"/>
    <x v="73"/>
    <m/>
    <m/>
    <s v="Break 15 Night"/>
    <d v="1899-12-30T20:15:00"/>
    <d v="1899-12-30T20:30:00"/>
    <n v="0"/>
    <x v="1"/>
  </r>
  <r>
    <x v="0"/>
    <s v="Egypt"/>
    <x v="14"/>
    <x v="73"/>
    <x v="73"/>
    <m/>
    <m/>
    <s v="Break 30 Night"/>
    <d v="1899-12-30T22:30:00"/>
    <d v="1899-12-30T23:00:00"/>
    <n v="0"/>
    <x v="1"/>
  </r>
  <r>
    <x v="0"/>
    <s v="Egypt"/>
    <x v="14"/>
    <x v="73"/>
    <x v="73"/>
    <m/>
    <m/>
    <s v="Shift Move"/>
    <s v="+1:30 AM"/>
    <s v="+5:15 AM"/>
    <n v="0"/>
    <x v="1"/>
  </r>
  <r>
    <x v="0"/>
    <s v="Egypt"/>
    <x v="14"/>
    <x v="73"/>
    <x v="73"/>
    <d v="2025-06-24T00:00:00"/>
    <m/>
    <s v="Day Off"/>
    <m/>
    <m/>
    <n v="0"/>
    <x v="1"/>
  </r>
  <r>
    <x v="0"/>
    <s v="Egypt"/>
    <x v="14"/>
    <x v="73"/>
    <x v="73"/>
    <d v="2025-06-25T00:00:00"/>
    <m/>
    <s v="Day Off"/>
    <m/>
    <m/>
    <n v="0"/>
    <x v="1"/>
  </r>
  <r>
    <x v="0"/>
    <s v="Egypt"/>
    <x v="14"/>
    <x v="73"/>
    <x v="73"/>
    <d v="2025-06-26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3:30:00"/>
    <d v="1899-12-30T23:45:00"/>
    <n v="0"/>
    <x v="1"/>
  </r>
  <r>
    <x v="0"/>
    <s v="Egypt"/>
    <x v="14"/>
    <x v="73"/>
    <x v="73"/>
    <m/>
    <m/>
    <s v="Break 30 Night"/>
    <s v="+2:30 AM"/>
    <s v="+3:00 AM"/>
    <n v="0"/>
    <x v="1"/>
  </r>
  <r>
    <x v="0"/>
    <s v="Egypt"/>
    <x v="14"/>
    <x v="73"/>
    <x v="73"/>
    <d v="2025-06-27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3:15:00"/>
    <d v="1899-12-30T23:30:00"/>
    <n v="0"/>
    <x v="1"/>
  </r>
  <r>
    <x v="0"/>
    <s v="Egypt"/>
    <x v="14"/>
    <x v="73"/>
    <x v="73"/>
    <m/>
    <m/>
    <s v="Break 30 Night"/>
    <s v="+2:15 AM"/>
    <s v="+2:45 AM"/>
    <n v="0"/>
    <x v="1"/>
  </r>
  <r>
    <x v="0"/>
    <s v="Egypt"/>
    <x v="14"/>
    <x v="73"/>
    <x v="73"/>
    <d v="2025-06-28T00:00:00"/>
    <d v="1899-12-30T08:15:00"/>
    <s v="Non Telecom"/>
    <d v="1899-12-30T21:00:00"/>
    <s v="+5:15 AM"/>
    <n v="29700"/>
    <x v="0"/>
  </r>
  <r>
    <x v="0"/>
    <s v="Egypt"/>
    <x v="14"/>
    <x v="73"/>
    <x v="73"/>
    <m/>
    <m/>
    <s v="Break 15 Night"/>
    <d v="1899-12-30T23:15:00"/>
    <d v="1899-12-30T23:30:00"/>
    <n v="0"/>
    <x v="1"/>
  </r>
  <r>
    <x v="0"/>
    <s v="Egypt"/>
    <x v="14"/>
    <x v="73"/>
    <x v="73"/>
    <m/>
    <m/>
    <s v="Break 30 Night"/>
    <s v="+2:30 AM"/>
    <s v="+3:00 AM"/>
    <n v="0"/>
    <x v="1"/>
  </r>
  <r>
    <x v="0"/>
    <s v="Egypt"/>
    <x v="14"/>
    <x v="73"/>
    <x v="73"/>
    <m/>
    <m/>
    <s v="Leave Early"/>
    <s v="+3:15 AM"/>
    <s v="+5:15 AM"/>
    <n v="0"/>
    <x v="1"/>
  </r>
  <r>
    <x v="0"/>
    <s v="Egypt"/>
    <x v="14"/>
    <x v="73"/>
    <x v="73"/>
    <d v="2025-06-29T00:00:00"/>
    <d v="1899-12-30T08:15:00"/>
    <s v="Annual Exception"/>
    <m/>
    <m/>
    <n v="29700"/>
    <x v="1"/>
  </r>
  <r>
    <x v="0"/>
    <s v="Egypt"/>
    <x v="14"/>
    <x v="73"/>
    <x v="73"/>
    <d v="2025-06-30T00:00:00"/>
    <m/>
    <s v="Day Off"/>
    <m/>
    <m/>
    <n v="0"/>
    <x v="1"/>
  </r>
  <r>
    <x v="0"/>
    <s v="Egypt"/>
    <x v="14"/>
    <x v="74"/>
    <x v="74"/>
    <d v="2025-06-01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15:00"/>
    <d v="1899-12-30T18:30:00"/>
    <n v="0"/>
    <x v="1"/>
  </r>
  <r>
    <x v="0"/>
    <s v="Egypt"/>
    <x v="14"/>
    <x v="74"/>
    <x v="74"/>
    <m/>
    <m/>
    <s v="Break 30 Night"/>
    <d v="1899-12-30T21:45:00"/>
    <d v="1899-12-30T22:15:00"/>
    <n v="0"/>
    <x v="1"/>
  </r>
  <r>
    <x v="0"/>
    <s v="Egypt"/>
    <x v="14"/>
    <x v="74"/>
    <x v="74"/>
    <d v="2025-06-02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30:00"/>
    <d v="1899-12-30T18:45:00"/>
    <n v="0"/>
    <x v="1"/>
  </r>
  <r>
    <x v="0"/>
    <s v="Egypt"/>
    <x v="14"/>
    <x v="74"/>
    <x v="74"/>
    <m/>
    <m/>
    <s v="Break 30 Night"/>
    <d v="1899-12-30T21:45:00"/>
    <d v="1899-12-30T22:15:00"/>
    <n v="0"/>
    <x v="1"/>
  </r>
  <r>
    <x v="0"/>
    <s v="Egypt"/>
    <x v="14"/>
    <x v="74"/>
    <x v="74"/>
    <d v="2025-06-03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9:00:00"/>
    <d v="1899-12-30T19:15:00"/>
    <n v="0"/>
    <x v="1"/>
  </r>
  <r>
    <x v="0"/>
    <s v="Egypt"/>
    <x v="14"/>
    <x v="74"/>
    <x v="74"/>
    <m/>
    <m/>
    <s v="Break 30 Night"/>
    <d v="1899-12-30T21:45:00"/>
    <d v="1899-12-30T22:15:00"/>
    <n v="0"/>
    <x v="1"/>
  </r>
  <r>
    <x v="0"/>
    <s v="Egypt"/>
    <x v="14"/>
    <x v="74"/>
    <x v="74"/>
    <d v="2025-06-04T00:00:00"/>
    <m/>
    <s v="Day Off"/>
    <m/>
    <m/>
    <n v="0"/>
    <x v="1"/>
  </r>
  <r>
    <x v="0"/>
    <s v="Egypt"/>
    <x v="14"/>
    <x v="74"/>
    <x v="74"/>
    <d v="2025-06-05T00:00:00"/>
    <m/>
    <s v="Day Off"/>
    <m/>
    <m/>
    <n v="0"/>
    <x v="1"/>
  </r>
  <r>
    <x v="0"/>
    <s v="Egypt"/>
    <x v="14"/>
    <x v="74"/>
    <x v="74"/>
    <d v="2025-06-06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15:00"/>
    <d v="1899-12-30T18:30:00"/>
    <n v="0"/>
    <x v="1"/>
  </r>
  <r>
    <x v="0"/>
    <s v="Egypt"/>
    <x v="14"/>
    <x v="74"/>
    <x v="74"/>
    <m/>
    <m/>
    <s v="Break 30 Night"/>
    <d v="1899-12-30T21:30:00"/>
    <d v="1899-12-30T22:00:00"/>
    <n v="0"/>
    <x v="1"/>
  </r>
  <r>
    <x v="0"/>
    <s v="Egypt"/>
    <x v="14"/>
    <x v="74"/>
    <x v="74"/>
    <d v="2025-06-07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30:00"/>
    <d v="1899-12-30T18:45:00"/>
    <n v="0"/>
    <x v="1"/>
  </r>
  <r>
    <x v="0"/>
    <s v="Egypt"/>
    <x v="14"/>
    <x v="74"/>
    <x v="74"/>
    <m/>
    <m/>
    <s v="Break 30 Night"/>
    <d v="1899-12-30T21:30:00"/>
    <d v="1899-12-30T22:00:00"/>
    <n v="0"/>
    <x v="1"/>
  </r>
  <r>
    <x v="0"/>
    <s v="Egypt"/>
    <x v="14"/>
    <x v="74"/>
    <x v="74"/>
    <d v="2025-06-08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1:30:00"/>
    <d v="1899-12-30T21:45:00"/>
    <n v="0"/>
    <x v="1"/>
  </r>
  <r>
    <x v="0"/>
    <s v="Egypt"/>
    <x v="14"/>
    <x v="74"/>
    <x v="74"/>
    <m/>
    <m/>
    <s v="Break 30 Night"/>
    <s v="+12:45 AM"/>
    <s v="+1:15 AM"/>
    <n v="0"/>
    <x v="1"/>
  </r>
  <r>
    <x v="0"/>
    <s v="Egypt"/>
    <x v="14"/>
    <x v="74"/>
    <x v="74"/>
    <d v="2025-06-09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1:45:00"/>
    <d v="1899-12-30T22:00:00"/>
    <n v="0"/>
    <x v="1"/>
  </r>
  <r>
    <x v="0"/>
    <s v="Egypt"/>
    <x v="14"/>
    <x v="74"/>
    <x v="74"/>
    <m/>
    <m/>
    <s v="Break 30 Night"/>
    <s v="+12:45 AM"/>
    <s v="+1:15 AM"/>
    <n v="0"/>
    <x v="1"/>
  </r>
  <r>
    <x v="0"/>
    <s v="Egypt"/>
    <x v="14"/>
    <x v="74"/>
    <x v="74"/>
    <d v="2025-06-10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00:00"/>
    <d v="1899-12-30T22:15:00"/>
    <n v="0"/>
    <x v="1"/>
  </r>
  <r>
    <x v="0"/>
    <s v="Egypt"/>
    <x v="14"/>
    <x v="74"/>
    <x v="74"/>
    <m/>
    <m/>
    <s v="Break 30 Night"/>
    <s v="+1:00 AM"/>
    <s v="+1:30 AM"/>
    <n v="0"/>
    <x v="1"/>
  </r>
  <r>
    <x v="0"/>
    <s v="Egypt"/>
    <x v="14"/>
    <x v="74"/>
    <x v="74"/>
    <d v="2025-06-11T00:00:00"/>
    <m/>
    <s v="Day Off"/>
    <m/>
    <m/>
    <n v="0"/>
    <x v="1"/>
  </r>
  <r>
    <x v="0"/>
    <s v="Egypt"/>
    <x v="14"/>
    <x v="74"/>
    <x v="74"/>
    <d v="2025-06-12T00:00:00"/>
    <m/>
    <s v="Day Off"/>
    <m/>
    <m/>
    <n v="0"/>
    <x v="1"/>
  </r>
  <r>
    <x v="0"/>
    <s v="Egypt"/>
    <x v="14"/>
    <x v="74"/>
    <x v="74"/>
    <d v="2025-06-13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15:00"/>
    <d v="1899-12-30T18:30:00"/>
    <n v="0"/>
    <x v="1"/>
  </r>
  <r>
    <x v="0"/>
    <s v="Egypt"/>
    <x v="14"/>
    <x v="74"/>
    <x v="74"/>
    <m/>
    <m/>
    <s v="Break 30 Night"/>
    <d v="1899-12-30T21:30:00"/>
    <d v="1899-12-30T22:00:00"/>
    <n v="0"/>
    <x v="1"/>
  </r>
  <r>
    <x v="0"/>
    <s v="Egypt"/>
    <x v="14"/>
    <x v="74"/>
    <x v="74"/>
    <d v="2025-06-14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8:15:00"/>
    <d v="1899-12-30T18:30:00"/>
    <n v="0"/>
    <x v="1"/>
  </r>
  <r>
    <x v="0"/>
    <s v="Egypt"/>
    <x v="14"/>
    <x v="74"/>
    <x v="74"/>
    <m/>
    <m/>
    <s v="Break 30 Night"/>
    <d v="1899-12-30T21:30:00"/>
    <d v="1899-12-30T22:00:00"/>
    <n v="0"/>
    <x v="1"/>
  </r>
  <r>
    <x v="0"/>
    <s v="Egypt"/>
    <x v="14"/>
    <x v="74"/>
    <x v="74"/>
    <d v="2025-06-15T00:00:00"/>
    <d v="1899-12-30T08:15:00"/>
    <s v="Non Telecom"/>
    <d v="1899-12-30T16:15:00"/>
    <s v="+12:30 AM"/>
    <n v="29700"/>
    <x v="0"/>
  </r>
  <r>
    <x v="0"/>
    <s v="Egypt"/>
    <x v="14"/>
    <x v="74"/>
    <x v="74"/>
    <m/>
    <m/>
    <s v="Break 15 Night"/>
    <d v="1899-12-30T19:30:00"/>
    <d v="1899-12-30T19:45:00"/>
    <n v="0"/>
    <x v="1"/>
  </r>
  <r>
    <x v="0"/>
    <s v="Egypt"/>
    <x v="14"/>
    <x v="74"/>
    <x v="74"/>
    <m/>
    <m/>
    <s v="Break 30 Night"/>
    <d v="1899-12-30T21:45:00"/>
    <d v="1899-12-30T22:15:00"/>
    <n v="0"/>
    <x v="1"/>
  </r>
  <r>
    <x v="0"/>
    <s v="Egypt"/>
    <x v="14"/>
    <x v="74"/>
    <x v="74"/>
    <d v="2025-06-16T00:00:00"/>
    <d v="1899-12-30T08:15:00"/>
    <s v="Annual Exception"/>
    <m/>
    <m/>
    <n v="29700"/>
    <x v="1"/>
  </r>
  <r>
    <x v="0"/>
    <s v="Egypt"/>
    <x v="14"/>
    <x v="74"/>
    <x v="74"/>
    <d v="2025-06-17T00:00:00"/>
    <m/>
    <s v="Day Off"/>
    <m/>
    <m/>
    <n v="0"/>
    <x v="1"/>
  </r>
  <r>
    <x v="0"/>
    <s v="Egypt"/>
    <x v="14"/>
    <x v="74"/>
    <x v="74"/>
    <d v="2025-06-18T00:00:00"/>
    <m/>
    <s v="Day Off"/>
    <m/>
    <m/>
    <n v="0"/>
    <x v="1"/>
  </r>
  <r>
    <x v="0"/>
    <s v="Egypt"/>
    <x v="14"/>
    <x v="74"/>
    <x v="74"/>
    <d v="2025-06-19T00:00:00"/>
    <d v="1899-12-30T08:15:00"/>
    <s v="Annual Exception"/>
    <m/>
    <m/>
    <n v="29700"/>
    <x v="1"/>
  </r>
  <r>
    <x v="0"/>
    <s v="Egypt"/>
    <x v="14"/>
    <x v="74"/>
    <x v="74"/>
    <d v="2025-06-20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15:00"/>
    <d v="1899-12-30T22:30:00"/>
    <n v="0"/>
    <x v="1"/>
  </r>
  <r>
    <x v="0"/>
    <s v="Egypt"/>
    <x v="14"/>
    <x v="74"/>
    <x v="74"/>
    <m/>
    <m/>
    <s v="Break 30 Night"/>
    <s v="+1:15 AM"/>
    <s v="+1:45 AM"/>
    <n v="0"/>
    <x v="1"/>
  </r>
  <r>
    <x v="0"/>
    <s v="Egypt"/>
    <x v="14"/>
    <x v="74"/>
    <x v="74"/>
    <d v="2025-06-21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00:00"/>
    <d v="1899-12-30T22:15:00"/>
    <n v="0"/>
    <x v="1"/>
  </r>
  <r>
    <x v="0"/>
    <s v="Egypt"/>
    <x v="14"/>
    <x v="74"/>
    <x v="74"/>
    <m/>
    <m/>
    <s v="Break 30 Night"/>
    <s v="+1:00 AM"/>
    <s v="+1:30 AM"/>
    <n v="0"/>
    <x v="1"/>
  </r>
  <r>
    <x v="0"/>
    <s v="Egypt"/>
    <x v="14"/>
    <x v="74"/>
    <x v="74"/>
    <d v="2025-06-22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15:00"/>
    <d v="1899-12-30T22:30:00"/>
    <n v="0"/>
    <x v="1"/>
  </r>
  <r>
    <x v="0"/>
    <s v="Egypt"/>
    <x v="14"/>
    <x v="74"/>
    <x v="74"/>
    <m/>
    <m/>
    <s v="Break 30 Night"/>
    <s v="+12:45 AM"/>
    <s v="+1:15 AM"/>
    <n v="0"/>
    <x v="1"/>
  </r>
  <r>
    <x v="0"/>
    <s v="Egypt"/>
    <x v="14"/>
    <x v="74"/>
    <x v="74"/>
    <d v="2025-06-23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15:00"/>
    <d v="1899-12-30T22:30:00"/>
    <n v="0"/>
    <x v="1"/>
  </r>
  <r>
    <x v="0"/>
    <s v="Egypt"/>
    <x v="14"/>
    <x v="74"/>
    <x v="74"/>
    <m/>
    <m/>
    <s v="Break 30 Night"/>
    <s v="+1:00 AM"/>
    <s v="+1:30 AM"/>
    <n v="0"/>
    <x v="1"/>
  </r>
  <r>
    <x v="0"/>
    <s v="Egypt"/>
    <x v="14"/>
    <x v="74"/>
    <x v="74"/>
    <d v="2025-06-24T00:00:00"/>
    <m/>
    <s v="Day Off"/>
    <m/>
    <m/>
    <n v="0"/>
    <x v="1"/>
  </r>
  <r>
    <x v="0"/>
    <s v="Egypt"/>
    <x v="14"/>
    <x v="74"/>
    <x v="74"/>
    <d v="2025-06-25T00:00:00"/>
    <m/>
    <s v="Day Off"/>
    <m/>
    <m/>
    <n v="0"/>
    <x v="1"/>
  </r>
  <r>
    <x v="0"/>
    <s v="Egypt"/>
    <x v="14"/>
    <x v="74"/>
    <x v="74"/>
    <d v="2025-06-26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00:00"/>
    <d v="1899-12-30T22:15:00"/>
    <n v="0"/>
    <x v="1"/>
  </r>
  <r>
    <x v="0"/>
    <s v="Egypt"/>
    <x v="14"/>
    <x v="74"/>
    <x v="74"/>
    <m/>
    <m/>
    <s v="Break 30 Night"/>
    <s v="+1:00 AM"/>
    <s v="+1:30 AM"/>
    <n v="0"/>
    <x v="1"/>
  </r>
  <r>
    <x v="0"/>
    <s v="Egypt"/>
    <x v="14"/>
    <x v="74"/>
    <x v="74"/>
    <d v="2025-06-27T00:00:00"/>
    <d v="1899-12-30T08:15:00"/>
    <s v="Non Telecom"/>
    <d v="1899-12-30T19:15:00"/>
    <s v="+3:30 AM"/>
    <n v="29700"/>
    <x v="0"/>
  </r>
  <r>
    <x v="0"/>
    <s v="Egypt"/>
    <x v="14"/>
    <x v="74"/>
    <x v="74"/>
    <m/>
    <m/>
    <s v="Break 15 Night"/>
    <d v="1899-12-30T22:00:00"/>
    <d v="1899-12-30T22:15:00"/>
    <n v="0"/>
    <x v="1"/>
  </r>
  <r>
    <x v="0"/>
    <s v="Egypt"/>
    <x v="14"/>
    <x v="74"/>
    <x v="74"/>
    <m/>
    <m/>
    <s v="Break 30 Night"/>
    <s v="+12:45 AM"/>
    <s v="+1:15 AM"/>
    <n v="0"/>
    <x v="1"/>
  </r>
  <r>
    <x v="0"/>
    <s v="Egypt"/>
    <x v="14"/>
    <x v="74"/>
    <x v="74"/>
    <d v="2025-06-28T00:00:00"/>
    <d v="1899-12-30T08:15:00"/>
    <s v="Annual Exception"/>
    <m/>
    <m/>
    <n v="29700"/>
    <x v="1"/>
  </r>
  <r>
    <x v="0"/>
    <s v="Egypt"/>
    <x v="14"/>
    <x v="74"/>
    <x v="74"/>
    <d v="2025-06-29T00:00:00"/>
    <d v="1899-12-30T08:15:00"/>
    <s v="Non Telecom"/>
    <d v="1899-12-30T21:00:00"/>
    <s v="+5:15 AM"/>
    <n v="29700"/>
    <x v="0"/>
  </r>
  <r>
    <x v="0"/>
    <s v="Egypt"/>
    <x v="14"/>
    <x v="74"/>
    <x v="74"/>
    <m/>
    <m/>
    <s v="Break 15 Night"/>
    <d v="1899-12-30T23:45:00"/>
    <s v="+12:00 AM"/>
    <n v="0"/>
    <x v="1"/>
  </r>
  <r>
    <x v="0"/>
    <s v="Egypt"/>
    <x v="14"/>
    <x v="74"/>
    <x v="74"/>
    <m/>
    <m/>
    <s v="Break 30 Night"/>
    <s v="+3:30 AM"/>
    <s v="+4:00 AM"/>
    <n v="0"/>
    <x v="1"/>
  </r>
  <r>
    <x v="0"/>
    <s v="Egypt"/>
    <x v="14"/>
    <x v="74"/>
    <x v="74"/>
    <d v="2025-06-30T00:00:00"/>
    <m/>
    <s v="Day Off"/>
    <m/>
    <m/>
    <n v="0"/>
    <x v="1"/>
  </r>
  <r>
    <x v="0"/>
    <s v="Egypt"/>
    <x v="15"/>
    <x v="75"/>
    <x v="75"/>
    <d v="2025-06-01T00:00:00"/>
    <d v="1899-12-30T08:15:00"/>
    <s v="Compensation"/>
    <m/>
    <m/>
    <n v="29700"/>
    <x v="1"/>
  </r>
  <r>
    <x v="0"/>
    <s v="Egypt"/>
    <x v="15"/>
    <x v="75"/>
    <x v="75"/>
    <d v="2025-06-02T00:00:00"/>
    <d v="1899-12-30T08:15:00"/>
    <s v="Compensation"/>
    <m/>
    <m/>
    <n v="29700"/>
    <x v="1"/>
  </r>
  <r>
    <x v="0"/>
    <s v="Egypt"/>
    <x v="15"/>
    <x v="75"/>
    <x v="75"/>
    <d v="2025-06-03T00:00:00"/>
    <d v="1899-12-30T08:15:00"/>
    <s v="Compensation"/>
    <m/>
    <m/>
    <n v="29700"/>
    <x v="1"/>
  </r>
  <r>
    <x v="0"/>
    <s v="Egypt"/>
    <x v="15"/>
    <x v="75"/>
    <x v="75"/>
    <d v="2025-06-04T00:00:00"/>
    <d v="1899-12-30T08:15:00"/>
    <s v="Compensation"/>
    <m/>
    <m/>
    <n v="29700"/>
    <x v="1"/>
  </r>
  <r>
    <x v="0"/>
    <s v="Egypt"/>
    <x v="15"/>
    <x v="75"/>
    <x v="75"/>
    <d v="2025-06-05T00:00:00"/>
    <d v="1899-12-30T08:15:00"/>
    <s v="Compensation"/>
    <m/>
    <m/>
    <n v="29700"/>
    <x v="1"/>
  </r>
  <r>
    <x v="0"/>
    <s v="Egypt"/>
    <x v="15"/>
    <x v="75"/>
    <x v="75"/>
    <d v="2025-06-06T00:00:00"/>
    <m/>
    <s v="Day Off"/>
    <m/>
    <m/>
    <n v="0"/>
    <x v="1"/>
  </r>
  <r>
    <x v="0"/>
    <s v="Egypt"/>
    <x v="15"/>
    <x v="75"/>
    <x v="75"/>
    <d v="2025-06-07T00:00:00"/>
    <m/>
    <s v="Day Off"/>
    <m/>
    <m/>
    <n v="0"/>
    <x v="1"/>
  </r>
  <r>
    <x v="0"/>
    <s v="Egypt"/>
    <x v="15"/>
    <x v="75"/>
    <x v="75"/>
    <d v="2025-06-08T00:00:00"/>
    <d v="1899-12-30T08:15:00"/>
    <s v="Planned Training"/>
    <m/>
    <m/>
    <n v="29700"/>
    <x v="1"/>
  </r>
  <r>
    <x v="0"/>
    <s v="Egypt"/>
    <x v="15"/>
    <x v="75"/>
    <x v="75"/>
    <d v="2025-06-09T00:00:00"/>
    <d v="1899-12-30T08:15:00"/>
    <s v="Non Telecom"/>
    <d v="1899-12-30T17:15:00"/>
    <s v="+1:30 AM"/>
    <n v="29700"/>
    <x v="0"/>
  </r>
  <r>
    <x v="0"/>
    <s v="Egypt"/>
    <x v="15"/>
    <x v="75"/>
    <x v="75"/>
    <m/>
    <m/>
    <s v="Break 15 Night"/>
    <d v="1899-12-30T18:15:00"/>
    <d v="1899-12-30T18:30:00"/>
    <n v="0"/>
    <x v="1"/>
  </r>
  <r>
    <x v="0"/>
    <s v="Egypt"/>
    <x v="15"/>
    <x v="75"/>
    <x v="75"/>
    <m/>
    <m/>
    <s v="Break 30 Night"/>
    <d v="1899-12-30T21:15:00"/>
    <d v="1899-12-30T21:45:00"/>
    <n v="0"/>
    <x v="1"/>
  </r>
  <r>
    <x v="0"/>
    <s v="Egypt"/>
    <x v="15"/>
    <x v="75"/>
    <x v="75"/>
    <d v="2025-06-10T00:00:00"/>
    <d v="1899-12-30T08:15:00"/>
    <s v="Non Telecom"/>
    <d v="1899-12-30T17:15:00"/>
    <s v="+1:30 AM"/>
    <n v="29700"/>
    <x v="0"/>
  </r>
  <r>
    <x v="0"/>
    <s v="Egypt"/>
    <x v="15"/>
    <x v="75"/>
    <x v="75"/>
    <m/>
    <m/>
    <s v="Break 15 Night"/>
    <d v="1899-12-30T18:15:00"/>
    <d v="1899-12-30T18:30:00"/>
    <n v="0"/>
    <x v="1"/>
  </r>
  <r>
    <x v="0"/>
    <s v="Egypt"/>
    <x v="15"/>
    <x v="75"/>
    <x v="75"/>
    <m/>
    <m/>
    <s v="Break 30 Night"/>
    <d v="1899-12-30T21:15:00"/>
    <d v="1899-12-30T21:45:00"/>
    <n v="0"/>
    <x v="1"/>
  </r>
  <r>
    <x v="0"/>
    <s v="Egypt"/>
    <x v="15"/>
    <x v="75"/>
    <x v="75"/>
    <d v="2025-06-11T00:00:00"/>
    <d v="1899-12-30T08:15:00"/>
    <s v="Non Telecom"/>
    <d v="1899-12-30T17:15:00"/>
    <s v="+1:30 AM"/>
    <n v="29700"/>
    <x v="0"/>
  </r>
  <r>
    <x v="0"/>
    <s v="Egypt"/>
    <x v="15"/>
    <x v="75"/>
    <x v="75"/>
    <m/>
    <m/>
    <s v="Break 15 Night"/>
    <d v="1899-12-30T18:15:00"/>
    <d v="1899-12-30T18:30:00"/>
    <n v="0"/>
    <x v="1"/>
  </r>
  <r>
    <x v="0"/>
    <s v="Egypt"/>
    <x v="15"/>
    <x v="75"/>
    <x v="75"/>
    <m/>
    <m/>
    <s v="Break 30 Night"/>
    <d v="1899-12-30T21:15:00"/>
    <d v="1899-12-30T21:45:00"/>
    <n v="0"/>
    <x v="1"/>
  </r>
  <r>
    <x v="0"/>
    <s v="Egypt"/>
    <x v="15"/>
    <x v="75"/>
    <x v="75"/>
    <d v="2025-06-12T00:00:00"/>
    <d v="1899-12-30T08:15:00"/>
    <s v="Planned Training"/>
    <m/>
    <m/>
    <n v="29700"/>
    <x v="1"/>
  </r>
  <r>
    <x v="0"/>
    <s v="Egypt"/>
    <x v="15"/>
    <x v="75"/>
    <x v="75"/>
    <d v="2025-06-13T00:00:00"/>
    <m/>
    <s v="Day Off"/>
    <m/>
    <m/>
    <n v="0"/>
    <x v="1"/>
  </r>
  <r>
    <x v="0"/>
    <s v="Egypt"/>
    <x v="15"/>
    <x v="75"/>
    <x v="75"/>
    <d v="2025-06-14T00:00:00"/>
    <m/>
    <s v="Day Off"/>
    <m/>
    <m/>
    <n v="0"/>
    <x v="1"/>
  </r>
  <r>
    <x v="0"/>
    <s v="Egypt"/>
    <x v="15"/>
    <x v="75"/>
    <x v="75"/>
    <d v="2025-06-15T00:00:00"/>
    <d v="1899-12-30T08:15:00"/>
    <s v="Non Telecom"/>
    <d v="1899-12-30T16:15:00"/>
    <s v="+12:30 AM"/>
    <n v="29700"/>
    <x v="0"/>
  </r>
  <r>
    <x v="0"/>
    <s v="Egypt"/>
    <x v="15"/>
    <x v="75"/>
    <x v="75"/>
    <m/>
    <m/>
    <s v="No Swap"/>
    <d v="1899-12-30T16:15:00"/>
    <d v="1899-12-30T16:30:00"/>
    <n v="0"/>
    <x v="1"/>
  </r>
  <r>
    <x v="0"/>
    <s v="Egypt"/>
    <x v="15"/>
    <x v="75"/>
    <x v="75"/>
    <m/>
    <m/>
    <s v="Break 15 Night"/>
    <d v="1899-12-30T19:00:00"/>
    <d v="1899-12-30T19:15:00"/>
    <n v="0"/>
    <x v="1"/>
  </r>
  <r>
    <x v="0"/>
    <s v="Egypt"/>
    <x v="15"/>
    <x v="75"/>
    <x v="75"/>
    <m/>
    <m/>
    <s v="Break 30 Night"/>
    <d v="1899-12-30T21:45:00"/>
    <d v="1899-12-30T22:15:00"/>
    <n v="0"/>
    <x v="1"/>
  </r>
  <r>
    <x v="0"/>
    <s v="Egypt"/>
    <x v="15"/>
    <x v="75"/>
    <x v="75"/>
    <d v="2025-06-16T00:00:00"/>
    <d v="1899-12-30T08:15:00"/>
    <s v="Non Telecom"/>
    <d v="1899-12-30T16:15:00"/>
    <s v="+12:30 AM"/>
    <n v="29700"/>
    <x v="0"/>
  </r>
  <r>
    <x v="0"/>
    <s v="Egypt"/>
    <x v="15"/>
    <x v="75"/>
    <x v="75"/>
    <m/>
    <m/>
    <s v="No Swap"/>
    <d v="1899-12-30T16:15:00"/>
    <d v="1899-12-30T16:30:00"/>
    <n v="0"/>
    <x v="1"/>
  </r>
  <r>
    <x v="0"/>
    <s v="Egypt"/>
    <x v="15"/>
    <x v="75"/>
    <x v="75"/>
    <m/>
    <m/>
    <s v="Break 15 Night"/>
    <d v="1899-12-30T18:45:00"/>
    <d v="1899-12-30T19:00:00"/>
    <n v="0"/>
    <x v="1"/>
  </r>
  <r>
    <x v="0"/>
    <s v="Egypt"/>
    <x v="15"/>
    <x v="75"/>
    <x v="75"/>
    <m/>
    <m/>
    <s v="Break 30 Night"/>
    <d v="1899-12-30T21:30:00"/>
    <d v="1899-12-30T22:00:00"/>
    <n v="0"/>
    <x v="1"/>
  </r>
  <r>
    <x v="0"/>
    <s v="Egypt"/>
    <x v="15"/>
    <x v="75"/>
    <x v="75"/>
    <d v="2025-06-17T00:00:00"/>
    <d v="1899-12-30T08:15:00"/>
    <s v="Non Telecom"/>
    <d v="1899-12-30T13:00:00"/>
    <d v="1899-12-30T21:15:00"/>
    <n v="29700"/>
    <x v="0"/>
  </r>
  <r>
    <x v="0"/>
    <s v="Egypt"/>
    <x v="15"/>
    <x v="75"/>
    <x v="75"/>
    <m/>
    <m/>
    <s v="No Swap"/>
    <d v="1899-12-30T13:00:00"/>
    <d v="1899-12-30T13:15:00"/>
    <n v="0"/>
    <x v="1"/>
  </r>
  <r>
    <x v="0"/>
    <s v="Egypt"/>
    <x v="15"/>
    <x v="75"/>
    <x v="75"/>
    <m/>
    <m/>
    <s v="Break 15 Morning"/>
    <d v="1899-12-30T14:45:00"/>
    <d v="1899-12-30T15:00:00"/>
    <n v="0"/>
    <x v="1"/>
  </r>
  <r>
    <x v="0"/>
    <s v="Egypt"/>
    <x v="15"/>
    <x v="75"/>
    <x v="75"/>
    <m/>
    <m/>
    <s v="Break 30 Morning"/>
    <d v="1899-12-30T18:30:00"/>
    <d v="1899-12-30T19:00:00"/>
    <n v="0"/>
    <x v="1"/>
  </r>
  <r>
    <x v="0"/>
    <s v="Egypt"/>
    <x v="15"/>
    <x v="75"/>
    <x v="75"/>
    <d v="2025-06-18T00:00:00"/>
    <d v="1899-12-30T08:15:00"/>
    <s v="Non Telecom"/>
    <d v="1899-12-30T13:00:00"/>
    <d v="1899-12-30T21:15:00"/>
    <n v="29700"/>
    <x v="0"/>
  </r>
  <r>
    <x v="0"/>
    <s v="Egypt"/>
    <x v="15"/>
    <x v="75"/>
    <x v="75"/>
    <m/>
    <m/>
    <s v="No Swap"/>
    <d v="1899-12-30T13:00:00"/>
    <d v="1899-12-30T13:15:00"/>
    <n v="0"/>
    <x v="1"/>
  </r>
  <r>
    <x v="0"/>
    <s v="Egypt"/>
    <x v="15"/>
    <x v="75"/>
    <x v="75"/>
    <m/>
    <m/>
    <s v="Break 15 Morning"/>
    <d v="1899-12-30T15:00:00"/>
    <d v="1899-12-30T15:15:00"/>
    <n v="0"/>
    <x v="1"/>
  </r>
  <r>
    <x v="0"/>
    <s v="Egypt"/>
    <x v="15"/>
    <x v="75"/>
    <x v="75"/>
    <m/>
    <m/>
    <s v="Break 30 Morning"/>
    <d v="1899-12-30T17:45:00"/>
    <d v="1899-12-30T18:15:00"/>
    <n v="0"/>
    <x v="1"/>
  </r>
  <r>
    <x v="0"/>
    <s v="Egypt"/>
    <x v="15"/>
    <x v="75"/>
    <x v="75"/>
    <d v="2025-06-19T00:00:00"/>
    <m/>
    <s v="Day Off"/>
    <m/>
    <m/>
    <n v="0"/>
    <x v="1"/>
  </r>
  <r>
    <x v="0"/>
    <s v="Egypt"/>
    <x v="15"/>
    <x v="75"/>
    <x v="75"/>
    <d v="2025-06-20T00:00:00"/>
    <m/>
    <s v="Day Off"/>
    <m/>
    <m/>
    <n v="0"/>
    <x v="1"/>
  </r>
  <r>
    <x v="0"/>
    <s v="Egypt"/>
    <x v="15"/>
    <x v="75"/>
    <x v="75"/>
    <d v="2025-06-21T00:00:00"/>
    <d v="1899-12-30T08:15:00"/>
    <s v="Non Telecom"/>
    <d v="1899-12-30T13:00:00"/>
    <d v="1899-12-30T21:15:00"/>
    <n v="29700"/>
    <x v="0"/>
  </r>
  <r>
    <x v="0"/>
    <s v="Egypt"/>
    <x v="15"/>
    <x v="75"/>
    <x v="75"/>
    <m/>
    <m/>
    <s v="No Swap"/>
    <d v="1899-12-30T13:00:00"/>
    <d v="1899-12-30T13:15:00"/>
    <n v="0"/>
    <x v="1"/>
  </r>
  <r>
    <x v="0"/>
    <s v="Egypt"/>
    <x v="15"/>
    <x v="75"/>
    <x v="75"/>
    <m/>
    <m/>
    <s v="Break 15 Morning"/>
    <d v="1899-12-30T14:45:00"/>
    <d v="1899-12-30T15:00:00"/>
    <n v="0"/>
    <x v="1"/>
  </r>
  <r>
    <x v="0"/>
    <s v="Egypt"/>
    <x v="15"/>
    <x v="75"/>
    <x v="75"/>
    <m/>
    <m/>
    <s v="Break 30 Morning"/>
    <d v="1899-12-30T17:45:00"/>
    <d v="1899-12-30T18:15:00"/>
    <n v="0"/>
    <x v="1"/>
  </r>
  <r>
    <x v="0"/>
    <s v="Egypt"/>
    <x v="15"/>
    <x v="75"/>
    <x v="75"/>
    <d v="2025-06-22T00:00:00"/>
    <d v="1899-12-30T08:15:00"/>
    <s v="Non Telecom"/>
    <d v="1899-12-30T16:15:00"/>
    <s v="+12:30 AM"/>
    <n v="29700"/>
    <x v="0"/>
  </r>
  <r>
    <x v="0"/>
    <s v="Egypt"/>
    <x v="15"/>
    <x v="75"/>
    <x v="75"/>
    <m/>
    <m/>
    <s v="No Swap"/>
    <d v="1899-12-30T16:45:00"/>
    <d v="1899-12-30T17:00:00"/>
    <n v="0"/>
    <x v="1"/>
  </r>
  <r>
    <x v="0"/>
    <s v="Egypt"/>
    <x v="15"/>
    <x v="75"/>
    <x v="75"/>
    <m/>
    <m/>
    <s v="Break 15 Night"/>
    <d v="1899-12-30T19:00:00"/>
    <d v="1899-12-30T19:15:00"/>
    <n v="0"/>
    <x v="1"/>
  </r>
  <r>
    <x v="0"/>
    <s v="Egypt"/>
    <x v="15"/>
    <x v="75"/>
    <x v="75"/>
    <m/>
    <m/>
    <s v="Break 30 Night"/>
    <d v="1899-12-30T21:15:00"/>
    <d v="1899-12-30T21:45:00"/>
    <n v="0"/>
    <x v="1"/>
  </r>
  <r>
    <x v="0"/>
    <s v="Egypt"/>
    <x v="15"/>
    <x v="75"/>
    <x v="75"/>
    <d v="2025-06-23T00:00:00"/>
    <d v="1899-12-30T08:15:00"/>
    <s v="Non Telecom"/>
    <d v="1899-12-30T16:15:00"/>
    <s v="+12:30 AM"/>
    <n v="29700"/>
    <x v="0"/>
  </r>
  <r>
    <x v="0"/>
    <s v="Egypt"/>
    <x v="15"/>
    <x v="75"/>
    <x v="75"/>
    <m/>
    <m/>
    <s v="No Swap"/>
    <d v="1899-12-30T17:00:00"/>
    <d v="1899-12-30T17:15:00"/>
    <n v="0"/>
    <x v="1"/>
  </r>
  <r>
    <x v="0"/>
    <s v="Egypt"/>
    <x v="15"/>
    <x v="75"/>
    <x v="75"/>
    <m/>
    <m/>
    <s v="Break 15 Night"/>
    <d v="1899-12-30T18:45:00"/>
    <d v="1899-12-30T19:00:00"/>
    <n v="0"/>
    <x v="1"/>
  </r>
  <r>
    <x v="0"/>
    <s v="Egypt"/>
    <x v="15"/>
    <x v="75"/>
    <x v="75"/>
    <m/>
    <m/>
    <s v="Break 30 Night"/>
    <d v="1899-12-30T21:00:00"/>
    <d v="1899-12-30T21:30:00"/>
    <n v="0"/>
    <x v="1"/>
  </r>
  <r>
    <x v="0"/>
    <s v="Egypt"/>
    <x v="15"/>
    <x v="75"/>
    <x v="75"/>
    <d v="2025-06-24T00:00:00"/>
    <d v="1899-12-30T08:15:00"/>
    <s v="Non Telecom"/>
    <d v="1899-12-30T16:15:00"/>
    <s v="+12:30 AM"/>
    <n v="29700"/>
    <x v="0"/>
  </r>
  <r>
    <x v="0"/>
    <s v="Egypt"/>
    <x v="15"/>
    <x v="75"/>
    <x v="75"/>
    <m/>
    <m/>
    <s v="No Swap"/>
    <d v="1899-12-30T17:15:00"/>
    <d v="1899-12-30T17:30:00"/>
    <n v="0"/>
    <x v="1"/>
  </r>
  <r>
    <x v="0"/>
    <s v="Egypt"/>
    <x v="15"/>
    <x v="75"/>
    <x v="75"/>
    <m/>
    <m/>
    <s v="Break 15 Night"/>
    <d v="1899-12-30T18:30:00"/>
    <d v="1899-12-30T18:45:00"/>
    <n v="0"/>
    <x v="1"/>
  </r>
  <r>
    <x v="0"/>
    <s v="Egypt"/>
    <x v="15"/>
    <x v="75"/>
    <x v="75"/>
    <m/>
    <m/>
    <s v="Break 30 Night"/>
    <d v="1899-12-30T21:15:00"/>
    <d v="1899-12-30T21:45:00"/>
    <n v="0"/>
    <x v="1"/>
  </r>
  <r>
    <x v="0"/>
    <s v="Egypt"/>
    <x v="15"/>
    <x v="75"/>
    <x v="75"/>
    <d v="2025-06-25T00:00:00"/>
    <m/>
    <s v="Day Off"/>
    <m/>
    <m/>
    <n v="0"/>
    <x v="1"/>
  </r>
  <r>
    <x v="0"/>
    <s v="Egypt"/>
    <x v="15"/>
    <x v="75"/>
    <x v="75"/>
    <d v="2025-06-26T00:00:00"/>
    <m/>
    <s v="Day Off"/>
    <m/>
    <m/>
    <n v="0"/>
    <x v="1"/>
  </r>
  <r>
    <x v="0"/>
    <s v="Egypt"/>
    <x v="15"/>
    <x v="75"/>
    <x v="75"/>
    <d v="2025-06-27T00:00:00"/>
    <d v="1899-12-30T08:15:00"/>
    <s v="Non Telecom"/>
    <d v="1899-12-30T13:00:00"/>
    <d v="1899-12-30T21:15:00"/>
    <n v="29700"/>
    <x v="0"/>
  </r>
  <r>
    <x v="0"/>
    <s v="Egypt"/>
    <x v="15"/>
    <x v="75"/>
    <x v="75"/>
    <m/>
    <m/>
    <s v="Leave Exception"/>
    <d v="1899-12-30T13:00:00"/>
    <d v="1899-12-30T14:00:00"/>
    <n v="0"/>
    <x v="1"/>
  </r>
  <r>
    <x v="0"/>
    <s v="Egypt"/>
    <x v="15"/>
    <x v="75"/>
    <x v="75"/>
    <m/>
    <m/>
    <s v="No Swap"/>
    <d v="1899-12-30T14:00:00"/>
    <d v="1899-12-30T14:15:00"/>
    <n v="0"/>
    <x v="1"/>
  </r>
  <r>
    <x v="0"/>
    <s v="Egypt"/>
    <x v="15"/>
    <x v="75"/>
    <x v="75"/>
    <m/>
    <m/>
    <s v="Break 15 Morning"/>
    <d v="1899-12-30T15:00:00"/>
    <d v="1899-12-30T15:15:00"/>
    <n v="0"/>
    <x v="1"/>
  </r>
  <r>
    <x v="0"/>
    <s v="Egypt"/>
    <x v="15"/>
    <x v="75"/>
    <x v="75"/>
    <m/>
    <m/>
    <s v="Break 30 Morning"/>
    <d v="1899-12-30T18:15:00"/>
    <d v="1899-12-30T18:45:00"/>
    <n v="0"/>
    <x v="1"/>
  </r>
  <r>
    <x v="0"/>
    <s v="Egypt"/>
    <x v="15"/>
    <x v="75"/>
    <x v="75"/>
    <d v="2025-06-28T00:00:00"/>
    <d v="1899-12-30T08:15:00"/>
    <s v="Annual Exception"/>
    <m/>
    <m/>
    <n v="29700"/>
    <x v="1"/>
  </r>
  <r>
    <x v="0"/>
    <s v="Egypt"/>
    <x v="15"/>
    <x v="75"/>
    <x v="75"/>
    <d v="2025-06-29T00:00:00"/>
    <d v="1899-12-30T08:15:00"/>
    <s v="Non Telecom"/>
    <d v="1899-12-30T13:00:00"/>
    <d v="1899-12-30T21:15:00"/>
    <n v="29700"/>
    <x v="0"/>
  </r>
  <r>
    <x v="0"/>
    <s v="Egypt"/>
    <x v="15"/>
    <x v="75"/>
    <x v="75"/>
    <m/>
    <m/>
    <s v="Break 15 Morning"/>
    <d v="1899-12-30T14:45:00"/>
    <d v="1899-12-30T15:00:00"/>
    <n v="0"/>
    <x v="1"/>
  </r>
  <r>
    <x v="0"/>
    <s v="Egypt"/>
    <x v="15"/>
    <x v="75"/>
    <x v="75"/>
    <m/>
    <m/>
    <s v="Break 30 Morning"/>
    <d v="1899-12-30T18:15:00"/>
    <d v="1899-12-30T18:45:00"/>
    <n v="0"/>
    <x v="1"/>
  </r>
  <r>
    <x v="0"/>
    <s v="Egypt"/>
    <x v="15"/>
    <x v="75"/>
    <x v="75"/>
    <d v="2025-06-30T00:00:00"/>
    <d v="1899-12-30T08:15:00"/>
    <s v="Annual Exception"/>
    <m/>
    <m/>
    <n v="29700"/>
    <x v="1"/>
  </r>
  <r>
    <x v="0"/>
    <s v="Egypt"/>
    <x v="15"/>
    <x v="76"/>
    <x v="76"/>
    <d v="2025-06-01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0:45:00"/>
    <d v="1899-12-30T21:00:00"/>
    <n v="0"/>
    <x v="1"/>
  </r>
  <r>
    <x v="0"/>
    <s v="Egypt"/>
    <x v="15"/>
    <x v="76"/>
    <x v="76"/>
    <m/>
    <m/>
    <s v="Break 30 Night"/>
    <s v="+12:15 AM"/>
    <s v="+12:45 AM"/>
    <n v="0"/>
    <x v="1"/>
  </r>
  <r>
    <x v="0"/>
    <s v="Egypt"/>
    <x v="15"/>
    <x v="76"/>
    <x v="76"/>
    <d v="2025-06-02T00:00:00"/>
    <d v="1899-12-30T08:15:00"/>
    <s v="Annual Exception"/>
    <m/>
    <m/>
    <n v="29700"/>
    <x v="1"/>
  </r>
  <r>
    <x v="0"/>
    <s v="Egypt"/>
    <x v="15"/>
    <x v="76"/>
    <x v="76"/>
    <d v="2025-06-03T00:00:00"/>
    <d v="1899-12-30T08:15:00"/>
    <s v="Support Training"/>
    <m/>
    <m/>
    <n v="29700"/>
    <x v="1"/>
  </r>
  <r>
    <x v="0"/>
    <s v="Egypt"/>
    <x v="15"/>
    <x v="76"/>
    <x v="76"/>
    <d v="2025-06-04T00:00:00"/>
    <d v="1899-12-30T08:15:00"/>
    <s v="Annual Exception"/>
    <m/>
    <m/>
    <n v="29700"/>
    <x v="1"/>
  </r>
  <r>
    <x v="0"/>
    <s v="Egypt"/>
    <x v="15"/>
    <x v="76"/>
    <x v="76"/>
    <d v="2025-06-05T00:00:00"/>
    <d v="1899-12-30T00:00:00"/>
    <s v="&lt;Exception&gt; -1"/>
    <m/>
    <m/>
    <n v="0"/>
    <x v="1"/>
  </r>
  <r>
    <x v="0"/>
    <s v="Egypt"/>
    <x v="15"/>
    <x v="76"/>
    <x v="76"/>
    <d v="2025-06-06T00:00:00"/>
    <m/>
    <s v="Day Off"/>
    <m/>
    <m/>
    <n v="0"/>
    <x v="1"/>
  </r>
  <r>
    <x v="0"/>
    <s v="Egypt"/>
    <x v="15"/>
    <x v="76"/>
    <x v="76"/>
    <d v="2025-06-07T00:00:00"/>
    <m/>
    <s v="Day Off"/>
    <m/>
    <m/>
    <n v="0"/>
    <x v="1"/>
  </r>
  <r>
    <x v="0"/>
    <s v="Egypt"/>
    <x v="15"/>
    <x v="76"/>
    <x v="76"/>
    <d v="2025-06-08T00:00:00"/>
    <d v="1899-12-30T00:00:00"/>
    <s v="&lt;Exception&gt; -1"/>
    <m/>
    <m/>
    <n v="0"/>
    <x v="1"/>
  </r>
  <r>
    <x v="0"/>
    <s v="Egypt"/>
    <x v="15"/>
    <x v="76"/>
    <x v="76"/>
    <d v="2025-06-09T00:00:00"/>
    <d v="1899-12-30T08:15:00"/>
    <s v="Planned Training"/>
    <m/>
    <m/>
    <n v="29700"/>
    <x v="1"/>
  </r>
  <r>
    <x v="0"/>
    <s v="Egypt"/>
    <x v="15"/>
    <x v="76"/>
    <x v="76"/>
    <d v="2025-06-10T00:00:00"/>
    <d v="1899-12-30T08:15:00"/>
    <s v="Planned Training"/>
    <m/>
    <m/>
    <n v="29700"/>
    <x v="1"/>
  </r>
  <r>
    <x v="0"/>
    <s v="Egypt"/>
    <x v="15"/>
    <x v="76"/>
    <x v="76"/>
    <d v="2025-06-11T00:00:00"/>
    <d v="1899-12-30T08:15:00"/>
    <s v="Non Telecom"/>
    <d v="1899-12-30T17:15:00"/>
    <s v="+1:30 AM"/>
    <n v="29700"/>
    <x v="0"/>
  </r>
  <r>
    <x v="0"/>
    <s v="Egypt"/>
    <x v="15"/>
    <x v="76"/>
    <x v="76"/>
    <m/>
    <m/>
    <s v="Break 15 Night"/>
    <d v="1899-12-30T18:15:00"/>
    <d v="1899-12-30T18:30:00"/>
    <n v="0"/>
    <x v="1"/>
  </r>
  <r>
    <x v="0"/>
    <s v="Egypt"/>
    <x v="15"/>
    <x v="76"/>
    <x v="76"/>
    <m/>
    <m/>
    <s v="Break 30 Night"/>
    <d v="1899-12-30T21:15:00"/>
    <d v="1899-12-30T21:45:00"/>
    <n v="0"/>
    <x v="1"/>
  </r>
  <r>
    <x v="0"/>
    <s v="Egypt"/>
    <x v="15"/>
    <x v="76"/>
    <x v="76"/>
    <d v="2025-06-12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2:15:00"/>
    <d v="1899-12-30T22:30:00"/>
    <n v="0"/>
    <x v="1"/>
  </r>
  <r>
    <x v="0"/>
    <s v="Egypt"/>
    <x v="15"/>
    <x v="76"/>
    <x v="76"/>
    <m/>
    <m/>
    <s v="Break 30 Night"/>
    <s v="+1:00 AM"/>
    <s v="+1:30 AM"/>
    <n v="0"/>
    <x v="1"/>
  </r>
  <r>
    <x v="0"/>
    <s v="Egypt"/>
    <x v="15"/>
    <x v="76"/>
    <x v="76"/>
    <d v="2025-06-13T00:00:00"/>
    <m/>
    <s v="Day Off"/>
    <m/>
    <m/>
    <n v="0"/>
    <x v="1"/>
  </r>
  <r>
    <x v="0"/>
    <s v="Egypt"/>
    <x v="15"/>
    <x v="76"/>
    <x v="76"/>
    <d v="2025-06-14T00:00:00"/>
    <m/>
    <s v="Day Off"/>
    <m/>
    <m/>
    <n v="0"/>
    <x v="1"/>
  </r>
  <r>
    <x v="0"/>
    <s v="Egypt"/>
    <x v="15"/>
    <x v="76"/>
    <x v="76"/>
    <d v="2025-06-15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2:00:00"/>
    <d v="1899-12-30T22:15:00"/>
    <n v="0"/>
    <x v="1"/>
  </r>
  <r>
    <x v="0"/>
    <s v="Egypt"/>
    <x v="15"/>
    <x v="76"/>
    <x v="76"/>
    <m/>
    <m/>
    <s v="Break 30 Night"/>
    <s v="+12:45 AM"/>
    <s v="+1:15 AM"/>
    <n v="0"/>
    <x v="1"/>
  </r>
  <r>
    <x v="0"/>
    <s v="Egypt"/>
    <x v="15"/>
    <x v="76"/>
    <x v="76"/>
    <d v="2025-06-16T00:00:00"/>
    <d v="1899-12-30T08:15:00"/>
    <s v="Non Telecom"/>
    <d v="1899-12-30T16:15:00"/>
    <s v="+12:30 AM"/>
    <n v="29700"/>
    <x v="0"/>
  </r>
  <r>
    <x v="0"/>
    <s v="Egypt"/>
    <x v="15"/>
    <x v="76"/>
    <x v="76"/>
    <m/>
    <m/>
    <s v="Break 15 Night"/>
    <d v="1899-12-30T19:00:00"/>
    <d v="1899-12-30T19:15:00"/>
    <n v="0"/>
    <x v="1"/>
  </r>
  <r>
    <x v="0"/>
    <s v="Egypt"/>
    <x v="15"/>
    <x v="76"/>
    <x v="76"/>
    <m/>
    <m/>
    <s v="Break 30 Night"/>
    <d v="1899-12-30T21:30:00"/>
    <d v="1899-12-30T22:00:00"/>
    <n v="0"/>
    <x v="1"/>
  </r>
  <r>
    <x v="0"/>
    <s v="Egypt"/>
    <x v="15"/>
    <x v="76"/>
    <x v="76"/>
    <d v="2025-06-17T00:00:00"/>
    <d v="1899-12-30T08:15:00"/>
    <s v="Non Telecom"/>
    <d v="1899-12-30T16:15:00"/>
    <s v="+12:30 AM"/>
    <n v="29700"/>
    <x v="0"/>
  </r>
  <r>
    <x v="0"/>
    <s v="Egypt"/>
    <x v="15"/>
    <x v="76"/>
    <x v="76"/>
    <m/>
    <m/>
    <s v="Break 15 Night"/>
    <d v="1899-12-30T18:30:00"/>
    <d v="1899-12-30T18:45:00"/>
    <n v="0"/>
    <x v="1"/>
  </r>
  <r>
    <x v="0"/>
    <s v="Egypt"/>
    <x v="15"/>
    <x v="76"/>
    <x v="76"/>
    <m/>
    <m/>
    <s v="Break 30 Night"/>
    <d v="1899-12-30T21:30:00"/>
    <d v="1899-12-30T22:00:00"/>
    <n v="0"/>
    <x v="1"/>
  </r>
  <r>
    <x v="0"/>
    <s v="Egypt"/>
    <x v="15"/>
    <x v="76"/>
    <x v="76"/>
    <d v="2025-06-18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1:30:00"/>
    <d v="1899-12-30T21:45:00"/>
    <n v="0"/>
    <x v="1"/>
  </r>
  <r>
    <x v="0"/>
    <s v="Egypt"/>
    <x v="15"/>
    <x v="76"/>
    <x v="76"/>
    <m/>
    <m/>
    <s v="Break 30 Night"/>
    <s v="+12:45 AM"/>
    <s v="+1:15 AM"/>
    <n v="0"/>
    <x v="1"/>
  </r>
  <r>
    <x v="0"/>
    <s v="Egypt"/>
    <x v="15"/>
    <x v="76"/>
    <x v="76"/>
    <d v="2025-06-19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1:30:00"/>
    <d v="1899-12-30T21:45:00"/>
    <n v="0"/>
    <x v="1"/>
  </r>
  <r>
    <x v="0"/>
    <s v="Egypt"/>
    <x v="15"/>
    <x v="76"/>
    <x v="76"/>
    <m/>
    <m/>
    <s v="Break 30 Night"/>
    <s v="+12:30 AM"/>
    <s v="+1:00 AM"/>
    <n v="0"/>
    <x v="1"/>
  </r>
  <r>
    <x v="0"/>
    <s v="Egypt"/>
    <x v="15"/>
    <x v="76"/>
    <x v="76"/>
    <d v="2025-06-20T00:00:00"/>
    <d v="1899-12-30T08:15:00"/>
    <s v="Non Telecom"/>
    <d v="1899-12-30T19:00:00"/>
    <s v="+3:15 AM"/>
    <n v="29700"/>
    <x v="0"/>
  </r>
  <r>
    <x v="0"/>
    <s v="Egypt"/>
    <x v="15"/>
    <x v="76"/>
    <x v="76"/>
    <m/>
    <m/>
    <s v="Break 15 Night"/>
    <d v="1899-12-30T21:00:00"/>
    <d v="1899-12-30T21:15:00"/>
    <n v="0"/>
    <x v="1"/>
  </r>
  <r>
    <x v="0"/>
    <s v="Egypt"/>
    <x v="15"/>
    <x v="76"/>
    <x v="76"/>
    <m/>
    <m/>
    <s v="Break 30 Night"/>
    <s v="+12:15 AM"/>
    <s v="+12:45 AM"/>
    <n v="0"/>
    <x v="1"/>
  </r>
  <r>
    <x v="0"/>
    <s v="Egypt"/>
    <x v="15"/>
    <x v="76"/>
    <x v="76"/>
    <d v="2025-06-21T00:00:00"/>
    <m/>
    <s v="Day Off"/>
    <m/>
    <m/>
    <n v="0"/>
    <x v="1"/>
  </r>
  <r>
    <x v="0"/>
    <s v="Egypt"/>
    <x v="15"/>
    <x v="76"/>
    <x v="76"/>
    <d v="2025-06-22T00:00:00"/>
    <m/>
    <s v="Day Off"/>
    <m/>
    <m/>
    <n v="0"/>
    <x v="1"/>
  </r>
  <r>
    <x v="0"/>
    <s v="Egypt"/>
    <x v="15"/>
    <x v="76"/>
    <x v="76"/>
    <d v="2025-06-23T00:00:00"/>
    <d v="1899-12-30T08:15:00"/>
    <s v="Non Telecom"/>
    <d v="1899-12-30T16:15:00"/>
    <s v="+12:30 AM"/>
    <n v="29700"/>
    <x v="0"/>
  </r>
  <r>
    <x v="0"/>
    <s v="Egypt"/>
    <x v="15"/>
    <x v="76"/>
    <x v="76"/>
    <m/>
    <m/>
    <s v="Break 15 Night"/>
    <d v="1899-12-30T18:00:00"/>
    <d v="1899-12-30T18:15:00"/>
    <n v="0"/>
    <x v="1"/>
  </r>
  <r>
    <x v="0"/>
    <s v="Egypt"/>
    <x v="15"/>
    <x v="76"/>
    <x v="76"/>
    <m/>
    <m/>
    <s v="Break 30 Night"/>
    <d v="1899-12-30T20:30:00"/>
    <d v="1899-12-30T21:00:00"/>
    <n v="0"/>
    <x v="1"/>
  </r>
  <r>
    <x v="0"/>
    <s v="Egypt"/>
    <x v="15"/>
    <x v="76"/>
    <x v="76"/>
    <d v="2025-06-24T00:00:00"/>
    <d v="1899-12-30T08:15:00"/>
    <s v="Non Telecom"/>
    <d v="1899-12-30T19:15:00"/>
    <s v="+3:30 AM"/>
    <n v="29700"/>
    <x v="0"/>
  </r>
  <r>
    <x v="0"/>
    <s v="Egypt"/>
    <x v="15"/>
    <x v="76"/>
    <x v="76"/>
    <m/>
    <m/>
    <s v="Break 15 Night"/>
    <d v="1899-12-30T22:00:00"/>
    <d v="1899-12-30T22:15:00"/>
    <n v="0"/>
    <x v="1"/>
  </r>
  <r>
    <x v="0"/>
    <s v="Egypt"/>
    <x v="15"/>
    <x v="76"/>
    <x v="76"/>
    <m/>
    <m/>
    <s v="Break 30 Night"/>
    <s v="+12:30 AM"/>
    <s v="+1:00 AM"/>
    <n v="0"/>
    <x v="1"/>
  </r>
  <r>
    <x v="0"/>
    <s v="Egypt"/>
    <x v="15"/>
    <x v="76"/>
    <x v="76"/>
    <m/>
    <m/>
    <s v="Leave Early"/>
    <s v="+1:30 AM"/>
    <s v="+3:30 AM"/>
    <n v="0"/>
    <x v="1"/>
  </r>
  <r>
    <x v="0"/>
    <s v="Egypt"/>
    <x v="15"/>
    <x v="76"/>
    <x v="76"/>
    <d v="2025-06-25T00:00:00"/>
    <d v="1899-12-30T08:15:00"/>
    <s v="Annual Exception"/>
    <m/>
    <m/>
    <n v="29700"/>
    <x v="1"/>
  </r>
  <r>
    <x v="0"/>
    <s v="Egypt"/>
    <x v="15"/>
    <x v="76"/>
    <x v="76"/>
    <d v="2025-06-26T00:00:00"/>
    <m/>
    <s v="Day Off"/>
    <m/>
    <m/>
    <n v="0"/>
    <x v="1"/>
  </r>
  <r>
    <x v="0"/>
    <s v="Egypt"/>
    <x v="15"/>
    <x v="76"/>
    <x v="76"/>
    <d v="2025-06-27T00:00:00"/>
    <m/>
    <s v="Day Off"/>
    <m/>
    <m/>
    <n v="0"/>
    <x v="1"/>
  </r>
  <r>
    <x v="0"/>
    <s v="Egypt"/>
    <x v="15"/>
    <x v="76"/>
    <x v="76"/>
    <d v="2025-06-28T00:00:00"/>
    <d v="1899-12-30T08:15:00"/>
    <s v="Non Telecom"/>
    <d v="1899-12-30T13:00:00"/>
    <d v="1899-12-30T21:15:00"/>
    <n v="29700"/>
    <x v="0"/>
  </r>
  <r>
    <x v="0"/>
    <s v="Egypt"/>
    <x v="15"/>
    <x v="76"/>
    <x v="76"/>
    <m/>
    <m/>
    <s v="Break 15 Morning"/>
    <d v="1899-12-30T15:00:00"/>
    <d v="1899-12-30T15:15:00"/>
    <n v="0"/>
    <x v="1"/>
  </r>
  <r>
    <x v="0"/>
    <s v="Egypt"/>
    <x v="15"/>
    <x v="76"/>
    <x v="76"/>
    <m/>
    <m/>
    <s v="Break 30 Morning"/>
    <d v="1899-12-30T18:30:00"/>
    <d v="1899-12-30T19:00:00"/>
    <n v="0"/>
    <x v="1"/>
  </r>
  <r>
    <x v="0"/>
    <s v="Egypt"/>
    <x v="15"/>
    <x v="76"/>
    <x v="76"/>
    <d v="2025-06-29T00:00:00"/>
    <d v="1899-12-30T08:15:00"/>
    <s v="Non Telecom"/>
    <d v="1899-12-30T08:00:00"/>
    <d v="1899-12-30T16:15:00"/>
    <n v="29700"/>
    <x v="0"/>
  </r>
  <r>
    <x v="0"/>
    <s v="Egypt"/>
    <x v="15"/>
    <x v="76"/>
    <x v="76"/>
    <m/>
    <m/>
    <s v="Break 15 Morning"/>
    <d v="1899-12-30T09:00:00"/>
    <d v="1899-12-30T09:15:00"/>
    <n v="0"/>
    <x v="1"/>
  </r>
  <r>
    <x v="0"/>
    <s v="Egypt"/>
    <x v="15"/>
    <x v="76"/>
    <x v="76"/>
    <m/>
    <m/>
    <s v="Break 30 Morning"/>
    <d v="1899-12-30T12:15:00"/>
    <d v="1899-12-30T12:45:00"/>
    <n v="0"/>
    <x v="1"/>
  </r>
  <r>
    <x v="0"/>
    <s v="Egypt"/>
    <x v="15"/>
    <x v="76"/>
    <x v="76"/>
    <d v="2025-06-30T00:00:00"/>
    <d v="1899-12-30T08:15:00"/>
    <s v="Non Telecom"/>
    <d v="1899-12-30T13:00:00"/>
    <d v="1899-12-30T21:15:00"/>
    <n v="29700"/>
    <x v="0"/>
  </r>
  <r>
    <x v="0"/>
    <s v="Egypt"/>
    <x v="15"/>
    <x v="76"/>
    <x v="76"/>
    <m/>
    <m/>
    <s v="Break 15 Morning"/>
    <d v="1899-12-30T15:15:00"/>
    <d v="1899-12-30T15:30:00"/>
    <n v="0"/>
    <x v="1"/>
  </r>
  <r>
    <x v="0"/>
    <s v="Egypt"/>
    <x v="15"/>
    <x v="76"/>
    <x v="76"/>
    <m/>
    <m/>
    <s v="Break 30 Morning"/>
    <d v="1899-12-30T18:15:00"/>
    <d v="1899-12-30T18:45:00"/>
    <n v="0"/>
    <x v="1"/>
  </r>
  <r>
    <x v="0"/>
    <s v="Egypt"/>
    <x v="15"/>
    <x v="77"/>
    <x v="77"/>
    <d v="2025-06-01T00:00:00"/>
    <m/>
    <s v="Day Off"/>
    <m/>
    <m/>
    <n v="0"/>
    <x v="1"/>
  </r>
  <r>
    <x v="0"/>
    <s v="Egypt"/>
    <x v="15"/>
    <x v="77"/>
    <x v="77"/>
    <d v="2025-06-02T00:00:00"/>
    <m/>
    <s v="Day Off"/>
    <m/>
    <m/>
    <n v="0"/>
    <x v="1"/>
  </r>
  <r>
    <x v="0"/>
    <s v="Egypt"/>
    <x v="15"/>
    <x v="77"/>
    <x v="77"/>
    <d v="2025-06-03T00:00:00"/>
    <d v="1899-12-30T08:15:00"/>
    <s v="Non Telecom"/>
    <d v="1899-12-30T19:15:00"/>
    <s v="+3:30 AM"/>
    <n v="29700"/>
    <x v="0"/>
  </r>
  <r>
    <x v="0"/>
    <s v="Egypt"/>
    <x v="15"/>
    <x v="77"/>
    <x v="77"/>
    <m/>
    <m/>
    <s v="Break 15 Night"/>
    <d v="1899-12-30T22:15:00"/>
    <d v="1899-12-30T22:30:00"/>
    <n v="0"/>
    <x v="1"/>
  </r>
  <r>
    <x v="0"/>
    <s v="Egypt"/>
    <x v="15"/>
    <x v="77"/>
    <x v="77"/>
    <m/>
    <m/>
    <s v="Break 30 Night"/>
    <s v="+1:15 AM"/>
    <s v="+1:45 AM"/>
    <n v="0"/>
    <x v="1"/>
  </r>
  <r>
    <x v="0"/>
    <s v="Egypt"/>
    <x v="15"/>
    <x v="77"/>
    <x v="77"/>
    <d v="2025-06-04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8:30:00"/>
    <d v="1899-12-30T18:45:00"/>
    <n v="0"/>
    <x v="1"/>
  </r>
  <r>
    <x v="0"/>
    <s v="Egypt"/>
    <x v="15"/>
    <x v="77"/>
    <x v="77"/>
    <m/>
    <m/>
    <s v="Break 30 Night"/>
    <d v="1899-12-30T21:30:00"/>
    <d v="1899-12-30T22:00:00"/>
    <n v="0"/>
    <x v="1"/>
  </r>
  <r>
    <x v="0"/>
    <s v="Egypt"/>
    <x v="15"/>
    <x v="77"/>
    <x v="77"/>
    <d v="2025-06-05T00:00:00"/>
    <d v="1899-12-30T08:15:00"/>
    <s v="Non Telecom"/>
    <d v="1899-12-30T08:00:00"/>
    <d v="1899-12-30T16:15:00"/>
    <n v="29700"/>
    <x v="0"/>
  </r>
  <r>
    <x v="0"/>
    <s v="Egypt"/>
    <x v="15"/>
    <x v="77"/>
    <x v="77"/>
    <m/>
    <m/>
    <s v="Break 15 Morning"/>
    <d v="1899-12-30T10:45:00"/>
    <d v="1899-12-30T11:00:00"/>
    <n v="0"/>
    <x v="1"/>
  </r>
  <r>
    <x v="0"/>
    <s v="Egypt"/>
    <x v="15"/>
    <x v="77"/>
    <x v="77"/>
    <m/>
    <m/>
    <s v="Break 30 Morning"/>
    <d v="1899-12-30T13:45:00"/>
    <d v="1899-12-30T14:15:00"/>
    <n v="0"/>
    <x v="1"/>
  </r>
  <r>
    <x v="0"/>
    <s v="Egypt"/>
    <x v="15"/>
    <x v="77"/>
    <x v="77"/>
    <d v="2025-06-06T00:00:00"/>
    <d v="1899-12-30T08:15:00"/>
    <s v="Non Telecom"/>
    <d v="1899-12-30T08:00:00"/>
    <d v="1899-12-30T16:15:00"/>
    <n v="29700"/>
    <x v="0"/>
  </r>
  <r>
    <x v="0"/>
    <s v="Egypt"/>
    <x v="15"/>
    <x v="77"/>
    <x v="77"/>
    <m/>
    <m/>
    <s v="Break 15 Morning"/>
    <d v="1899-12-30T10:45:00"/>
    <d v="1899-12-30T11:00:00"/>
    <n v="0"/>
    <x v="1"/>
  </r>
  <r>
    <x v="0"/>
    <s v="Egypt"/>
    <x v="15"/>
    <x v="77"/>
    <x v="77"/>
    <m/>
    <m/>
    <s v="Friday Pray"/>
    <d v="1899-12-30T12:50:00"/>
    <d v="1899-12-30T13:35:00"/>
    <n v="0"/>
    <x v="1"/>
  </r>
  <r>
    <x v="0"/>
    <s v="Egypt"/>
    <x v="15"/>
    <x v="77"/>
    <x v="77"/>
    <m/>
    <m/>
    <s v="Break 30 Morning"/>
    <d v="1899-12-30T13:45:00"/>
    <d v="1899-12-30T14:15:00"/>
    <n v="0"/>
    <x v="1"/>
  </r>
  <r>
    <x v="0"/>
    <s v="Egypt"/>
    <x v="15"/>
    <x v="77"/>
    <x v="77"/>
    <d v="2025-06-07T00:00:00"/>
    <d v="1899-12-30T08:15:00"/>
    <s v="Non Telecom"/>
    <d v="1899-12-30T19:15:00"/>
    <s v="+3:30 AM"/>
    <n v="29700"/>
    <x v="0"/>
  </r>
  <r>
    <x v="0"/>
    <s v="Egypt"/>
    <x v="15"/>
    <x v="77"/>
    <x v="77"/>
    <m/>
    <m/>
    <s v="Break 15 Night"/>
    <d v="1899-12-30T20:15:00"/>
    <d v="1899-12-30T20:30:00"/>
    <n v="0"/>
    <x v="1"/>
  </r>
  <r>
    <x v="0"/>
    <s v="Egypt"/>
    <x v="15"/>
    <x v="77"/>
    <x v="77"/>
    <m/>
    <m/>
    <s v="Break 30 Night"/>
    <d v="1899-12-30T23:15:00"/>
    <d v="1899-12-30T23:45:00"/>
    <n v="0"/>
    <x v="1"/>
  </r>
  <r>
    <x v="0"/>
    <s v="Egypt"/>
    <x v="15"/>
    <x v="77"/>
    <x v="77"/>
    <m/>
    <m/>
    <s v="Leave Early"/>
    <s v="+1:30 AM"/>
    <s v="+3:30 AM"/>
    <n v="0"/>
    <x v="1"/>
  </r>
  <r>
    <x v="0"/>
    <s v="Egypt"/>
    <x v="15"/>
    <x v="77"/>
    <x v="77"/>
    <d v="2025-06-08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8:00:00"/>
    <d v="1899-12-30T18:15:00"/>
    <n v="0"/>
    <x v="1"/>
  </r>
  <r>
    <x v="0"/>
    <s v="Egypt"/>
    <x v="15"/>
    <x v="77"/>
    <x v="77"/>
    <m/>
    <m/>
    <s v="Break 30 Night"/>
    <d v="1899-12-30T21:15:00"/>
    <d v="1899-12-30T21:45:00"/>
    <n v="0"/>
    <x v="1"/>
  </r>
  <r>
    <x v="0"/>
    <s v="Egypt"/>
    <x v="15"/>
    <x v="77"/>
    <x v="77"/>
    <d v="2025-06-09T00:00:00"/>
    <m/>
    <s v="Day Off"/>
    <m/>
    <m/>
    <n v="0"/>
    <x v="1"/>
  </r>
  <r>
    <x v="0"/>
    <s v="Egypt"/>
    <x v="15"/>
    <x v="77"/>
    <x v="77"/>
    <d v="2025-06-10T00:00:00"/>
    <m/>
    <s v="Day Off"/>
    <m/>
    <m/>
    <n v="0"/>
    <x v="1"/>
  </r>
  <r>
    <x v="0"/>
    <s v="Egypt"/>
    <x v="15"/>
    <x v="77"/>
    <x v="77"/>
    <d v="2025-06-11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7:15:00"/>
    <d v="1899-12-30T17:30:00"/>
    <n v="0"/>
    <x v="1"/>
  </r>
  <r>
    <x v="0"/>
    <s v="Egypt"/>
    <x v="15"/>
    <x v="77"/>
    <x v="77"/>
    <m/>
    <m/>
    <s v="Break 30 Night"/>
    <d v="1899-12-30T20:30:00"/>
    <d v="1899-12-30T21:00:00"/>
    <n v="0"/>
    <x v="1"/>
  </r>
  <r>
    <x v="0"/>
    <s v="Egypt"/>
    <x v="15"/>
    <x v="77"/>
    <x v="77"/>
    <d v="2025-06-12T00:00:00"/>
    <d v="1899-12-30T08:15:00"/>
    <s v="Non Telecom"/>
    <d v="1899-12-30T17:15:00"/>
    <s v="+1:30 AM"/>
    <n v="29700"/>
    <x v="0"/>
  </r>
  <r>
    <x v="0"/>
    <s v="Egypt"/>
    <x v="15"/>
    <x v="77"/>
    <x v="77"/>
    <m/>
    <m/>
    <s v="Break 15 Night"/>
    <d v="1899-12-30T20:30:00"/>
    <d v="1899-12-30T20:45:00"/>
    <n v="0"/>
    <x v="1"/>
  </r>
  <r>
    <x v="0"/>
    <s v="Egypt"/>
    <x v="15"/>
    <x v="77"/>
    <x v="77"/>
    <m/>
    <m/>
    <s v="Break 30 Night"/>
    <d v="1899-12-30T23:30:00"/>
    <s v="+12:00 AM"/>
    <n v="0"/>
    <x v="1"/>
  </r>
  <r>
    <x v="0"/>
    <s v="Egypt"/>
    <x v="15"/>
    <x v="77"/>
    <x v="77"/>
    <d v="2025-06-13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8:15:00"/>
    <d v="1899-12-30T18:30:00"/>
    <n v="0"/>
    <x v="1"/>
  </r>
  <r>
    <x v="0"/>
    <s v="Egypt"/>
    <x v="15"/>
    <x v="77"/>
    <x v="77"/>
    <m/>
    <m/>
    <s v="Break 30 Night"/>
    <d v="1899-12-30T21:30:00"/>
    <d v="1899-12-30T22:00:00"/>
    <n v="0"/>
    <x v="1"/>
  </r>
  <r>
    <x v="0"/>
    <s v="Egypt"/>
    <x v="15"/>
    <x v="77"/>
    <x v="77"/>
    <d v="2025-06-14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8:30:00"/>
    <d v="1899-12-30T18:45:00"/>
    <n v="0"/>
    <x v="1"/>
  </r>
  <r>
    <x v="0"/>
    <s v="Egypt"/>
    <x v="15"/>
    <x v="77"/>
    <x v="77"/>
    <m/>
    <m/>
    <s v="Break 30 Night"/>
    <d v="1899-12-30T21:30:00"/>
    <d v="1899-12-30T22:00:00"/>
    <n v="0"/>
    <x v="1"/>
  </r>
  <r>
    <x v="0"/>
    <s v="Egypt"/>
    <x v="15"/>
    <x v="77"/>
    <x v="77"/>
    <d v="2025-06-15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9:30:00"/>
    <d v="1899-12-30T19:45:00"/>
    <n v="0"/>
    <x v="1"/>
  </r>
  <r>
    <x v="0"/>
    <s v="Egypt"/>
    <x v="15"/>
    <x v="77"/>
    <x v="77"/>
    <m/>
    <m/>
    <s v="Break 30 Night"/>
    <d v="1899-12-30T22:15:00"/>
    <d v="1899-12-30T22:45:00"/>
    <n v="0"/>
    <x v="1"/>
  </r>
  <r>
    <x v="0"/>
    <s v="Egypt"/>
    <x v="15"/>
    <x v="77"/>
    <x v="77"/>
    <d v="2025-06-16T00:00:00"/>
    <m/>
    <s v="Day Off"/>
    <m/>
    <m/>
    <n v="0"/>
    <x v="1"/>
  </r>
  <r>
    <x v="0"/>
    <s v="Egypt"/>
    <x v="15"/>
    <x v="77"/>
    <x v="77"/>
    <d v="2025-06-17T00:00:00"/>
    <d v="1899-12-30T08:15:00"/>
    <s v="Non Telecom"/>
    <d v="1899-12-30T19:15:00"/>
    <s v="+3:30 AM"/>
    <n v="29700"/>
    <x v="0"/>
  </r>
  <r>
    <x v="0"/>
    <s v="Egypt"/>
    <x v="15"/>
    <x v="77"/>
    <x v="77"/>
    <m/>
    <m/>
    <s v="Break 15 Night"/>
    <d v="1899-12-30T22:15:00"/>
    <d v="1899-12-30T22:30:00"/>
    <n v="0"/>
    <x v="1"/>
  </r>
  <r>
    <x v="0"/>
    <s v="Egypt"/>
    <x v="15"/>
    <x v="77"/>
    <x v="77"/>
    <m/>
    <m/>
    <s v="Break 30 Night"/>
    <s v="+1:00 AM"/>
    <s v="+1:30 AM"/>
    <n v="0"/>
    <x v="1"/>
  </r>
  <r>
    <x v="0"/>
    <s v="Egypt"/>
    <x v="15"/>
    <x v="77"/>
    <x v="77"/>
    <d v="2025-06-18T00:00:00"/>
    <d v="1899-12-30T08:15:00"/>
    <s v="Non Telecom"/>
    <d v="1899-12-30T17:15:00"/>
    <s v="+1:30 AM"/>
    <n v="29700"/>
    <x v="0"/>
  </r>
  <r>
    <x v="0"/>
    <s v="Egypt"/>
    <x v="15"/>
    <x v="77"/>
    <x v="77"/>
    <m/>
    <m/>
    <s v="Break 15 Night"/>
    <d v="1899-12-30T20:45:00"/>
    <d v="1899-12-30T21:00:00"/>
    <n v="0"/>
    <x v="1"/>
  </r>
  <r>
    <x v="0"/>
    <s v="Egypt"/>
    <x v="15"/>
    <x v="77"/>
    <x v="77"/>
    <m/>
    <m/>
    <s v="Break 30 Night"/>
    <d v="1899-12-30T23:45:00"/>
    <s v="+12:15 AM"/>
    <n v="0"/>
    <x v="1"/>
  </r>
  <r>
    <x v="0"/>
    <s v="Egypt"/>
    <x v="15"/>
    <x v="77"/>
    <x v="77"/>
    <d v="2025-06-19T00:00:00"/>
    <m/>
    <s v="Day Off"/>
    <m/>
    <m/>
    <n v="0"/>
    <x v="1"/>
  </r>
  <r>
    <x v="0"/>
    <s v="Egypt"/>
    <x v="15"/>
    <x v="77"/>
    <x v="77"/>
    <d v="2025-06-20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9:15:00"/>
    <d v="1899-12-30T19:30:00"/>
    <n v="0"/>
    <x v="1"/>
  </r>
  <r>
    <x v="0"/>
    <s v="Egypt"/>
    <x v="15"/>
    <x v="77"/>
    <x v="77"/>
    <m/>
    <m/>
    <s v="Break 30 Night"/>
    <d v="1899-12-30T21:45:00"/>
    <d v="1899-12-30T22:15:00"/>
    <n v="0"/>
    <x v="1"/>
  </r>
  <r>
    <x v="0"/>
    <s v="Egypt"/>
    <x v="15"/>
    <x v="77"/>
    <x v="77"/>
    <d v="2025-06-21T00:00:00"/>
    <d v="1899-12-30T08:15:00"/>
    <s v="Non Telecom"/>
    <d v="1899-12-30T16:15:00"/>
    <s v="+12:30 AM"/>
    <n v="29700"/>
    <x v="0"/>
  </r>
  <r>
    <x v="0"/>
    <s v="Egypt"/>
    <x v="15"/>
    <x v="77"/>
    <x v="77"/>
    <m/>
    <m/>
    <s v="Break 15 Night"/>
    <d v="1899-12-30T18:45:00"/>
    <d v="1899-12-30T19:00:00"/>
    <n v="0"/>
    <x v="1"/>
  </r>
  <r>
    <x v="0"/>
    <s v="Egypt"/>
    <x v="15"/>
    <x v="77"/>
    <x v="77"/>
    <m/>
    <m/>
    <s v="Break 30 Night"/>
    <d v="1899-12-30T21:30:00"/>
    <d v="1899-12-30T22:00:00"/>
    <n v="0"/>
    <x v="1"/>
  </r>
  <r>
    <x v="0"/>
    <s v="Egypt"/>
    <x v="15"/>
    <x v="77"/>
    <x v="77"/>
    <d v="2025-06-22T00:00:00"/>
    <m/>
    <s v="Day Off"/>
    <m/>
    <m/>
    <n v="0"/>
    <x v="1"/>
  </r>
  <r>
    <x v="0"/>
    <s v="Egypt"/>
    <x v="15"/>
    <x v="77"/>
    <x v="77"/>
    <d v="2025-06-23T00:00:00"/>
    <m/>
    <s v="Day Off"/>
    <m/>
    <m/>
    <n v="0"/>
    <x v="1"/>
  </r>
  <r>
    <x v="0"/>
    <s v="Egypt"/>
    <x v="15"/>
    <x v="77"/>
    <x v="77"/>
    <d v="2025-06-24T00:00:00"/>
    <d v="1899-12-30T08:15:00"/>
    <s v="Non Telecom"/>
    <d v="1899-12-30T13:00:00"/>
    <d v="1899-12-30T21:15:00"/>
    <n v="29700"/>
    <x v="0"/>
  </r>
  <r>
    <x v="0"/>
    <s v="Egypt"/>
    <x v="15"/>
    <x v="77"/>
    <x v="77"/>
    <m/>
    <m/>
    <s v="Break 15 Morning"/>
    <d v="1899-12-30T15:15:00"/>
    <d v="1899-12-30T15:30:00"/>
    <n v="0"/>
    <x v="1"/>
  </r>
  <r>
    <x v="0"/>
    <s v="Egypt"/>
    <x v="15"/>
    <x v="77"/>
    <x v="77"/>
    <m/>
    <m/>
    <s v="Break 30 Morning"/>
    <d v="1899-12-30T18:15:00"/>
    <d v="1899-12-30T18:45:00"/>
    <n v="0"/>
    <x v="1"/>
  </r>
  <r>
    <x v="0"/>
    <s v="Egypt"/>
    <x v="15"/>
    <x v="77"/>
    <x v="77"/>
    <d v="2025-06-25T00:00:00"/>
    <d v="1899-12-30T08:15:00"/>
    <s v="Non Telecom"/>
    <d v="1899-12-30T09:00:00"/>
    <d v="1899-12-30T17:15:00"/>
    <n v="29700"/>
    <x v="0"/>
  </r>
  <r>
    <x v="0"/>
    <s v="Egypt"/>
    <x v="15"/>
    <x v="77"/>
    <x v="77"/>
    <m/>
    <m/>
    <s v="Break 15 Morning"/>
    <d v="1899-12-30T12:30:00"/>
    <d v="1899-12-30T12:45:00"/>
    <n v="0"/>
    <x v="1"/>
  </r>
  <r>
    <x v="0"/>
    <s v="Egypt"/>
    <x v="15"/>
    <x v="77"/>
    <x v="77"/>
    <m/>
    <m/>
    <s v="Break 30 Morning"/>
    <d v="1899-12-30T15:15:00"/>
    <d v="1899-12-30T15:45:00"/>
    <n v="0"/>
    <x v="1"/>
  </r>
  <r>
    <x v="0"/>
    <s v="Egypt"/>
    <x v="15"/>
    <x v="77"/>
    <x v="77"/>
    <d v="2025-06-26T00:00:00"/>
    <d v="1899-12-30T08:15:00"/>
    <s v="Annual"/>
    <m/>
    <m/>
    <n v="29700"/>
    <x v="1"/>
  </r>
  <r>
    <x v="0"/>
    <s v="Egypt"/>
    <x v="15"/>
    <x v="77"/>
    <x v="77"/>
    <d v="2025-06-27T00:00:00"/>
    <d v="1899-12-30T08:15:00"/>
    <s v="Annual"/>
    <m/>
    <m/>
    <n v="29700"/>
    <x v="1"/>
  </r>
  <r>
    <x v="0"/>
    <s v="Egypt"/>
    <x v="15"/>
    <x v="77"/>
    <x v="77"/>
    <d v="2025-06-28T00:00:00"/>
    <d v="1899-12-30T08:15:00"/>
    <s v="Annual"/>
    <m/>
    <m/>
    <n v="29700"/>
    <x v="1"/>
  </r>
  <r>
    <x v="0"/>
    <s v="Egypt"/>
    <x v="15"/>
    <x v="77"/>
    <x v="77"/>
    <d v="2025-06-29T00:00:00"/>
    <m/>
    <s v="Day Off"/>
    <m/>
    <m/>
    <n v="0"/>
    <x v="1"/>
  </r>
  <r>
    <x v="0"/>
    <s v="Egypt"/>
    <x v="15"/>
    <x v="77"/>
    <x v="77"/>
    <d v="2025-06-30T00:00:00"/>
    <d v="1899-12-30T08:15:00"/>
    <s v="Non Telecom"/>
    <d v="1899-12-30T09:00:00"/>
    <d v="1899-12-30T17:15:00"/>
    <n v="29700"/>
    <x v="0"/>
  </r>
  <r>
    <x v="0"/>
    <s v="Egypt"/>
    <x v="15"/>
    <x v="77"/>
    <x v="77"/>
    <m/>
    <m/>
    <s v="Break 15 Morning"/>
    <d v="1899-12-30T11:00:00"/>
    <d v="1899-12-30T11:15:00"/>
    <n v="0"/>
    <x v="1"/>
  </r>
  <r>
    <x v="0"/>
    <s v="Egypt"/>
    <x v="15"/>
    <x v="77"/>
    <x v="77"/>
    <m/>
    <m/>
    <s v="Break 30 Morning"/>
    <d v="1899-12-30T13:45:00"/>
    <d v="1899-12-30T14:15:00"/>
    <n v="0"/>
    <x v="1"/>
  </r>
  <r>
    <x v="0"/>
    <s v="Egypt"/>
    <x v="16"/>
    <x v="78"/>
    <x v="78"/>
    <d v="2025-06-01T00:00:00"/>
    <d v="1899-12-30T08:15:00"/>
    <s v="Non Telecom"/>
    <d v="1899-12-30T11:00:00"/>
    <d v="1899-12-30T19:15:00"/>
    <n v="29700"/>
    <x v="0"/>
  </r>
  <r>
    <x v="0"/>
    <s v="Egypt"/>
    <x v="16"/>
    <x v="78"/>
    <x v="78"/>
    <m/>
    <m/>
    <s v="Break 15 Morning"/>
    <d v="1899-12-30T13:15:00"/>
    <d v="1899-12-30T13:30:00"/>
    <n v="0"/>
    <x v="1"/>
  </r>
  <r>
    <x v="0"/>
    <s v="Egypt"/>
    <x v="16"/>
    <x v="78"/>
    <x v="78"/>
    <m/>
    <m/>
    <s v="Break 30 Morning"/>
    <d v="1899-12-30T17:00:00"/>
    <d v="1899-12-30T17:30:00"/>
    <n v="0"/>
    <x v="1"/>
  </r>
  <r>
    <x v="0"/>
    <s v="Egypt"/>
    <x v="16"/>
    <x v="78"/>
    <x v="78"/>
    <d v="2025-06-02T00:00:00"/>
    <m/>
    <s v="Day Off"/>
    <m/>
    <m/>
    <n v="0"/>
    <x v="1"/>
  </r>
  <r>
    <x v="0"/>
    <s v="Egypt"/>
    <x v="16"/>
    <x v="78"/>
    <x v="78"/>
    <d v="2025-06-03T00:00:00"/>
    <m/>
    <s v="Day Off"/>
    <m/>
    <m/>
    <n v="0"/>
    <x v="1"/>
  </r>
  <r>
    <x v="0"/>
    <s v="Egypt"/>
    <x v="16"/>
    <x v="78"/>
    <x v="78"/>
    <d v="2025-06-04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00:00"/>
    <d v="1899-12-30T09:15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05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06T00:00:00"/>
    <d v="1899-12-30T08:15:00"/>
    <s v="Public holiday"/>
    <m/>
    <m/>
    <n v="29700"/>
    <x v="1"/>
  </r>
  <r>
    <x v="0"/>
    <s v="Egypt"/>
    <x v="16"/>
    <x v="78"/>
    <x v="78"/>
    <d v="2025-06-07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08T00:00:00"/>
    <d v="1899-12-30T08:15:00"/>
    <s v="Non Telecom"/>
    <d v="1899-12-30T13:00:00"/>
    <d v="1899-12-30T21:15:00"/>
    <n v="29700"/>
    <x v="0"/>
  </r>
  <r>
    <x v="0"/>
    <s v="Egypt"/>
    <x v="16"/>
    <x v="78"/>
    <x v="78"/>
    <m/>
    <m/>
    <s v="Break 15 Morning"/>
    <d v="1899-12-30T14:30:00"/>
    <d v="1899-12-30T14:45:00"/>
    <n v="0"/>
    <x v="1"/>
  </r>
  <r>
    <x v="0"/>
    <s v="Egypt"/>
    <x v="16"/>
    <x v="78"/>
    <x v="78"/>
    <m/>
    <m/>
    <s v="Break 30 Morning"/>
    <d v="1899-12-30T17:45:00"/>
    <d v="1899-12-30T18:15:00"/>
    <n v="0"/>
    <x v="1"/>
  </r>
  <r>
    <x v="0"/>
    <s v="Egypt"/>
    <x v="16"/>
    <x v="78"/>
    <x v="78"/>
    <d v="2025-06-09T00:00:00"/>
    <d v="1899-12-30T08:15:00"/>
    <s v="Non Telecom"/>
    <d v="1899-12-30T11:00:00"/>
    <d v="1899-12-30T19:15:00"/>
    <n v="29700"/>
    <x v="0"/>
  </r>
  <r>
    <x v="0"/>
    <s v="Egypt"/>
    <x v="16"/>
    <x v="78"/>
    <x v="78"/>
    <m/>
    <m/>
    <s v="Break 15 Morning"/>
    <d v="1899-12-30T12:45:00"/>
    <d v="1899-12-30T13:00:00"/>
    <n v="0"/>
    <x v="1"/>
  </r>
  <r>
    <x v="0"/>
    <s v="Egypt"/>
    <x v="16"/>
    <x v="78"/>
    <x v="78"/>
    <m/>
    <m/>
    <s v="Break 30 Morning"/>
    <d v="1899-12-30T16:15:00"/>
    <d v="1899-12-30T16:45:00"/>
    <n v="0"/>
    <x v="1"/>
  </r>
  <r>
    <x v="0"/>
    <s v="Egypt"/>
    <x v="16"/>
    <x v="78"/>
    <x v="78"/>
    <d v="2025-06-10T00:00:00"/>
    <d v="1899-12-30T08:15:00"/>
    <s v="Annual Exception"/>
    <m/>
    <m/>
    <n v="29700"/>
    <x v="1"/>
  </r>
  <r>
    <x v="0"/>
    <s v="Egypt"/>
    <x v="16"/>
    <x v="78"/>
    <x v="78"/>
    <d v="2025-06-11T00:00:00"/>
    <d v="1899-12-30T08:15:00"/>
    <s v="Annual Exception"/>
    <m/>
    <m/>
    <n v="29700"/>
    <x v="1"/>
  </r>
  <r>
    <x v="0"/>
    <s v="Egypt"/>
    <x v="16"/>
    <x v="78"/>
    <x v="78"/>
    <d v="2025-06-12T00:00:00"/>
    <m/>
    <s v="Day Off"/>
    <m/>
    <m/>
    <n v="0"/>
    <x v="1"/>
  </r>
  <r>
    <x v="0"/>
    <s v="Egypt"/>
    <x v="16"/>
    <x v="78"/>
    <x v="78"/>
    <d v="2025-06-13T00:00:00"/>
    <m/>
    <s v="Day Off"/>
    <m/>
    <m/>
    <n v="0"/>
    <x v="1"/>
  </r>
  <r>
    <x v="0"/>
    <s v="Egypt"/>
    <x v="16"/>
    <x v="78"/>
    <x v="78"/>
    <d v="2025-06-14T00:00:00"/>
    <d v="1899-12-30T08:15:00"/>
    <s v="Annual Exception"/>
    <m/>
    <m/>
    <n v="29700"/>
    <x v="1"/>
  </r>
  <r>
    <x v="0"/>
    <s v="Egypt"/>
    <x v="16"/>
    <x v="78"/>
    <x v="78"/>
    <d v="2025-06-15T00:00:00"/>
    <d v="1899-12-30T08:15:00"/>
    <s v="Non Telecom"/>
    <d v="1899-12-30T13:00:00"/>
    <d v="1899-12-30T21:15:00"/>
    <n v="29700"/>
    <x v="0"/>
  </r>
  <r>
    <x v="0"/>
    <s v="Egypt"/>
    <x v="16"/>
    <x v="78"/>
    <x v="78"/>
    <m/>
    <m/>
    <s v="Break 15 Morning"/>
    <d v="1899-12-30T15:15:00"/>
    <d v="1899-12-30T15:30:00"/>
    <n v="0"/>
    <x v="1"/>
  </r>
  <r>
    <x v="0"/>
    <s v="Egypt"/>
    <x v="16"/>
    <x v="78"/>
    <x v="78"/>
    <m/>
    <m/>
    <s v="Break 30 Morning"/>
    <d v="1899-12-30T18:15:00"/>
    <d v="1899-12-30T18:45:00"/>
    <n v="0"/>
    <x v="1"/>
  </r>
  <r>
    <x v="0"/>
    <s v="Egypt"/>
    <x v="16"/>
    <x v="78"/>
    <x v="78"/>
    <d v="2025-06-16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17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18T00:00:00"/>
    <m/>
    <s v="Day Off"/>
    <m/>
    <m/>
    <n v="0"/>
    <x v="1"/>
  </r>
  <r>
    <x v="0"/>
    <s v="Egypt"/>
    <x v="16"/>
    <x v="78"/>
    <x v="78"/>
    <d v="2025-06-19T00:00:00"/>
    <m/>
    <s v="Day Off"/>
    <m/>
    <m/>
    <n v="0"/>
    <x v="1"/>
  </r>
  <r>
    <x v="0"/>
    <s v="Egypt"/>
    <x v="16"/>
    <x v="78"/>
    <x v="78"/>
    <d v="2025-06-20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21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30:00"/>
    <d v="1899-12-30T09:45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22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23T00:00:00"/>
    <d v="1899-12-30T08:15:00"/>
    <s v="Non Telecom"/>
    <d v="1899-12-30T08:00:00"/>
    <d v="1899-12-30T16:15:00"/>
    <n v="29700"/>
    <x v="0"/>
  </r>
  <r>
    <x v="0"/>
    <s v="Egypt"/>
    <x v="16"/>
    <x v="78"/>
    <x v="78"/>
    <m/>
    <m/>
    <s v="Break 15 Morning"/>
    <d v="1899-12-30T09:15:00"/>
    <d v="1899-12-30T09:30:00"/>
    <n v="0"/>
    <x v="1"/>
  </r>
  <r>
    <x v="0"/>
    <s v="Egypt"/>
    <x v="16"/>
    <x v="78"/>
    <x v="78"/>
    <m/>
    <m/>
    <s v="Break 30 Morning"/>
    <d v="1899-12-30T12:15:00"/>
    <d v="1899-12-30T12:45:00"/>
    <n v="0"/>
    <x v="1"/>
  </r>
  <r>
    <x v="0"/>
    <s v="Egypt"/>
    <x v="16"/>
    <x v="78"/>
    <x v="78"/>
    <d v="2025-06-24T00:00:00"/>
    <m/>
    <s v="Day Off"/>
    <m/>
    <m/>
    <n v="0"/>
    <x v="1"/>
  </r>
  <r>
    <x v="0"/>
    <s v="Egypt"/>
    <x v="16"/>
    <x v="78"/>
    <x v="78"/>
    <d v="2025-06-25T00:00:00"/>
    <m/>
    <s v="Day Off"/>
    <m/>
    <m/>
    <n v="0"/>
    <x v="1"/>
  </r>
  <r>
    <x v="0"/>
    <s v="Egypt"/>
    <x v="16"/>
    <x v="78"/>
    <x v="78"/>
    <d v="2025-06-26T00:00:00"/>
    <d v="1899-12-30T08:15:00"/>
    <s v="Non Telecom"/>
    <d v="1899-12-30T09:00:00"/>
    <d v="1899-12-30T17:15:00"/>
    <n v="29700"/>
    <x v="0"/>
  </r>
  <r>
    <x v="0"/>
    <s v="Egypt"/>
    <x v="16"/>
    <x v="78"/>
    <x v="78"/>
    <m/>
    <m/>
    <s v="Break 15 Morning"/>
    <d v="1899-12-30T11:15:00"/>
    <d v="1899-12-30T11:30:00"/>
    <n v="0"/>
    <x v="1"/>
  </r>
  <r>
    <x v="0"/>
    <s v="Egypt"/>
    <x v="16"/>
    <x v="78"/>
    <x v="78"/>
    <m/>
    <m/>
    <s v="Break 30 Morning"/>
    <d v="1899-12-30T14:45:00"/>
    <d v="1899-12-30T15:15:00"/>
    <n v="0"/>
    <x v="1"/>
  </r>
  <r>
    <x v="0"/>
    <s v="Egypt"/>
    <x v="16"/>
    <x v="78"/>
    <x v="78"/>
    <d v="2025-06-27T00:00:00"/>
    <d v="1899-12-30T08:15:00"/>
    <s v="Non Telecom"/>
    <d v="1899-12-30T09:00:00"/>
    <d v="1899-12-30T17:15:00"/>
    <n v="29700"/>
    <x v="0"/>
  </r>
  <r>
    <x v="0"/>
    <s v="Egypt"/>
    <x v="16"/>
    <x v="78"/>
    <x v="78"/>
    <m/>
    <m/>
    <s v="Break 15 Morning"/>
    <d v="1899-12-30T11:30:00"/>
    <d v="1899-12-30T11:45:00"/>
    <n v="0"/>
    <x v="1"/>
  </r>
  <r>
    <x v="0"/>
    <s v="Egypt"/>
    <x v="16"/>
    <x v="78"/>
    <x v="78"/>
    <m/>
    <m/>
    <s v="Break 30 Morning"/>
    <d v="1899-12-30T14:45:00"/>
    <d v="1899-12-30T15:15:00"/>
    <n v="0"/>
    <x v="1"/>
  </r>
  <r>
    <x v="0"/>
    <s v="Egypt"/>
    <x v="16"/>
    <x v="78"/>
    <x v="78"/>
    <d v="2025-06-28T00:00:00"/>
    <d v="1899-12-30T08:15:00"/>
    <s v="Non Telecom"/>
    <d v="1899-12-30T09:00:00"/>
    <d v="1899-12-30T17:15:00"/>
    <n v="29700"/>
    <x v="0"/>
  </r>
  <r>
    <x v="0"/>
    <s v="Egypt"/>
    <x v="16"/>
    <x v="78"/>
    <x v="78"/>
    <m/>
    <m/>
    <s v="Break 15 Morning"/>
    <d v="1899-12-30T11:30:00"/>
    <d v="1899-12-30T11:45:00"/>
    <n v="0"/>
    <x v="1"/>
  </r>
  <r>
    <x v="0"/>
    <s v="Egypt"/>
    <x v="16"/>
    <x v="78"/>
    <x v="78"/>
    <m/>
    <m/>
    <s v="Break 30 Morning"/>
    <d v="1899-12-30T14:45:00"/>
    <d v="1899-12-30T15:15:00"/>
    <n v="0"/>
    <x v="1"/>
  </r>
  <r>
    <x v="0"/>
    <s v="Egypt"/>
    <x v="16"/>
    <x v="78"/>
    <x v="78"/>
    <d v="2025-06-29T00:00:00"/>
    <d v="1899-12-30T08:15:00"/>
    <s v="Non Telecom"/>
    <d v="1899-12-30T09:00:00"/>
    <d v="1899-12-30T17:15:00"/>
    <n v="29700"/>
    <x v="0"/>
  </r>
  <r>
    <x v="0"/>
    <s v="Egypt"/>
    <x v="16"/>
    <x v="78"/>
    <x v="78"/>
    <m/>
    <m/>
    <s v="Break 15 Morning"/>
    <d v="1899-12-30T10:45:00"/>
    <d v="1899-12-30T11:00:00"/>
    <n v="0"/>
    <x v="1"/>
  </r>
  <r>
    <x v="0"/>
    <s v="Egypt"/>
    <x v="16"/>
    <x v="78"/>
    <x v="78"/>
    <m/>
    <m/>
    <s v="Break 30 Morning"/>
    <d v="1899-12-30T13:45:00"/>
    <d v="1899-12-30T14:15:00"/>
    <n v="0"/>
    <x v="1"/>
  </r>
  <r>
    <x v="0"/>
    <s v="Egypt"/>
    <x v="16"/>
    <x v="78"/>
    <x v="78"/>
    <d v="2025-06-30T00:00:00"/>
    <m/>
    <s v="Day Off"/>
    <m/>
    <m/>
    <n v="0"/>
    <x v="1"/>
  </r>
  <r>
    <x v="0"/>
    <s v="Egypt"/>
    <x v="16"/>
    <x v="79"/>
    <x v="79"/>
    <d v="2025-06-01T00:00:00"/>
    <m/>
    <s v="Day Off"/>
    <m/>
    <m/>
    <n v="0"/>
    <x v="1"/>
  </r>
  <r>
    <x v="0"/>
    <s v="Egypt"/>
    <x v="16"/>
    <x v="79"/>
    <x v="79"/>
    <d v="2025-06-02T00:00:00"/>
    <d v="1899-12-30T08:15:00"/>
    <s v="Non Telecom"/>
    <d v="1899-12-30T10:00:00"/>
    <d v="1899-12-30T18:15:00"/>
    <n v="29700"/>
    <x v="0"/>
  </r>
  <r>
    <x v="0"/>
    <s v="Egypt"/>
    <x v="16"/>
    <x v="79"/>
    <x v="79"/>
    <m/>
    <m/>
    <s v="Break 15 Morning"/>
    <d v="1899-12-30T12:45:00"/>
    <d v="1899-12-30T13:00:00"/>
    <n v="0"/>
    <x v="1"/>
  </r>
  <r>
    <x v="0"/>
    <s v="Egypt"/>
    <x v="16"/>
    <x v="79"/>
    <x v="79"/>
    <m/>
    <m/>
    <s v="Break 30 Morning"/>
    <d v="1899-12-30T15:45:00"/>
    <d v="1899-12-30T16:15:00"/>
    <n v="0"/>
    <x v="1"/>
  </r>
  <r>
    <x v="0"/>
    <s v="Egypt"/>
    <x v="16"/>
    <x v="79"/>
    <x v="79"/>
    <d v="2025-06-03T00:00:00"/>
    <d v="1899-12-30T08:15:00"/>
    <s v="Annual Exception"/>
    <m/>
    <m/>
    <n v="29700"/>
    <x v="1"/>
  </r>
  <r>
    <x v="0"/>
    <s v="Egypt"/>
    <x v="16"/>
    <x v="79"/>
    <x v="79"/>
    <d v="2025-06-04T00:00:00"/>
    <d v="1899-12-30T08:15:00"/>
    <s v="Non Telecom"/>
    <d v="1899-12-30T10:00:00"/>
    <d v="1899-12-30T18:15:00"/>
    <n v="29700"/>
    <x v="0"/>
  </r>
  <r>
    <x v="0"/>
    <s v="Egypt"/>
    <x v="16"/>
    <x v="79"/>
    <x v="79"/>
    <m/>
    <m/>
    <s v="Break 15 Morning"/>
    <d v="1899-12-30T12:15:00"/>
    <d v="1899-12-30T12:30:00"/>
    <n v="0"/>
    <x v="1"/>
  </r>
  <r>
    <x v="0"/>
    <s v="Egypt"/>
    <x v="16"/>
    <x v="79"/>
    <x v="79"/>
    <m/>
    <m/>
    <s v="Break 30 Morning"/>
    <d v="1899-12-30T15:15:00"/>
    <d v="1899-12-30T15:45:00"/>
    <n v="0"/>
    <x v="1"/>
  </r>
  <r>
    <x v="0"/>
    <s v="Egypt"/>
    <x v="16"/>
    <x v="79"/>
    <x v="79"/>
    <d v="2025-06-05T00:00:00"/>
    <d v="1899-12-30T08:15:00"/>
    <s v="Annual Exception"/>
    <m/>
    <m/>
    <n v="29700"/>
    <x v="1"/>
  </r>
  <r>
    <x v="0"/>
    <s v="Egypt"/>
    <x v="16"/>
    <x v="79"/>
    <x v="79"/>
    <d v="2025-06-06T00:00:00"/>
    <d v="1899-12-30T08:15:00"/>
    <s v="Non Telecom"/>
    <d v="1899-12-30T10:00:00"/>
    <d v="1899-12-30T18:15:00"/>
    <n v="29700"/>
    <x v="0"/>
  </r>
  <r>
    <x v="0"/>
    <s v="Egypt"/>
    <x v="16"/>
    <x v="79"/>
    <x v="79"/>
    <m/>
    <m/>
    <s v="Break 15 Morning"/>
    <d v="1899-12-30T12:30:00"/>
    <d v="1899-12-30T12:45:00"/>
    <n v="0"/>
    <x v="1"/>
  </r>
  <r>
    <x v="0"/>
    <s v="Egypt"/>
    <x v="16"/>
    <x v="79"/>
    <x v="79"/>
    <m/>
    <m/>
    <s v="Break 30 Morning"/>
    <d v="1899-12-30T15:45:00"/>
    <d v="1899-12-30T16:15:00"/>
    <n v="0"/>
    <x v="1"/>
  </r>
  <r>
    <x v="0"/>
    <s v="Egypt"/>
    <x v="16"/>
    <x v="79"/>
    <x v="79"/>
    <d v="2025-06-07T00:00:00"/>
    <m/>
    <s v="Day Off"/>
    <m/>
    <m/>
    <n v="0"/>
    <x v="1"/>
  </r>
  <r>
    <x v="0"/>
    <s v="Egypt"/>
    <x v="16"/>
    <x v="79"/>
    <x v="79"/>
    <d v="2025-06-08T00:00:00"/>
    <d v="1899-12-30T08:15:00"/>
    <s v="Public holiday"/>
    <m/>
    <m/>
    <n v="29700"/>
    <x v="1"/>
  </r>
  <r>
    <x v="0"/>
    <s v="Egypt"/>
    <x v="16"/>
    <x v="79"/>
    <x v="79"/>
    <d v="2025-06-09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30:00"/>
    <d v="1899-12-30T11:45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10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30:00"/>
    <d v="1899-12-30T11:45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11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45:00"/>
    <d v="1899-12-30T12:00:00"/>
    <n v="0"/>
    <x v="1"/>
  </r>
  <r>
    <x v="0"/>
    <s v="Egypt"/>
    <x v="16"/>
    <x v="79"/>
    <x v="79"/>
    <m/>
    <m/>
    <s v="Break 30 Morning"/>
    <d v="1899-12-30T15:15:00"/>
    <d v="1899-12-30T15:45:00"/>
    <n v="0"/>
    <x v="1"/>
  </r>
  <r>
    <x v="0"/>
    <s v="Egypt"/>
    <x v="16"/>
    <x v="79"/>
    <x v="79"/>
    <d v="2025-06-12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45:00"/>
    <d v="1899-12-30T12:00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13T00:00:00"/>
    <m/>
    <s v="Day Off"/>
    <m/>
    <m/>
    <n v="0"/>
    <x v="1"/>
  </r>
  <r>
    <x v="0"/>
    <s v="Egypt"/>
    <x v="16"/>
    <x v="79"/>
    <x v="79"/>
    <d v="2025-06-14T00:00:00"/>
    <m/>
    <s v="Day Off"/>
    <m/>
    <m/>
    <n v="0"/>
    <x v="1"/>
  </r>
  <r>
    <x v="0"/>
    <s v="Egypt"/>
    <x v="16"/>
    <x v="79"/>
    <x v="79"/>
    <d v="2025-06-15T00:00:00"/>
    <d v="1899-12-30T08:15:00"/>
    <s v="Non Telecom"/>
    <d v="1899-12-30T13:00:00"/>
    <d v="1899-12-30T21:15:00"/>
    <n v="29700"/>
    <x v="0"/>
  </r>
  <r>
    <x v="0"/>
    <s v="Egypt"/>
    <x v="16"/>
    <x v="79"/>
    <x v="79"/>
    <m/>
    <m/>
    <s v="Break 15 Morning"/>
    <d v="1899-12-30T15:45:00"/>
    <d v="1899-12-30T16:00:00"/>
    <n v="0"/>
    <x v="1"/>
  </r>
  <r>
    <x v="0"/>
    <s v="Egypt"/>
    <x v="16"/>
    <x v="79"/>
    <x v="79"/>
    <m/>
    <m/>
    <s v="Break 30 Morning"/>
    <d v="1899-12-30T18:45:00"/>
    <d v="1899-12-30T19:15:00"/>
    <n v="0"/>
    <x v="1"/>
  </r>
  <r>
    <x v="0"/>
    <s v="Egypt"/>
    <x v="16"/>
    <x v="79"/>
    <x v="79"/>
    <d v="2025-06-16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2:00:00"/>
    <d v="1899-12-30T12:15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17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2:00:00"/>
    <d v="1899-12-30T12:15:00"/>
    <n v="0"/>
    <x v="1"/>
  </r>
  <r>
    <x v="0"/>
    <s v="Egypt"/>
    <x v="16"/>
    <x v="79"/>
    <x v="79"/>
    <m/>
    <m/>
    <s v="Break 30 Morning"/>
    <d v="1899-12-30T15:15:00"/>
    <d v="1899-12-30T15:45:00"/>
    <n v="0"/>
    <x v="1"/>
  </r>
  <r>
    <x v="0"/>
    <s v="Egypt"/>
    <x v="16"/>
    <x v="79"/>
    <x v="79"/>
    <d v="2025-06-18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2:00:00"/>
    <d v="1899-12-30T12:15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19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45:00"/>
    <d v="1899-12-30T12:00:00"/>
    <n v="0"/>
    <x v="1"/>
  </r>
  <r>
    <x v="0"/>
    <s v="Egypt"/>
    <x v="16"/>
    <x v="79"/>
    <x v="79"/>
    <m/>
    <m/>
    <s v="Break 30 Morning"/>
    <d v="1899-12-30T14:45:00"/>
    <d v="1899-12-30T15:15:00"/>
    <n v="0"/>
    <x v="1"/>
  </r>
  <r>
    <x v="0"/>
    <s v="Egypt"/>
    <x v="16"/>
    <x v="79"/>
    <x v="79"/>
    <d v="2025-06-20T00:00:00"/>
    <m/>
    <s v="Day Off"/>
    <m/>
    <m/>
    <n v="0"/>
    <x v="1"/>
  </r>
  <r>
    <x v="0"/>
    <s v="Egypt"/>
    <x v="16"/>
    <x v="79"/>
    <x v="79"/>
    <d v="2025-06-21T00:00:00"/>
    <m/>
    <s v="Day Off"/>
    <m/>
    <m/>
    <n v="0"/>
    <x v="1"/>
  </r>
  <r>
    <x v="0"/>
    <s v="Egypt"/>
    <x v="16"/>
    <x v="79"/>
    <x v="79"/>
    <d v="2025-06-22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2:15:00"/>
    <d v="1899-12-30T12:30:00"/>
    <n v="0"/>
    <x v="1"/>
  </r>
  <r>
    <x v="0"/>
    <s v="Egypt"/>
    <x v="16"/>
    <x v="79"/>
    <x v="79"/>
    <m/>
    <m/>
    <s v="Break 30 Morning"/>
    <d v="1899-12-30T15:15:00"/>
    <d v="1899-12-30T15:45:00"/>
    <n v="0"/>
    <x v="1"/>
  </r>
  <r>
    <x v="0"/>
    <s v="Egypt"/>
    <x v="16"/>
    <x v="79"/>
    <x v="79"/>
    <d v="2025-06-23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45:00"/>
    <d v="1899-12-30T12:00:00"/>
    <n v="0"/>
    <x v="1"/>
  </r>
  <r>
    <x v="0"/>
    <s v="Egypt"/>
    <x v="16"/>
    <x v="79"/>
    <x v="79"/>
    <m/>
    <m/>
    <s v="Break 30 Morning"/>
    <d v="1899-12-30T14:15:00"/>
    <d v="1899-12-30T14:45:00"/>
    <n v="0"/>
    <x v="1"/>
  </r>
  <r>
    <x v="0"/>
    <s v="Egypt"/>
    <x v="16"/>
    <x v="79"/>
    <x v="79"/>
    <d v="2025-06-24T00:00:00"/>
    <d v="1899-12-30T08:15:00"/>
    <s v="Non Telecom"/>
    <d v="1899-12-30T08:00:00"/>
    <d v="1899-12-30T16:15:00"/>
    <n v="29700"/>
    <x v="0"/>
  </r>
  <r>
    <x v="0"/>
    <s v="Egypt"/>
    <x v="16"/>
    <x v="79"/>
    <x v="79"/>
    <m/>
    <m/>
    <s v="Break 15 Morning"/>
    <d v="1899-12-30T10:00:00"/>
    <d v="1899-12-30T10:15:00"/>
    <n v="0"/>
    <x v="1"/>
  </r>
  <r>
    <x v="0"/>
    <s v="Egypt"/>
    <x v="16"/>
    <x v="79"/>
    <x v="79"/>
    <m/>
    <m/>
    <s v="Break 30 Morning"/>
    <d v="1899-12-30T12:45:00"/>
    <d v="1899-12-30T13:15:00"/>
    <n v="0"/>
    <x v="1"/>
  </r>
  <r>
    <x v="0"/>
    <s v="Egypt"/>
    <x v="16"/>
    <x v="79"/>
    <x v="79"/>
    <d v="2025-06-25T00:00:00"/>
    <m/>
    <s v="Day Off"/>
    <m/>
    <m/>
    <n v="0"/>
    <x v="1"/>
  </r>
  <r>
    <x v="0"/>
    <s v="Egypt"/>
    <x v="16"/>
    <x v="79"/>
    <x v="79"/>
    <d v="2025-06-26T00:00:00"/>
    <m/>
    <s v="Day Off"/>
    <m/>
    <m/>
    <n v="0"/>
    <x v="1"/>
  </r>
  <r>
    <x v="0"/>
    <s v="Egypt"/>
    <x v="16"/>
    <x v="79"/>
    <x v="79"/>
    <d v="2025-06-27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1:00:00"/>
    <d v="1899-12-30T11:15:00"/>
    <n v="0"/>
    <x v="1"/>
  </r>
  <r>
    <x v="0"/>
    <s v="Egypt"/>
    <x v="16"/>
    <x v="79"/>
    <x v="79"/>
    <m/>
    <m/>
    <s v="Break 30 Morning"/>
    <d v="1899-12-30T14:15:00"/>
    <d v="1899-12-30T14:45:00"/>
    <n v="0"/>
    <x v="1"/>
  </r>
  <r>
    <x v="0"/>
    <s v="Egypt"/>
    <x v="16"/>
    <x v="79"/>
    <x v="79"/>
    <d v="2025-06-28T00:00:00"/>
    <d v="1899-12-30T08:15:00"/>
    <s v="Non Telecom"/>
    <d v="1899-12-30T08:00:00"/>
    <d v="1899-12-30T16:15:00"/>
    <n v="29700"/>
    <x v="0"/>
  </r>
  <r>
    <x v="0"/>
    <s v="Egypt"/>
    <x v="16"/>
    <x v="79"/>
    <x v="79"/>
    <m/>
    <m/>
    <s v="Break 15 Morning"/>
    <d v="1899-12-30T09:15:00"/>
    <d v="1899-12-30T09:30:00"/>
    <n v="0"/>
    <x v="1"/>
  </r>
  <r>
    <x v="0"/>
    <s v="Egypt"/>
    <x v="16"/>
    <x v="79"/>
    <x v="79"/>
    <m/>
    <m/>
    <s v="Break 30 Morning"/>
    <d v="1899-12-30T12:15:00"/>
    <d v="1899-12-30T12:45:00"/>
    <n v="0"/>
    <x v="1"/>
  </r>
  <r>
    <x v="0"/>
    <s v="Egypt"/>
    <x v="16"/>
    <x v="79"/>
    <x v="79"/>
    <d v="2025-06-29T00:00:00"/>
    <d v="1899-12-30T08:15:00"/>
    <s v="Non Telecom"/>
    <d v="1899-12-30T09:00:00"/>
    <d v="1899-12-30T17:15:00"/>
    <n v="29700"/>
    <x v="0"/>
  </r>
  <r>
    <x v="0"/>
    <s v="Egypt"/>
    <x v="16"/>
    <x v="79"/>
    <x v="79"/>
    <m/>
    <m/>
    <s v="Break 15 Morning"/>
    <d v="1899-12-30T12:00:00"/>
    <d v="1899-12-30T12:15:00"/>
    <n v="0"/>
    <x v="1"/>
  </r>
  <r>
    <x v="0"/>
    <s v="Egypt"/>
    <x v="16"/>
    <x v="79"/>
    <x v="79"/>
    <m/>
    <m/>
    <s v="Break 30 Morning"/>
    <d v="1899-12-30T15:15:00"/>
    <d v="1899-12-30T15:45:00"/>
    <n v="0"/>
    <x v="1"/>
  </r>
  <r>
    <x v="0"/>
    <s v="Egypt"/>
    <x v="16"/>
    <x v="79"/>
    <x v="79"/>
    <d v="2025-06-30T00:00:00"/>
    <d v="1899-12-30T08:15:00"/>
    <s v="Non Telecom"/>
    <d v="1899-12-30T08:00:00"/>
    <d v="1899-12-30T16:15:00"/>
    <n v="29700"/>
    <x v="0"/>
  </r>
  <r>
    <x v="0"/>
    <s v="Egypt"/>
    <x v="16"/>
    <x v="79"/>
    <x v="79"/>
    <m/>
    <m/>
    <s v="Break 15 Morning"/>
    <d v="1899-12-30T10:00:00"/>
    <d v="1899-12-30T10:15:00"/>
    <n v="0"/>
    <x v="1"/>
  </r>
  <r>
    <x v="0"/>
    <s v="Egypt"/>
    <x v="16"/>
    <x v="79"/>
    <x v="79"/>
    <m/>
    <m/>
    <s v="Break 30 Morning"/>
    <d v="1899-12-30T12:45:00"/>
    <d v="1899-12-30T13:15:00"/>
    <n v="0"/>
    <x v="1"/>
  </r>
  <r>
    <x v="0"/>
    <s v="Egypt"/>
    <x v="16"/>
    <x v="80"/>
    <x v="80"/>
    <d v="2025-06-01T00:00:00"/>
    <m/>
    <s v="Day Off"/>
    <m/>
    <m/>
    <n v="0"/>
    <x v="1"/>
  </r>
  <r>
    <x v="0"/>
    <s v="Egypt"/>
    <x v="16"/>
    <x v="80"/>
    <x v="80"/>
    <d v="2025-06-02T00:00:00"/>
    <d v="1899-12-30T08:15:00"/>
    <s v="Planned Training"/>
    <m/>
    <m/>
    <n v="29700"/>
    <x v="1"/>
  </r>
  <r>
    <x v="0"/>
    <s v="Egypt"/>
    <x v="16"/>
    <x v="80"/>
    <x v="80"/>
    <d v="2025-06-03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04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05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15:00"/>
    <d v="1899-12-30T10:30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06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07T00:00:00"/>
    <m/>
    <s v="Day Off"/>
    <m/>
    <m/>
    <n v="0"/>
    <x v="1"/>
  </r>
  <r>
    <x v="0"/>
    <s v="Egypt"/>
    <x v="16"/>
    <x v="80"/>
    <x v="80"/>
    <d v="2025-06-08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09:45:00"/>
    <d v="1899-12-30T10:00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09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10T00:00:00"/>
    <d v="1899-12-30T08:15:00"/>
    <s v="Annual Exception"/>
    <m/>
    <m/>
    <n v="29700"/>
    <x v="1"/>
  </r>
  <r>
    <x v="0"/>
    <s v="Egypt"/>
    <x v="16"/>
    <x v="80"/>
    <x v="80"/>
    <d v="2025-06-11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09:45:00"/>
    <d v="1899-12-30T10:00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12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09:45:00"/>
    <d v="1899-12-30T10:00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13T00:00:00"/>
    <m/>
    <s v="Day Off"/>
    <m/>
    <m/>
    <n v="0"/>
    <x v="1"/>
  </r>
  <r>
    <x v="0"/>
    <s v="Egypt"/>
    <x v="16"/>
    <x v="80"/>
    <x v="80"/>
    <d v="2025-06-14T00:00:00"/>
    <m/>
    <s v="Day Off"/>
    <m/>
    <m/>
    <n v="0"/>
    <x v="1"/>
  </r>
  <r>
    <x v="0"/>
    <s v="Egypt"/>
    <x v="16"/>
    <x v="80"/>
    <x v="80"/>
    <d v="2025-06-15T00:00:00"/>
    <d v="1899-12-30T10:15:00"/>
    <s v="Non Telecom"/>
    <d v="1899-12-30T11:00:00"/>
    <d v="1899-12-30T21:15:00"/>
    <n v="36900"/>
    <x v="0"/>
  </r>
  <r>
    <x v="0"/>
    <s v="Egypt"/>
    <x v="16"/>
    <x v="80"/>
    <x v="80"/>
    <m/>
    <m/>
    <s v="Break 15 Morning"/>
    <d v="1899-12-30T13:15:00"/>
    <d v="1899-12-30T13:30:00"/>
    <n v="0"/>
    <x v="1"/>
  </r>
  <r>
    <x v="0"/>
    <s v="Egypt"/>
    <x v="16"/>
    <x v="80"/>
    <x v="80"/>
    <m/>
    <m/>
    <s v="Break 30 Morning"/>
    <d v="1899-12-30T16:30:00"/>
    <d v="1899-12-30T17:00:00"/>
    <n v="0"/>
    <x v="1"/>
  </r>
  <r>
    <x v="0"/>
    <s v="Egypt"/>
    <x v="16"/>
    <x v="80"/>
    <x v="80"/>
    <m/>
    <m/>
    <s v="Shift Move"/>
    <d v="1899-12-30T19:15:00"/>
    <d v="1899-12-30T21:15:00"/>
    <n v="0"/>
    <x v="1"/>
  </r>
  <r>
    <x v="0"/>
    <s v="Egypt"/>
    <x v="16"/>
    <x v="80"/>
    <x v="80"/>
    <d v="2025-06-16T00:00:00"/>
    <d v="1899-12-30T08:15:00"/>
    <s v="Non Telecom"/>
    <d v="1899-12-30T09:00:00"/>
    <d v="1899-12-30T17:15:00"/>
    <n v="29700"/>
    <x v="0"/>
  </r>
  <r>
    <x v="0"/>
    <s v="Egypt"/>
    <x v="16"/>
    <x v="80"/>
    <x v="80"/>
    <m/>
    <m/>
    <s v="Break 15 Morning"/>
    <d v="1899-12-30T12:15:00"/>
    <d v="1899-12-30T12:30:00"/>
    <n v="0"/>
    <x v="1"/>
  </r>
  <r>
    <x v="0"/>
    <s v="Egypt"/>
    <x v="16"/>
    <x v="80"/>
    <x v="80"/>
    <m/>
    <m/>
    <s v="Break 30 Morning"/>
    <d v="1899-12-30T14:45:00"/>
    <d v="1899-12-30T15:15:00"/>
    <n v="0"/>
    <x v="1"/>
  </r>
  <r>
    <x v="0"/>
    <s v="Egypt"/>
    <x v="16"/>
    <x v="80"/>
    <x v="80"/>
    <d v="2025-06-17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09:45:00"/>
    <d v="1899-12-30T10:00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18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19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09:30:00"/>
    <d v="1899-12-30T09:45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20T00:00:00"/>
    <m/>
    <s v="Day Off"/>
    <m/>
    <m/>
    <n v="0"/>
    <x v="1"/>
  </r>
  <r>
    <x v="0"/>
    <s v="Egypt"/>
    <x v="16"/>
    <x v="80"/>
    <x v="80"/>
    <d v="2025-06-21T00:00:00"/>
    <m/>
    <s v="Day Off"/>
    <m/>
    <m/>
    <n v="0"/>
    <x v="1"/>
  </r>
  <r>
    <x v="0"/>
    <s v="Egypt"/>
    <x v="16"/>
    <x v="80"/>
    <x v="80"/>
    <d v="2025-06-22T00:00:00"/>
    <d v="1899-12-30T08:15:00"/>
    <s v="Non Telecom"/>
    <d v="1899-12-30T09:00:00"/>
    <d v="1899-12-30T17:15:00"/>
    <n v="29700"/>
    <x v="0"/>
  </r>
  <r>
    <x v="0"/>
    <s v="Egypt"/>
    <x v="16"/>
    <x v="80"/>
    <x v="80"/>
    <m/>
    <m/>
    <s v="Break 15 Morning"/>
    <d v="1899-12-30T12:15:00"/>
    <d v="1899-12-30T12:30:00"/>
    <n v="0"/>
    <x v="1"/>
  </r>
  <r>
    <x v="0"/>
    <s v="Egypt"/>
    <x v="16"/>
    <x v="80"/>
    <x v="80"/>
    <m/>
    <m/>
    <s v="Break 30 Morning"/>
    <d v="1899-12-30T15:15:00"/>
    <d v="1899-12-30T15:45:00"/>
    <n v="0"/>
    <x v="1"/>
  </r>
  <r>
    <x v="0"/>
    <s v="Egypt"/>
    <x v="16"/>
    <x v="80"/>
    <x v="80"/>
    <d v="2025-06-23T00:00:00"/>
    <d v="1899-12-30T08:15:00"/>
    <s v="Non Telecom"/>
    <d v="1899-12-30T09:00:00"/>
    <d v="1899-12-30T17:15:00"/>
    <n v="29700"/>
    <x v="0"/>
  </r>
  <r>
    <x v="0"/>
    <s v="Egypt"/>
    <x v="16"/>
    <x v="80"/>
    <x v="80"/>
    <m/>
    <m/>
    <s v="Break 15 Morning"/>
    <d v="1899-12-30T12:00:00"/>
    <d v="1899-12-30T12:15:00"/>
    <n v="0"/>
    <x v="1"/>
  </r>
  <r>
    <x v="0"/>
    <s v="Egypt"/>
    <x v="16"/>
    <x v="80"/>
    <x v="80"/>
    <m/>
    <m/>
    <s v="Break 30 Morning"/>
    <d v="1899-12-30T14:45:00"/>
    <d v="1899-12-30T15:15:00"/>
    <n v="0"/>
    <x v="1"/>
  </r>
  <r>
    <x v="0"/>
    <s v="Egypt"/>
    <x v="16"/>
    <x v="80"/>
    <x v="80"/>
    <d v="2025-06-24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15:00"/>
    <d v="1899-12-30T10:30:00"/>
    <n v="0"/>
    <x v="1"/>
  </r>
  <r>
    <x v="0"/>
    <s v="Egypt"/>
    <x v="16"/>
    <x v="80"/>
    <x v="80"/>
    <m/>
    <m/>
    <s v="Break 30 Morning"/>
    <d v="1899-12-30T13:15:00"/>
    <d v="1899-12-30T13:45:00"/>
    <n v="0"/>
    <x v="1"/>
  </r>
  <r>
    <x v="0"/>
    <s v="Egypt"/>
    <x v="16"/>
    <x v="80"/>
    <x v="80"/>
    <d v="2025-06-25T00:00:00"/>
    <d v="1899-12-30T08:15:00"/>
    <s v="Non Telecom"/>
    <d v="1899-12-30T08:00:00"/>
    <d v="1899-12-30T16:15:00"/>
    <n v="29700"/>
    <x v="0"/>
  </r>
  <r>
    <x v="0"/>
    <s v="Egypt"/>
    <x v="16"/>
    <x v="80"/>
    <x v="80"/>
    <m/>
    <m/>
    <s v="Break 15 Morning"/>
    <d v="1899-12-30T10:00:00"/>
    <d v="1899-12-30T10:15:00"/>
    <n v="0"/>
    <x v="1"/>
  </r>
  <r>
    <x v="0"/>
    <s v="Egypt"/>
    <x v="16"/>
    <x v="80"/>
    <x v="80"/>
    <m/>
    <m/>
    <s v="Break 30 Morning"/>
    <d v="1899-12-30T12:45:00"/>
    <d v="1899-12-30T13:15:00"/>
    <n v="0"/>
    <x v="1"/>
  </r>
  <r>
    <x v="0"/>
    <s v="Egypt"/>
    <x v="16"/>
    <x v="80"/>
    <x v="80"/>
    <d v="2025-06-26T00:00:00"/>
    <m/>
    <s v="Day Off"/>
    <m/>
    <m/>
    <n v="0"/>
    <x v="1"/>
  </r>
  <r>
    <x v="0"/>
    <s v="Egypt"/>
    <x v="16"/>
    <x v="80"/>
    <x v="80"/>
    <d v="2025-06-27T00:00:00"/>
    <m/>
    <s v="Day Off"/>
    <m/>
    <m/>
    <n v="0"/>
    <x v="1"/>
  </r>
  <r>
    <x v="0"/>
    <s v="Egypt"/>
    <x v="16"/>
    <x v="80"/>
    <x v="80"/>
    <d v="2025-06-28T00:00:00"/>
    <d v="1899-12-30T11:15:00"/>
    <s v="Non Telecom"/>
    <d v="1899-12-30T08:00:00"/>
    <d v="1899-12-30T19:15:00"/>
    <n v="40500"/>
    <x v="0"/>
  </r>
  <r>
    <x v="0"/>
    <s v="Egypt"/>
    <x v="16"/>
    <x v="80"/>
    <x v="80"/>
    <m/>
    <m/>
    <s v="Shift Move"/>
    <d v="1899-12-30T08:00:00"/>
    <d v="1899-12-30T11:00:00"/>
    <n v="0"/>
    <x v="1"/>
  </r>
  <r>
    <x v="0"/>
    <s v="Egypt"/>
    <x v="16"/>
    <x v="80"/>
    <x v="80"/>
    <m/>
    <m/>
    <s v="Break 15 Morning"/>
    <d v="1899-12-30T14:00:00"/>
    <d v="1899-12-30T14:15:00"/>
    <n v="0"/>
    <x v="1"/>
  </r>
  <r>
    <x v="0"/>
    <s v="Egypt"/>
    <x v="16"/>
    <x v="80"/>
    <x v="80"/>
    <m/>
    <m/>
    <s v="Break 30 Morning"/>
    <d v="1899-12-30T16:30:00"/>
    <d v="1899-12-30T17:00:00"/>
    <n v="0"/>
    <x v="1"/>
  </r>
  <r>
    <x v="0"/>
    <s v="Egypt"/>
    <x v="16"/>
    <x v="80"/>
    <x v="80"/>
    <d v="2025-06-29T00:00:00"/>
    <d v="1899-12-30T08:15:00"/>
    <s v="Non Telecom"/>
    <d v="1899-12-30T11:00:00"/>
    <d v="1899-12-30T19:15:00"/>
    <n v="29700"/>
    <x v="0"/>
  </r>
  <r>
    <x v="0"/>
    <s v="Egypt"/>
    <x v="16"/>
    <x v="80"/>
    <x v="80"/>
    <m/>
    <m/>
    <s v="Break 15 Morning"/>
    <d v="1899-12-30T12:00:00"/>
    <d v="1899-12-30T12:15:00"/>
    <n v="0"/>
    <x v="1"/>
  </r>
  <r>
    <x v="0"/>
    <s v="Egypt"/>
    <x v="16"/>
    <x v="80"/>
    <x v="80"/>
    <m/>
    <m/>
    <s v="Break 30 Morning"/>
    <d v="1899-12-30T14:30:00"/>
    <d v="1899-12-30T15:00:00"/>
    <n v="0"/>
    <x v="1"/>
  </r>
  <r>
    <x v="0"/>
    <s v="Egypt"/>
    <x v="16"/>
    <x v="80"/>
    <x v="80"/>
    <d v="2025-06-30T00:00:00"/>
    <d v="1899-12-30T08:15:00"/>
    <s v="Annual Exception"/>
    <m/>
    <m/>
    <n v="29700"/>
    <x v="1"/>
  </r>
  <r>
    <x v="0"/>
    <s v="Egypt"/>
    <x v="16"/>
    <x v="81"/>
    <x v="81"/>
    <d v="2025-06-01T00:00:00"/>
    <m/>
    <s v="Day Off"/>
    <m/>
    <m/>
    <n v="0"/>
    <x v="1"/>
  </r>
  <r>
    <x v="0"/>
    <s v="Egypt"/>
    <x v="16"/>
    <x v="81"/>
    <x v="81"/>
    <d v="2025-06-02T00:00:00"/>
    <d v="1899-12-30T08:15:00"/>
    <s v="Non Telecom"/>
    <d v="1899-12-30T10:00:00"/>
    <d v="1899-12-30T18:15:00"/>
    <n v="29700"/>
    <x v="0"/>
  </r>
  <r>
    <x v="0"/>
    <s v="Egypt"/>
    <x v="16"/>
    <x v="81"/>
    <x v="81"/>
    <m/>
    <m/>
    <s v="Break 15 Morning"/>
    <d v="1899-12-30T12:45:00"/>
    <d v="1899-12-30T13:00:00"/>
    <n v="0"/>
    <x v="1"/>
  </r>
  <r>
    <x v="0"/>
    <s v="Egypt"/>
    <x v="16"/>
    <x v="81"/>
    <x v="81"/>
    <m/>
    <m/>
    <s v="Break 30 Morning"/>
    <d v="1899-12-30T16:15:00"/>
    <d v="1899-12-30T16:45:00"/>
    <n v="0"/>
    <x v="1"/>
  </r>
  <r>
    <x v="0"/>
    <s v="Egypt"/>
    <x v="16"/>
    <x v="81"/>
    <x v="81"/>
    <d v="2025-06-03T00:00:00"/>
    <d v="1899-12-30T08:15:00"/>
    <s v="Non Telecom"/>
    <d v="1899-12-30T10:00:00"/>
    <d v="1899-12-30T18:15:00"/>
    <n v="29700"/>
    <x v="0"/>
  </r>
  <r>
    <x v="0"/>
    <s v="Egypt"/>
    <x v="16"/>
    <x v="81"/>
    <x v="81"/>
    <m/>
    <m/>
    <s v="Break 15 Morning"/>
    <d v="1899-12-30T13:00:00"/>
    <d v="1899-12-30T13:15:00"/>
    <n v="0"/>
    <x v="1"/>
  </r>
  <r>
    <x v="0"/>
    <s v="Egypt"/>
    <x v="16"/>
    <x v="81"/>
    <x v="81"/>
    <m/>
    <m/>
    <s v="Break 30 Morning"/>
    <d v="1899-12-30T16:15:00"/>
    <d v="1899-12-30T16:45:00"/>
    <n v="0"/>
    <x v="1"/>
  </r>
  <r>
    <x v="0"/>
    <s v="Egypt"/>
    <x v="16"/>
    <x v="81"/>
    <x v="81"/>
    <d v="2025-06-04T00:00:00"/>
    <d v="1899-12-30T08:15:00"/>
    <s v="Non Telecom"/>
    <d v="1899-12-30T10:00:00"/>
    <d v="1899-12-30T18:15:00"/>
    <n v="29700"/>
    <x v="0"/>
  </r>
  <r>
    <x v="0"/>
    <s v="Egypt"/>
    <x v="16"/>
    <x v="81"/>
    <x v="81"/>
    <m/>
    <m/>
    <s v="Break 15 Morning"/>
    <d v="1899-12-30T12:30:00"/>
    <d v="1899-12-30T12:45:00"/>
    <n v="0"/>
    <x v="1"/>
  </r>
  <r>
    <x v="0"/>
    <s v="Egypt"/>
    <x v="16"/>
    <x v="81"/>
    <x v="81"/>
    <m/>
    <m/>
    <s v="Break 30 Morning"/>
    <d v="1899-12-30T15:45:00"/>
    <d v="1899-12-30T16:15:00"/>
    <n v="0"/>
    <x v="1"/>
  </r>
  <r>
    <x v="0"/>
    <s v="Egypt"/>
    <x v="16"/>
    <x v="81"/>
    <x v="81"/>
    <d v="2025-06-05T00:00:00"/>
    <d v="1899-12-30T08:15:00"/>
    <s v="Non Telecom"/>
    <d v="1899-12-30T10:00:00"/>
    <d v="1899-12-30T18:15:00"/>
    <n v="29700"/>
    <x v="0"/>
  </r>
  <r>
    <x v="0"/>
    <s v="Egypt"/>
    <x v="16"/>
    <x v="81"/>
    <x v="81"/>
    <m/>
    <m/>
    <s v="Break 15 Morning"/>
    <d v="1899-12-30T12:45:00"/>
    <d v="1899-12-30T13:00:00"/>
    <n v="0"/>
    <x v="1"/>
  </r>
  <r>
    <x v="0"/>
    <s v="Egypt"/>
    <x v="16"/>
    <x v="81"/>
    <x v="81"/>
    <m/>
    <m/>
    <s v="Break 30 Morning"/>
    <d v="1899-12-30T16:15:00"/>
    <d v="1899-12-30T16:45:00"/>
    <n v="0"/>
    <x v="1"/>
  </r>
  <r>
    <x v="0"/>
    <s v="Egypt"/>
    <x v="16"/>
    <x v="81"/>
    <x v="81"/>
    <d v="2025-06-06T00:00:00"/>
    <d v="1899-12-30T08:15:00"/>
    <s v="Absent"/>
    <m/>
    <m/>
    <n v="29700"/>
    <x v="1"/>
  </r>
  <r>
    <x v="0"/>
    <s v="Egypt"/>
    <x v="16"/>
    <x v="81"/>
    <x v="81"/>
    <d v="2025-06-07T00:00:00"/>
    <m/>
    <s v="Day Off"/>
    <m/>
    <m/>
    <n v="0"/>
    <x v="1"/>
  </r>
  <r>
    <x v="0"/>
    <s v="Egypt"/>
    <x v="16"/>
    <x v="81"/>
    <x v="81"/>
    <d v="2025-06-08T00:00:00"/>
    <d v="1899-12-30T08:15:00"/>
    <s v="Non Telecom"/>
    <d v="1899-12-30T08:00:00"/>
    <d v="1899-12-30T16:15:00"/>
    <n v="29700"/>
    <x v="0"/>
  </r>
  <r>
    <x v="0"/>
    <s v="Egypt"/>
    <x v="16"/>
    <x v="81"/>
    <x v="81"/>
    <m/>
    <m/>
    <s v="Break 15 Morning"/>
    <d v="1899-12-30T10:30:00"/>
    <d v="1899-12-30T10:45:00"/>
    <n v="0"/>
    <x v="1"/>
  </r>
  <r>
    <x v="0"/>
    <s v="Egypt"/>
    <x v="16"/>
    <x v="81"/>
    <x v="81"/>
    <m/>
    <m/>
    <s v="Break 30 Morning"/>
    <d v="1899-12-30T13:45:00"/>
    <d v="1899-12-30T14:15:00"/>
    <n v="0"/>
    <x v="1"/>
  </r>
  <r>
    <x v="0"/>
    <s v="Egypt"/>
    <x v="16"/>
    <x v="81"/>
    <x v="81"/>
    <d v="2025-06-09T00:00:00"/>
    <d v="1899-12-30T08:15:00"/>
    <s v="Non Telecom"/>
    <d v="1899-12-30T09:00:00"/>
    <d v="1899-12-30T17:15:00"/>
    <n v="29700"/>
    <x v="0"/>
  </r>
  <r>
    <x v="0"/>
    <s v="Egypt"/>
    <x v="16"/>
    <x v="81"/>
    <x v="81"/>
    <m/>
    <m/>
    <s v="Break 15 Morning"/>
    <d v="1899-12-30T12:30:00"/>
    <d v="1899-12-30T12:45:00"/>
    <n v="0"/>
    <x v="1"/>
  </r>
  <r>
    <x v="0"/>
    <s v="Egypt"/>
    <x v="16"/>
    <x v="81"/>
    <x v="81"/>
    <m/>
    <m/>
    <s v="Break 30 Morning"/>
    <d v="1899-12-30T15:45:00"/>
    <d v="1899-12-30T16:15:00"/>
    <n v="0"/>
    <x v="1"/>
  </r>
  <r>
    <x v="0"/>
    <s v="Egypt"/>
    <x v="16"/>
    <x v="81"/>
    <x v="81"/>
    <d v="2025-06-10T00:00:00"/>
    <d v="1899-12-30T08:15:00"/>
    <s v="Absent"/>
    <m/>
    <m/>
    <n v="29700"/>
    <x v="1"/>
  </r>
  <r>
    <x v="0"/>
    <s v="Egypt"/>
    <x v="16"/>
    <x v="81"/>
    <x v="81"/>
    <d v="2025-06-11T00:00:00"/>
    <d v="1899-12-30T08:15:00"/>
    <s v="Non Telecom"/>
    <d v="1899-12-30T11:00:00"/>
    <d v="1899-12-30T19:15:00"/>
    <n v="29700"/>
    <x v="0"/>
  </r>
  <r>
    <x v="0"/>
    <s v="Egypt"/>
    <x v="16"/>
    <x v="81"/>
    <x v="81"/>
    <m/>
    <m/>
    <s v="Break 15 Morning"/>
    <d v="1899-12-30T14:30:00"/>
    <d v="1899-12-30T14:45:00"/>
    <n v="0"/>
    <x v="1"/>
  </r>
  <r>
    <x v="0"/>
    <s v="Egypt"/>
    <x v="16"/>
    <x v="81"/>
    <x v="81"/>
    <m/>
    <m/>
    <s v="Break 30 Morning"/>
    <d v="1899-12-30T17:45:00"/>
    <d v="1899-12-30T18:15:00"/>
    <n v="0"/>
    <x v="1"/>
  </r>
  <r>
    <x v="0"/>
    <s v="Egypt"/>
    <x v="16"/>
    <x v="81"/>
    <x v="81"/>
    <d v="2025-06-12T00:00:00"/>
    <m/>
    <s v="Day Off"/>
    <m/>
    <m/>
    <n v="0"/>
    <x v="1"/>
  </r>
  <r>
    <x v="0"/>
    <s v="Egypt"/>
    <x v="16"/>
    <x v="81"/>
    <x v="81"/>
    <d v="2025-06-13T00:00:00"/>
    <m/>
    <s v="Day Off"/>
    <m/>
    <m/>
    <n v="0"/>
    <x v="1"/>
  </r>
  <r>
    <x v="0"/>
    <s v="Egypt"/>
    <x v="16"/>
    <x v="81"/>
    <x v="81"/>
    <d v="2025-06-14T00:00:00"/>
    <d v="1899-12-30T08:15:00"/>
    <s v="Non Telecom"/>
    <d v="1899-12-30T08:00:00"/>
    <d v="1899-12-30T16:15:00"/>
    <n v="29700"/>
    <x v="0"/>
  </r>
  <r>
    <x v="0"/>
    <s v="Egypt"/>
    <x v="16"/>
    <x v="81"/>
    <x v="81"/>
    <m/>
    <m/>
    <s v="Break 15 Morning"/>
    <d v="1899-12-30T09:45:00"/>
    <d v="1899-12-30T10:00:00"/>
    <n v="0"/>
    <x v="1"/>
  </r>
  <r>
    <x v="0"/>
    <s v="Egypt"/>
    <x v="16"/>
    <x v="81"/>
    <x v="81"/>
    <m/>
    <m/>
    <s v="Break 30 Morning"/>
    <d v="1899-12-30T12:45:00"/>
    <d v="1899-12-30T13:15:00"/>
    <n v="0"/>
    <x v="1"/>
  </r>
  <r>
    <x v="0"/>
    <s v="Egypt"/>
    <x v="16"/>
    <x v="81"/>
    <x v="81"/>
    <d v="2025-06-15T00:00:00"/>
    <d v="1899-12-30T08:15:00"/>
    <s v="Non Telecom"/>
    <d v="1899-12-30T13:00:00"/>
    <d v="1899-12-30T21:15:00"/>
    <n v="29700"/>
    <x v="0"/>
  </r>
  <r>
    <x v="0"/>
    <s v="Egypt"/>
    <x v="16"/>
    <x v="81"/>
    <x v="81"/>
    <m/>
    <m/>
    <s v="Break 15 Morning"/>
    <d v="1899-12-30T16:15:00"/>
    <d v="1899-12-30T16:30:00"/>
    <n v="0"/>
    <x v="1"/>
  </r>
  <r>
    <x v="0"/>
    <s v="Egypt"/>
    <x v="16"/>
    <x v="81"/>
    <x v="81"/>
    <m/>
    <m/>
    <s v="Break 30 Morning"/>
    <d v="1899-12-30T19:15:00"/>
    <d v="1899-12-30T19:45:00"/>
    <n v="0"/>
    <x v="1"/>
  </r>
  <r>
    <x v="0"/>
    <s v="Egypt"/>
    <x v="16"/>
    <x v="81"/>
    <x v="81"/>
    <d v="2025-06-16T00:00:00"/>
    <d v="1899-12-30T08:15:00"/>
    <s v="Non Telecom"/>
    <d v="1899-12-30T09:00:00"/>
    <d v="1899-12-30T17:15:00"/>
    <n v="29700"/>
    <x v="0"/>
  </r>
  <r>
    <x v="0"/>
    <s v="Egypt"/>
    <x v="16"/>
    <x v="81"/>
    <x v="81"/>
    <m/>
    <m/>
    <s v="Break 15 Morning"/>
    <d v="1899-12-30T12:30:00"/>
    <d v="1899-12-30T12:45:00"/>
    <n v="0"/>
    <x v="1"/>
  </r>
  <r>
    <x v="0"/>
    <s v="Egypt"/>
    <x v="16"/>
    <x v="81"/>
    <x v="81"/>
    <m/>
    <m/>
    <s v="Break 30 Morning"/>
    <d v="1899-12-30T15:15:00"/>
    <d v="1899-12-30T15:45:00"/>
    <n v="0"/>
    <x v="1"/>
  </r>
  <r>
    <x v="0"/>
    <s v="Egypt"/>
    <x v="16"/>
    <x v="81"/>
    <x v="81"/>
    <d v="2025-06-17T00:00:00"/>
    <d v="1899-12-30T08:15:00"/>
    <s v="Non Telecom"/>
    <d v="1899-12-30T09:00:00"/>
    <d v="1899-12-30T17:15:00"/>
    <n v="29700"/>
    <x v="0"/>
  </r>
  <r>
    <x v="0"/>
    <s v="Egypt"/>
    <x v="16"/>
    <x v="81"/>
    <x v="81"/>
    <m/>
    <m/>
    <s v="Break 15 Morning"/>
    <d v="1899-12-30T12:30:00"/>
    <d v="1899-12-30T12:45:00"/>
    <n v="0"/>
    <x v="1"/>
  </r>
  <r>
    <x v="0"/>
    <s v="Egypt"/>
    <x v="16"/>
    <x v="81"/>
    <x v="81"/>
    <m/>
    <m/>
    <s v="Break 30 Morning"/>
    <d v="1899-12-30T15:45:00"/>
    <d v="1899-12-30T16:15:00"/>
    <n v="0"/>
    <x v="1"/>
  </r>
  <r>
    <x v="0"/>
    <s v="Egypt"/>
    <x v="16"/>
    <x v="81"/>
    <x v="81"/>
    <d v="2025-06-18T00:00:00"/>
    <d v="1899-12-30T08:15:00"/>
    <s v="Annual Exception"/>
    <m/>
    <m/>
    <n v="29700"/>
    <x v="1"/>
  </r>
  <r>
    <x v="0"/>
    <s v="Egypt"/>
    <x v="16"/>
    <x v="81"/>
    <x v="81"/>
    <d v="2025-06-19T00:00:00"/>
    <d v="1899-12-30T08:15:00"/>
    <s v="Annual Exception"/>
    <m/>
    <m/>
    <n v="29700"/>
    <x v="1"/>
  </r>
  <r>
    <x v="0"/>
    <s v="Egypt"/>
    <x v="16"/>
    <x v="81"/>
    <x v="81"/>
    <d v="2025-06-20T00:00:00"/>
    <m/>
    <s v="Day Off"/>
    <m/>
    <m/>
    <n v="0"/>
    <x v="1"/>
  </r>
  <r>
    <x v="0"/>
    <s v="Egypt"/>
    <x v="16"/>
    <x v="81"/>
    <x v="81"/>
    <d v="2025-06-21T00:00:00"/>
    <m/>
    <s v="Day Off"/>
    <m/>
    <m/>
    <n v="0"/>
    <x v="1"/>
  </r>
  <r>
    <x v="0"/>
    <s v="Egypt"/>
    <x v="16"/>
    <x v="81"/>
    <x v="81"/>
    <d v="2025-06-22T00:00:00"/>
    <d v="1899-12-30T08:15:00"/>
    <s v="Annual Exception"/>
    <m/>
    <m/>
    <n v="29700"/>
    <x v="1"/>
  </r>
  <r>
    <x v="0"/>
    <s v="Egypt"/>
    <x v="16"/>
    <x v="81"/>
    <x v="81"/>
    <d v="2025-06-23T00:00:00"/>
    <d v="1899-12-30T08:15:00"/>
    <s v="Annual Exception"/>
    <m/>
    <m/>
    <n v="29700"/>
    <x v="1"/>
  </r>
  <r>
    <x v="0"/>
    <s v="Egypt"/>
    <x v="16"/>
    <x v="81"/>
    <x v="81"/>
    <d v="2025-06-24T00:00:00"/>
    <d v="1899-12-30T08:15:00"/>
    <s v="Compensation"/>
    <m/>
    <m/>
    <n v="29700"/>
    <x v="1"/>
  </r>
  <r>
    <x v="0"/>
    <s v="Egypt"/>
    <x v="16"/>
    <x v="81"/>
    <x v="81"/>
    <d v="2025-06-25T00:00:00"/>
    <d v="1899-12-30T08:15:00"/>
    <s v="Compensation"/>
    <m/>
    <m/>
    <n v="29700"/>
    <x v="1"/>
  </r>
  <r>
    <x v="0"/>
    <s v="Egypt"/>
    <x v="16"/>
    <x v="81"/>
    <x v="81"/>
    <d v="2025-06-26T00:00:00"/>
    <m/>
    <s v="Day Off"/>
    <m/>
    <m/>
    <n v="0"/>
    <x v="1"/>
  </r>
  <r>
    <x v="0"/>
    <s v="Egypt"/>
    <x v="16"/>
    <x v="81"/>
    <x v="81"/>
    <d v="2025-06-27T00:00:00"/>
    <m/>
    <s v="Day Off"/>
    <m/>
    <m/>
    <n v="0"/>
    <x v="1"/>
  </r>
  <r>
    <x v="0"/>
    <s v="Egypt"/>
    <x v="16"/>
    <x v="81"/>
    <x v="81"/>
    <d v="2025-06-28T00:00:00"/>
    <d v="1899-12-30T08:15:00"/>
    <s v="Non Telecom"/>
    <d v="1899-12-30T11:00:00"/>
    <d v="1899-12-30T19:15:00"/>
    <n v="29700"/>
    <x v="0"/>
  </r>
  <r>
    <x v="0"/>
    <s v="Egypt"/>
    <x v="16"/>
    <x v="81"/>
    <x v="81"/>
    <m/>
    <m/>
    <s v="Break 15 Morning"/>
    <d v="1899-12-30T14:30:00"/>
    <d v="1899-12-30T14:45:00"/>
    <n v="0"/>
    <x v="1"/>
  </r>
  <r>
    <x v="0"/>
    <s v="Egypt"/>
    <x v="16"/>
    <x v="81"/>
    <x v="81"/>
    <m/>
    <m/>
    <s v="Break 30 Morning"/>
    <d v="1899-12-30T17:45:00"/>
    <d v="1899-12-30T18:15:00"/>
    <n v="0"/>
    <x v="1"/>
  </r>
  <r>
    <x v="0"/>
    <s v="Egypt"/>
    <x v="16"/>
    <x v="81"/>
    <x v="81"/>
    <d v="2025-06-29T00:00:00"/>
    <d v="1899-12-30T08:15:00"/>
    <s v="Non Telecom"/>
    <d v="1899-12-30T09:00:00"/>
    <d v="1899-12-30T17:15:00"/>
    <n v="29700"/>
    <x v="0"/>
  </r>
  <r>
    <x v="0"/>
    <s v="Egypt"/>
    <x v="16"/>
    <x v="81"/>
    <x v="81"/>
    <m/>
    <m/>
    <s v="Break 15 Morning"/>
    <d v="1899-12-30T12:30:00"/>
    <d v="1899-12-30T12:45:00"/>
    <n v="0"/>
    <x v="1"/>
  </r>
  <r>
    <x v="0"/>
    <s v="Egypt"/>
    <x v="16"/>
    <x v="81"/>
    <x v="81"/>
    <m/>
    <m/>
    <s v="Break 30 Morning"/>
    <d v="1899-12-30T15:45:00"/>
    <d v="1899-12-30T16:15:00"/>
    <n v="0"/>
    <x v="1"/>
  </r>
  <r>
    <x v="0"/>
    <s v="Egypt"/>
    <x v="16"/>
    <x v="81"/>
    <x v="81"/>
    <d v="2025-06-30T00:00:00"/>
    <d v="1899-12-30T08:15:00"/>
    <s v="Non Telecom"/>
    <d v="1899-12-30T08:00:00"/>
    <d v="1899-12-30T16:15:00"/>
    <n v="29700"/>
    <x v="0"/>
  </r>
  <r>
    <x v="0"/>
    <s v="Egypt"/>
    <x v="16"/>
    <x v="81"/>
    <x v="81"/>
    <m/>
    <m/>
    <s v="Break 15 Morning"/>
    <d v="1899-12-30T10:30:00"/>
    <d v="1899-12-30T10:45:00"/>
    <n v="0"/>
    <x v="1"/>
  </r>
  <r>
    <x v="0"/>
    <s v="Egypt"/>
    <x v="16"/>
    <x v="81"/>
    <x v="81"/>
    <m/>
    <m/>
    <s v="Break 30 Morning"/>
    <d v="1899-12-30T13:15:00"/>
    <d v="1899-12-30T13:45:00"/>
    <n v="0"/>
    <x v="1"/>
  </r>
  <r>
    <x v="0"/>
    <s v="Egypt"/>
    <x v="17"/>
    <x v="82"/>
    <x v="82"/>
    <d v="2025-06-01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30:00"/>
    <d v="1899-12-30T09:45:00"/>
    <n v="0"/>
    <x v="1"/>
  </r>
  <r>
    <x v="0"/>
    <s v="Egypt"/>
    <x v="17"/>
    <x v="82"/>
    <x v="82"/>
    <m/>
    <m/>
    <s v="Break 30 Morning"/>
    <d v="1899-12-30T12:45:00"/>
    <d v="1899-12-30T13:15:00"/>
    <n v="0"/>
    <x v="1"/>
  </r>
  <r>
    <x v="0"/>
    <s v="Egypt"/>
    <x v="17"/>
    <x v="82"/>
    <x v="82"/>
    <d v="2025-06-02T00:00:00"/>
    <d v="1899-12-30T08:15:00"/>
    <s v="Non Telecom"/>
    <d v="1899-12-30T09:00:00"/>
    <d v="1899-12-30T17:15:00"/>
    <n v="29700"/>
    <x v="0"/>
  </r>
  <r>
    <x v="0"/>
    <s v="Egypt"/>
    <x v="17"/>
    <x v="82"/>
    <x v="82"/>
    <m/>
    <m/>
    <s v="Break 15 Morning"/>
    <d v="1899-12-30T10:45:00"/>
    <d v="1899-12-30T11:00:00"/>
    <n v="0"/>
    <x v="1"/>
  </r>
  <r>
    <x v="0"/>
    <s v="Egypt"/>
    <x v="17"/>
    <x v="82"/>
    <x v="82"/>
    <m/>
    <m/>
    <s v="Break 30 Morning"/>
    <d v="1899-12-30T13:45:00"/>
    <d v="1899-12-30T14:15:00"/>
    <n v="0"/>
    <x v="1"/>
  </r>
  <r>
    <x v="0"/>
    <s v="Egypt"/>
    <x v="17"/>
    <x v="82"/>
    <x v="82"/>
    <m/>
    <m/>
    <s v="Leave Early"/>
    <d v="1899-12-30T16:15:00"/>
    <d v="1899-12-30T17:15:00"/>
    <n v="0"/>
    <x v="1"/>
  </r>
  <r>
    <x v="0"/>
    <s v="Egypt"/>
    <x v="17"/>
    <x v="82"/>
    <x v="82"/>
    <d v="2025-06-03T00:00:00"/>
    <d v="1899-12-30T08:15:00"/>
    <s v="Non Telecom"/>
    <d v="1899-12-30T09:00:00"/>
    <d v="1899-12-30T17:15:00"/>
    <n v="29700"/>
    <x v="0"/>
  </r>
  <r>
    <x v="0"/>
    <s v="Egypt"/>
    <x v="17"/>
    <x v="82"/>
    <x v="82"/>
    <m/>
    <m/>
    <s v="Break 15 Morning"/>
    <d v="1899-12-30T10:45:00"/>
    <d v="1899-12-30T11:00:00"/>
    <n v="0"/>
    <x v="1"/>
  </r>
  <r>
    <x v="0"/>
    <s v="Egypt"/>
    <x v="17"/>
    <x v="82"/>
    <x v="82"/>
    <m/>
    <m/>
    <s v="Break 30 Morning"/>
    <d v="1899-12-30T13:45:00"/>
    <d v="1899-12-30T14:15:00"/>
    <n v="0"/>
    <x v="1"/>
  </r>
  <r>
    <x v="0"/>
    <s v="Egypt"/>
    <x v="17"/>
    <x v="82"/>
    <x v="82"/>
    <d v="2025-06-04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05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06T00:00:00"/>
    <m/>
    <s v="Day Off"/>
    <m/>
    <m/>
    <n v="0"/>
    <x v="1"/>
  </r>
  <r>
    <x v="0"/>
    <s v="Egypt"/>
    <x v="17"/>
    <x v="82"/>
    <x v="82"/>
    <d v="2025-06-07T00:00:00"/>
    <m/>
    <s v="Day Off"/>
    <m/>
    <m/>
    <n v="0"/>
    <x v="1"/>
  </r>
  <r>
    <x v="0"/>
    <s v="Egypt"/>
    <x v="17"/>
    <x v="82"/>
    <x v="82"/>
    <d v="2025-06-08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09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0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1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15:00"/>
    <d v="1899-12-30T09:30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2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3T00:00:00"/>
    <m/>
    <s v="Day Off"/>
    <m/>
    <m/>
    <n v="0"/>
    <x v="1"/>
  </r>
  <r>
    <x v="0"/>
    <s v="Egypt"/>
    <x v="17"/>
    <x v="82"/>
    <x v="82"/>
    <d v="2025-06-14T00:00:00"/>
    <m/>
    <s v="Day Off"/>
    <m/>
    <m/>
    <n v="0"/>
    <x v="1"/>
  </r>
  <r>
    <x v="0"/>
    <s v="Egypt"/>
    <x v="17"/>
    <x v="82"/>
    <x v="82"/>
    <d v="2025-06-15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6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7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8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19T00:00:00"/>
    <d v="1899-12-30T08:15:00"/>
    <s v="Annual Exception"/>
    <m/>
    <m/>
    <n v="29700"/>
    <x v="1"/>
  </r>
  <r>
    <x v="0"/>
    <s v="Egypt"/>
    <x v="17"/>
    <x v="82"/>
    <x v="82"/>
    <d v="2025-06-20T00:00:00"/>
    <m/>
    <s v="Day Off"/>
    <m/>
    <m/>
    <n v="0"/>
    <x v="1"/>
  </r>
  <r>
    <x v="0"/>
    <s v="Egypt"/>
    <x v="17"/>
    <x v="82"/>
    <x v="82"/>
    <d v="2025-06-21T00:00:00"/>
    <m/>
    <s v="Day Off"/>
    <m/>
    <m/>
    <n v="0"/>
    <x v="1"/>
  </r>
  <r>
    <x v="0"/>
    <s v="Egypt"/>
    <x v="17"/>
    <x v="82"/>
    <x v="82"/>
    <d v="2025-06-22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23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24T00:00:00"/>
    <m/>
    <s v="Day Off"/>
    <m/>
    <m/>
    <n v="0"/>
    <x v="1"/>
  </r>
  <r>
    <x v="0"/>
    <s v="Egypt"/>
    <x v="17"/>
    <x v="82"/>
    <x v="82"/>
    <d v="2025-06-25T00:00:00"/>
    <m/>
    <s v="Day Off"/>
    <m/>
    <m/>
    <n v="0"/>
    <x v="1"/>
  </r>
  <r>
    <x v="0"/>
    <s v="Egypt"/>
    <x v="17"/>
    <x v="82"/>
    <x v="82"/>
    <d v="2025-06-26T00:00:00"/>
    <d v="1899-12-30T08:15:00"/>
    <s v="Annual Exception"/>
    <m/>
    <m/>
    <n v="29700"/>
    <x v="1"/>
  </r>
  <r>
    <x v="0"/>
    <s v="Egypt"/>
    <x v="17"/>
    <x v="82"/>
    <x v="82"/>
    <d v="2025-06-27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10:00:00"/>
    <d v="1899-12-30T10:15:00"/>
    <n v="0"/>
    <x v="1"/>
  </r>
  <r>
    <x v="0"/>
    <s v="Egypt"/>
    <x v="17"/>
    <x v="82"/>
    <x v="82"/>
    <m/>
    <m/>
    <s v="Break 30 Morning"/>
    <d v="1899-12-30T13:15:00"/>
    <d v="1899-12-30T13:45:00"/>
    <n v="0"/>
    <x v="1"/>
  </r>
  <r>
    <x v="0"/>
    <s v="Egypt"/>
    <x v="17"/>
    <x v="82"/>
    <x v="82"/>
    <d v="2025-06-28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10:00:00"/>
    <d v="1899-12-30T10:15:00"/>
    <n v="0"/>
    <x v="1"/>
  </r>
  <r>
    <x v="0"/>
    <s v="Egypt"/>
    <x v="17"/>
    <x v="82"/>
    <x v="82"/>
    <m/>
    <m/>
    <s v="Break 30 Morning"/>
    <d v="1899-12-30T13:15:00"/>
    <d v="1899-12-30T13:45:00"/>
    <n v="0"/>
    <x v="1"/>
  </r>
  <r>
    <x v="0"/>
    <s v="Egypt"/>
    <x v="17"/>
    <x v="82"/>
    <x v="82"/>
    <d v="2025-06-29T00:00:00"/>
    <d v="1899-12-30T08:15:00"/>
    <s v="Non Telecom"/>
    <d v="1899-12-30T08:00:00"/>
    <d v="1899-12-30T16:15:00"/>
    <n v="29700"/>
    <x v="0"/>
  </r>
  <r>
    <x v="0"/>
    <s v="Egypt"/>
    <x v="17"/>
    <x v="82"/>
    <x v="82"/>
    <m/>
    <m/>
    <s v="Break 15 Morning"/>
    <d v="1899-12-30T09:00:00"/>
    <d v="1899-12-30T09:15:00"/>
    <n v="0"/>
    <x v="1"/>
  </r>
  <r>
    <x v="0"/>
    <s v="Egypt"/>
    <x v="17"/>
    <x v="82"/>
    <x v="82"/>
    <m/>
    <m/>
    <s v="Break 30 Morning"/>
    <d v="1899-12-30T12:15:00"/>
    <d v="1899-12-30T12:45:00"/>
    <n v="0"/>
    <x v="1"/>
  </r>
  <r>
    <x v="0"/>
    <s v="Egypt"/>
    <x v="17"/>
    <x v="82"/>
    <x v="82"/>
    <d v="2025-06-30T00:00:00"/>
    <m/>
    <s v="Day Off"/>
    <m/>
    <m/>
    <n v="0"/>
    <x v="1"/>
  </r>
  <r>
    <x v="0"/>
    <s v="Egypt"/>
    <x v="18"/>
    <x v="83"/>
    <x v="83"/>
    <d v="2025-06-01T00:00:00"/>
    <d v="1899-12-30T08:15:00"/>
    <s v="Non Telecom"/>
    <d v="1899-12-30T21:00:00"/>
    <s v="+5:15 AM"/>
    <n v="29700"/>
    <x v="0"/>
  </r>
  <r>
    <x v="0"/>
    <s v="Egypt"/>
    <x v="18"/>
    <x v="83"/>
    <x v="83"/>
    <m/>
    <m/>
    <s v="Break 15 Night"/>
    <d v="1899-12-30T22:00:00"/>
    <d v="1899-12-30T22:15:00"/>
    <n v="0"/>
    <x v="1"/>
  </r>
  <r>
    <x v="0"/>
    <s v="Egypt"/>
    <x v="18"/>
    <x v="83"/>
    <x v="83"/>
    <m/>
    <m/>
    <s v="Break 30 Night"/>
    <s v="+1:15 AM"/>
    <s v="+1:45 AM"/>
    <n v="0"/>
    <x v="1"/>
  </r>
  <r>
    <x v="0"/>
    <s v="Egypt"/>
    <x v="18"/>
    <x v="83"/>
    <x v="83"/>
    <d v="2025-06-02T00:00:00"/>
    <d v="1899-12-30T08:15:00"/>
    <s v="Non Telecom"/>
    <d v="1899-12-30T21:00:00"/>
    <s v="+5:15 AM"/>
    <n v="29700"/>
    <x v="0"/>
  </r>
  <r>
    <x v="0"/>
    <s v="Egypt"/>
    <x v="18"/>
    <x v="83"/>
    <x v="83"/>
    <m/>
    <m/>
    <s v="Break 15 Night"/>
    <d v="1899-12-30T22:00:00"/>
    <d v="1899-12-30T22:15:00"/>
    <n v="0"/>
    <x v="1"/>
  </r>
  <r>
    <x v="0"/>
    <s v="Egypt"/>
    <x v="18"/>
    <x v="83"/>
    <x v="83"/>
    <m/>
    <m/>
    <s v="Break 30 Night"/>
    <s v="+1:15 AM"/>
    <s v="+1:45 AM"/>
    <n v="0"/>
    <x v="1"/>
  </r>
  <r>
    <x v="0"/>
    <s v="Egypt"/>
    <x v="18"/>
    <x v="83"/>
    <x v="83"/>
    <d v="2025-06-03T00:00:00"/>
    <d v="1899-12-30T08:15:00"/>
    <s v="Planned Training"/>
    <m/>
    <m/>
    <n v="29700"/>
    <x v="1"/>
  </r>
  <r>
    <x v="0"/>
    <s v="Egypt"/>
    <x v="18"/>
    <x v="83"/>
    <x v="83"/>
    <d v="2025-06-04T00:00:00"/>
    <d v="1899-12-30T08:15:00"/>
    <s v="Planned Training"/>
    <m/>
    <m/>
    <n v="29700"/>
    <x v="1"/>
  </r>
  <r>
    <x v="0"/>
    <s v="Egypt"/>
    <x v="18"/>
    <x v="83"/>
    <x v="83"/>
    <d v="2025-06-05T00:00:00"/>
    <d v="1899-12-30T08:15:00"/>
    <s v="Annual Exception"/>
    <m/>
    <m/>
    <n v="29700"/>
    <x v="1"/>
  </r>
  <r>
    <x v="0"/>
    <s v="Egypt"/>
    <x v="18"/>
    <x v="83"/>
    <x v="83"/>
    <d v="2025-06-06T00:00:00"/>
    <m/>
    <s v="Day Off"/>
    <m/>
    <m/>
    <n v="0"/>
    <x v="1"/>
  </r>
  <r>
    <x v="0"/>
    <s v="Egypt"/>
    <x v="18"/>
    <x v="83"/>
    <x v="83"/>
    <d v="2025-06-07T00:00:00"/>
    <m/>
    <s v="Day Off"/>
    <m/>
    <m/>
    <n v="0"/>
    <x v="1"/>
  </r>
  <r>
    <x v="0"/>
    <s v="Egypt"/>
    <x v="18"/>
    <x v="83"/>
    <x v="83"/>
    <d v="2025-06-08T00:00:00"/>
    <d v="1899-12-30T08:15:00"/>
    <s v="Planned Training"/>
    <m/>
    <m/>
    <n v="29700"/>
    <x v="1"/>
  </r>
  <r>
    <x v="0"/>
    <s v="Egypt"/>
    <x v="18"/>
    <x v="83"/>
    <x v="83"/>
    <d v="2025-06-09T00:00:00"/>
    <d v="1899-12-30T08:15:00"/>
    <s v="Planned Training"/>
    <m/>
    <m/>
    <n v="29700"/>
    <x v="1"/>
  </r>
  <r>
    <x v="0"/>
    <s v="Egypt"/>
    <x v="18"/>
    <x v="83"/>
    <x v="83"/>
    <d v="2025-06-10T00:00:00"/>
    <d v="1899-12-30T08:15:00"/>
    <s v="Planned Training"/>
    <m/>
    <m/>
    <n v="29700"/>
    <x v="1"/>
  </r>
  <r>
    <x v="0"/>
    <s v="Egypt"/>
    <x v="18"/>
    <x v="83"/>
    <x v="83"/>
    <d v="2025-06-11T00:00:00"/>
    <d v="1899-12-30T08:15:00"/>
    <s v="Planned Training"/>
    <m/>
    <m/>
    <n v="29700"/>
    <x v="1"/>
  </r>
  <r>
    <x v="0"/>
    <s v="Egypt"/>
    <x v="18"/>
    <x v="83"/>
    <x v="83"/>
    <d v="2025-06-12T00:00:00"/>
    <d v="1899-12-30T08:15:00"/>
    <s v="Planned Training"/>
    <m/>
    <m/>
    <n v="29700"/>
    <x v="1"/>
  </r>
  <r>
    <x v="0"/>
    <s v="Egypt"/>
    <x v="18"/>
    <x v="83"/>
    <x v="83"/>
    <d v="2025-06-13T00:00:00"/>
    <m/>
    <s v="Day Off"/>
    <m/>
    <m/>
    <n v="0"/>
    <x v="1"/>
  </r>
  <r>
    <x v="0"/>
    <s v="Egypt"/>
    <x v="18"/>
    <x v="83"/>
    <x v="83"/>
    <d v="2025-06-14T00:00:00"/>
    <m/>
    <s v="Day Off"/>
    <m/>
    <m/>
    <n v="0"/>
    <x v="1"/>
  </r>
  <r>
    <x v="0"/>
    <s v="Egypt"/>
    <x v="18"/>
    <x v="83"/>
    <x v="83"/>
    <d v="2025-06-15T00:00:00"/>
    <d v="1899-12-30T08:15:00"/>
    <s v="Non Telecom"/>
    <d v="1899-12-30T16:15:00"/>
    <s v="+12:30 AM"/>
    <n v="29700"/>
    <x v="0"/>
  </r>
  <r>
    <x v="0"/>
    <s v="Egypt"/>
    <x v="18"/>
    <x v="83"/>
    <x v="83"/>
    <m/>
    <m/>
    <s v="No Swap"/>
    <d v="1899-12-30T16:15:00"/>
    <d v="1899-12-30T16:30:00"/>
    <n v="0"/>
    <x v="1"/>
  </r>
  <r>
    <x v="0"/>
    <s v="Egypt"/>
    <x v="18"/>
    <x v="83"/>
    <x v="83"/>
    <m/>
    <m/>
    <s v="Break 15 Night"/>
    <d v="1899-12-30T17:45:00"/>
    <d v="1899-12-30T18:00:00"/>
    <n v="0"/>
    <x v="1"/>
  </r>
  <r>
    <x v="0"/>
    <s v="Egypt"/>
    <x v="18"/>
    <x v="83"/>
    <x v="83"/>
    <m/>
    <m/>
    <s v="Break 30 Night"/>
    <d v="1899-12-30T20:45:00"/>
    <d v="1899-12-30T21:15:00"/>
    <n v="0"/>
    <x v="1"/>
  </r>
  <r>
    <x v="0"/>
    <s v="Egypt"/>
    <x v="18"/>
    <x v="83"/>
    <x v="83"/>
    <d v="2025-06-16T00:00:00"/>
    <d v="1899-12-30T08:15:00"/>
    <s v="Non Telecom"/>
    <d v="1899-12-30T16:15:00"/>
    <s v="+12:30 AM"/>
    <n v="29700"/>
    <x v="0"/>
  </r>
  <r>
    <x v="0"/>
    <s v="Egypt"/>
    <x v="18"/>
    <x v="83"/>
    <x v="83"/>
    <m/>
    <m/>
    <s v="No Swap"/>
    <d v="1899-12-30T16:15:00"/>
    <d v="1899-12-30T16:30:00"/>
    <n v="0"/>
    <x v="1"/>
  </r>
  <r>
    <x v="0"/>
    <s v="Egypt"/>
    <x v="18"/>
    <x v="83"/>
    <x v="83"/>
    <m/>
    <m/>
    <s v="Break 15 Night"/>
    <d v="1899-12-30T17:15:00"/>
    <d v="1899-12-30T17:30:00"/>
    <n v="0"/>
    <x v="1"/>
  </r>
  <r>
    <x v="0"/>
    <s v="Egypt"/>
    <x v="18"/>
    <x v="83"/>
    <x v="83"/>
    <m/>
    <m/>
    <s v="Break 30 Night"/>
    <d v="1899-12-30T20:30:00"/>
    <d v="1899-12-30T21:00:00"/>
    <n v="0"/>
    <x v="1"/>
  </r>
  <r>
    <x v="0"/>
    <s v="Egypt"/>
    <x v="18"/>
    <x v="83"/>
    <x v="83"/>
    <d v="2025-06-17T00:00:00"/>
    <d v="1899-12-30T08:15:00"/>
    <s v="Non Telecom"/>
    <d v="1899-12-30T16:15:00"/>
    <s v="+12:30 AM"/>
    <n v="29700"/>
    <x v="0"/>
  </r>
  <r>
    <x v="0"/>
    <s v="Egypt"/>
    <x v="18"/>
    <x v="83"/>
    <x v="83"/>
    <m/>
    <m/>
    <s v="No Swap"/>
    <d v="1899-12-30T16:15:00"/>
    <d v="1899-12-30T16:30:00"/>
    <n v="0"/>
    <x v="1"/>
  </r>
  <r>
    <x v="0"/>
    <s v="Egypt"/>
    <x v="18"/>
    <x v="83"/>
    <x v="83"/>
    <m/>
    <m/>
    <s v="Break 15 Night"/>
    <d v="1899-12-30T17:15:00"/>
    <d v="1899-12-30T17:30:00"/>
    <n v="0"/>
    <x v="1"/>
  </r>
  <r>
    <x v="0"/>
    <s v="Egypt"/>
    <x v="18"/>
    <x v="83"/>
    <x v="83"/>
    <m/>
    <m/>
    <s v="Break 30 Night"/>
    <d v="1899-12-30T20:30:00"/>
    <d v="1899-12-30T21:00:00"/>
    <n v="0"/>
    <x v="1"/>
  </r>
  <r>
    <x v="0"/>
    <s v="Egypt"/>
    <x v="18"/>
    <x v="83"/>
    <x v="83"/>
    <d v="2025-06-18T00:00:00"/>
    <d v="1899-12-30T08:15:00"/>
    <s v="Non Telecom"/>
    <d v="1899-12-30T13:00:00"/>
    <d v="1899-12-30T21:15:00"/>
    <n v="29700"/>
    <x v="0"/>
  </r>
  <r>
    <x v="0"/>
    <s v="Egypt"/>
    <x v="18"/>
    <x v="83"/>
    <x v="83"/>
    <m/>
    <m/>
    <s v="No Swap"/>
    <d v="1899-12-30T13:00:00"/>
    <d v="1899-12-30T13:15:00"/>
    <n v="0"/>
    <x v="1"/>
  </r>
  <r>
    <x v="0"/>
    <s v="Egypt"/>
    <x v="18"/>
    <x v="83"/>
    <x v="83"/>
    <m/>
    <m/>
    <s v="Break 15 Morning"/>
    <d v="1899-12-30T14:45:00"/>
    <d v="1899-12-30T15:00:00"/>
    <n v="0"/>
    <x v="1"/>
  </r>
  <r>
    <x v="0"/>
    <s v="Egypt"/>
    <x v="18"/>
    <x v="83"/>
    <x v="83"/>
    <m/>
    <m/>
    <s v="Break 30 Morning"/>
    <d v="1899-12-30T17:15:00"/>
    <d v="1899-12-30T17:45:00"/>
    <n v="0"/>
    <x v="1"/>
  </r>
  <r>
    <x v="0"/>
    <s v="Egypt"/>
    <x v="18"/>
    <x v="83"/>
    <x v="83"/>
    <d v="2025-06-19T00:00:00"/>
    <d v="1899-12-30T08:15:00"/>
    <s v="Non Telecom"/>
    <d v="1899-12-30T16:15:00"/>
    <s v="+12:30 AM"/>
    <n v="29700"/>
    <x v="0"/>
  </r>
  <r>
    <x v="0"/>
    <s v="Egypt"/>
    <x v="18"/>
    <x v="83"/>
    <x v="83"/>
    <m/>
    <m/>
    <s v="No Swap"/>
    <d v="1899-12-30T16:15:00"/>
    <d v="1899-12-30T16:30:00"/>
    <n v="0"/>
    <x v="1"/>
  </r>
  <r>
    <x v="0"/>
    <s v="Egypt"/>
    <x v="18"/>
    <x v="83"/>
    <x v="83"/>
    <m/>
    <m/>
    <s v="Break 15 Night"/>
    <d v="1899-12-30T17:30:00"/>
    <d v="1899-12-30T17:45:00"/>
    <n v="0"/>
    <x v="1"/>
  </r>
  <r>
    <x v="0"/>
    <s v="Egypt"/>
    <x v="18"/>
    <x v="83"/>
    <x v="83"/>
    <m/>
    <m/>
    <s v="Break 30 Night"/>
    <d v="1899-12-30T19:45:00"/>
    <d v="1899-12-30T20:15:00"/>
    <n v="0"/>
    <x v="1"/>
  </r>
  <r>
    <x v="0"/>
    <s v="Egypt"/>
    <x v="18"/>
    <x v="83"/>
    <x v="83"/>
    <d v="2025-06-20T00:00:00"/>
    <m/>
    <s v="Day Off"/>
    <m/>
    <m/>
    <n v="0"/>
    <x v="1"/>
  </r>
  <r>
    <x v="0"/>
    <s v="Egypt"/>
    <x v="18"/>
    <x v="83"/>
    <x v="83"/>
    <d v="2025-06-21T00:00:00"/>
    <m/>
    <s v="Day Off"/>
    <m/>
    <m/>
    <n v="0"/>
    <x v="1"/>
  </r>
  <r>
    <x v="0"/>
    <s v="Egypt"/>
    <x v="18"/>
    <x v="83"/>
    <x v="83"/>
    <d v="2025-06-22T00:00:00"/>
    <d v="1899-12-30T08:15:00"/>
    <s v="Non Telecom"/>
    <d v="1899-12-30T13:00:00"/>
    <d v="1899-12-30T21:15:00"/>
    <n v="29700"/>
    <x v="0"/>
  </r>
  <r>
    <x v="0"/>
    <s v="Egypt"/>
    <x v="18"/>
    <x v="83"/>
    <x v="83"/>
    <m/>
    <m/>
    <s v="No Swap"/>
    <d v="1899-12-30T13:30:00"/>
    <d v="1899-12-30T13:45:00"/>
    <n v="0"/>
    <x v="1"/>
  </r>
  <r>
    <x v="0"/>
    <s v="Egypt"/>
    <x v="18"/>
    <x v="83"/>
    <x v="83"/>
    <m/>
    <m/>
    <s v="Break 15 Morning"/>
    <d v="1899-12-30T14:30:00"/>
    <d v="1899-12-30T14:45:00"/>
    <n v="0"/>
    <x v="1"/>
  </r>
  <r>
    <x v="0"/>
    <s v="Egypt"/>
    <x v="18"/>
    <x v="83"/>
    <x v="83"/>
    <m/>
    <m/>
    <s v="Break 30 Morning"/>
    <d v="1899-12-30T17:15:00"/>
    <d v="1899-12-30T17:45:00"/>
    <n v="0"/>
    <x v="1"/>
  </r>
  <r>
    <x v="0"/>
    <s v="Egypt"/>
    <x v="18"/>
    <x v="83"/>
    <x v="83"/>
    <d v="2025-06-23T00:00:00"/>
    <d v="1899-12-30T08:15:00"/>
    <s v="Non Telecom"/>
    <d v="1899-12-30T13:00:00"/>
    <d v="1899-12-30T21:15:00"/>
    <n v="29700"/>
    <x v="0"/>
  </r>
  <r>
    <x v="0"/>
    <s v="Egypt"/>
    <x v="18"/>
    <x v="83"/>
    <x v="83"/>
    <m/>
    <m/>
    <s v="No Swap"/>
    <d v="1899-12-30T13:30:00"/>
    <d v="1899-12-30T13:45:00"/>
    <n v="0"/>
    <x v="1"/>
  </r>
  <r>
    <x v="0"/>
    <s v="Egypt"/>
    <x v="18"/>
    <x v="83"/>
    <x v="83"/>
    <m/>
    <m/>
    <s v="Break 15 Morning"/>
    <d v="1899-12-30T14:15:00"/>
    <d v="1899-12-30T14:30:00"/>
    <n v="0"/>
    <x v="1"/>
  </r>
  <r>
    <x v="0"/>
    <s v="Egypt"/>
    <x v="18"/>
    <x v="83"/>
    <x v="83"/>
    <m/>
    <m/>
    <s v="Break 30 Morning"/>
    <d v="1899-12-30T17:15:00"/>
    <d v="1899-12-30T17:45:00"/>
    <n v="0"/>
    <x v="1"/>
  </r>
  <r>
    <x v="0"/>
    <s v="Egypt"/>
    <x v="18"/>
    <x v="83"/>
    <x v="83"/>
    <d v="2025-06-24T00:00:00"/>
    <d v="1899-12-30T08:15:00"/>
    <s v="Non Telecom"/>
    <d v="1899-12-30T13:00:00"/>
    <d v="1899-12-30T21:15:00"/>
    <n v="29700"/>
    <x v="0"/>
  </r>
  <r>
    <x v="0"/>
    <s v="Egypt"/>
    <x v="18"/>
    <x v="83"/>
    <x v="83"/>
    <m/>
    <m/>
    <s v="No Swap"/>
    <d v="1899-12-30T13:30:00"/>
    <d v="1899-12-30T13:45:00"/>
    <n v="0"/>
    <x v="1"/>
  </r>
  <r>
    <x v="0"/>
    <s v="Egypt"/>
    <x v="18"/>
    <x v="83"/>
    <x v="83"/>
    <m/>
    <m/>
    <s v="Break 15 Morning"/>
    <d v="1899-12-30T14:45:00"/>
    <d v="1899-12-30T15:00:00"/>
    <n v="0"/>
    <x v="1"/>
  </r>
  <r>
    <x v="0"/>
    <s v="Egypt"/>
    <x v="18"/>
    <x v="83"/>
    <x v="83"/>
    <m/>
    <m/>
    <s v="Break 30 Morning"/>
    <d v="1899-12-30T17:45:00"/>
    <d v="1899-12-30T18:15:00"/>
    <n v="0"/>
    <x v="1"/>
  </r>
  <r>
    <x v="0"/>
    <s v="Egypt"/>
    <x v="18"/>
    <x v="83"/>
    <x v="83"/>
    <d v="2025-06-25T00:00:00"/>
    <d v="1899-12-30T08:15:00"/>
    <s v="Non Telecom"/>
    <d v="1899-12-30T13:00:00"/>
    <d v="1899-12-30T21:15:00"/>
    <n v="29700"/>
    <x v="0"/>
  </r>
  <r>
    <x v="0"/>
    <s v="Egypt"/>
    <x v="18"/>
    <x v="83"/>
    <x v="83"/>
    <m/>
    <m/>
    <s v="No Swap"/>
    <d v="1899-12-30T13:15:00"/>
    <d v="1899-12-30T13:30:00"/>
    <n v="0"/>
    <x v="1"/>
  </r>
  <r>
    <x v="0"/>
    <s v="Egypt"/>
    <x v="18"/>
    <x v="83"/>
    <x v="83"/>
    <m/>
    <m/>
    <s v="Break 15 Morning"/>
    <d v="1899-12-30T14:45:00"/>
    <d v="1899-12-30T15:00:00"/>
    <n v="0"/>
    <x v="1"/>
  </r>
  <r>
    <x v="0"/>
    <s v="Egypt"/>
    <x v="18"/>
    <x v="83"/>
    <x v="83"/>
    <m/>
    <m/>
    <s v="Break 30 Morning"/>
    <d v="1899-12-30T17:15:00"/>
    <d v="1899-12-30T17:45:00"/>
    <n v="0"/>
    <x v="1"/>
  </r>
  <r>
    <x v="0"/>
    <s v="Egypt"/>
    <x v="18"/>
    <x v="83"/>
    <x v="83"/>
    <d v="2025-06-26T00:00:00"/>
    <m/>
    <s v="Day Off"/>
    <m/>
    <m/>
    <n v="0"/>
    <x v="1"/>
  </r>
  <r>
    <x v="0"/>
    <s v="Egypt"/>
    <x v="18"/>
    <x v="83"/>
    <x v="83"/>
    <d v="2025-06-27T00:00:00"/>
    <m/>
    <s v="Day Off"/>
    <m/>
    <m/>
    <n v="0"/>
    <x v="1"/>
  </r>
  <r>
    <x v="0"/>
    <s v="Egypt"/>
    <x v="18"/>
    <x v="83"/>
    <x v="83"/>
    <d v="2025-06-28T00:00:00"/>
    <d v="1899-12-30T08:15:00"/>
    <s v="Annual Exception"/>
    <m/>
    <m/>
    <n v="29700"/>
    <x v="1"/>
  </r>
  <r>
    <x v="0"/>
    <s v="Egypt"/>
    <x v="18"/>
    <x v="83"/>
    <x v="83"/>
    <d v="2025-06-29T00:00:00"/>
    <d v="1899-12-30T08:15:00"/>
    <s v="Non Telecom"/>
    <d v="1899-12-30T21:00:00"/>
    <s v="+5:15 AM"/>
    <n v="29700"/>
    <x v="0"/>
  </r>
  <r>
    <x v="0"/>
    <s v="Egypt"/>
    <x v="18"/>
    <x v="83"/>
    <x v="83"/>
    <m/>
    <m/>
    <s v="Break 15 Night"/>
    <d v="1899-12-30T22:45:00"/>
    <d v="1899-12-30T23:00:00"/>
    <n v="0"/>
    <x v="1"/>
  </r>
  <r>
    <x v="0"/>
    <s v="Egypt"/>
    <x v="18"/>
    <x v="83"/>
    <x v="83"/>
    <m/>
    <m/>
    <s v="Break 30 Night"/>
    <s v="+2:00 AM"/>
    <s v="+2:30 AM"/>
    <n v="0"/>
    <x v="1"/>
  </r>
  <r>
    <x v="0"/>
    <s v="Egypt"/>
    <x v="18"/>
    <x v="83"/>
    <x v="83"/>
    <d v="2025-06-30T00:00:00"/>
    <d v="1899-12-30T08:15:00"/>
    <s v="Non Telecom"/>
    <d v="1899-12-30T21:00:00"/>
    <s v="+5:15 AM"/>
    <n v="29700"/>
    <x v="0"/>
  </r>
  <r>
    <x v="0"/>
    <s v="Egypt"/>
    <x v="18"/>
    <x v="83"/>
    <x v="83"/>
    <m/>
    <m/>
    <s v="Break 15 Night"/>
    <d v="1899-12-30T22:45:00"/>
    <d v="1899-12-30T23:00:00"/>
    <n v="0"/>
    <x v="1"/>
  </r>
  <r>
    <x v="0"/>
    <s v="Egypt"/>
    <x v="18"/>
    <x v="83"/>
    <x v="83"/>
    <m/>
    <m/>
    <s v="Break 30 Night"/>
    <s v="+2:00 AM"/>
    <s v="+2:30 AM"/>
    <n v="0"/>
    <x v="1"/>
  </r>
  <r>
    <x v="0"/>
    <s v="Egypt"/>
    <x v="18"/>
    <x v="84"/>
    <x v="84"/>
    <d v="2025-06-01T00:00:00"/>
    <d v="1899-12-30T08:15:00"/>
    <s v="Support Training"/>
    <m/>
    <m/>
    <n v="29700"/>
    <x v="1"/>
  </r>
  <r>
    <x v="0"/>
    <s v="Egypt"/>
    <x v="18"/>
    <x v="84"/>
    <x v="84"/>
    <d v="2025-06-02T00:00:00"/>
    <d v="1899-12-30T08:15:00"/>
    <s v="Support Training"/>
    <m/>
    <m/>
    <n v="29700"/>
    <x v="1"/>
  </r>
  <r>
    <x v="0"/>
    <s v="Egypt"/>
    <x v="18"/>
    <x v="84"/>
    <x v="84"/>
    <d v="2025-06-03T00:00:00"/>
    <d v="1899-12-30T08:15:00"/>
    <s v="Support Training"/>
    <m/>
    <m/>
    <n v="29700"/>
    <x v="1"/>
  </r>
  <r>
    <x v="0"/>
    <s v="Egypt"/>
    <x v="18"/>
    <x v="84"/>
    <x v="84"/>
    <d v="2025-06-04T00:00:00"/>
    <d v="1899-12-30T08:15:00"/>
    <s v="Support Training"/>
    <m/>
    <m/>
    <n v="29700"/>
    <x v="1"/>
  </r>
  <r>
    <x v="0"/>
    <s v="Egypt"/>
    <x v="18"/>
    <x v="84"/>
    <x v="84"/>
    <d v="2025-06-05T00:00:00"/>
    <d v="1899-12-30T08:15:00"/>
    <s v="Support Training"/>
    <m/>
    <m/>
    <n v="29700"/>
    <x v="1"/>
  </r>
  <r>
    <x v="0"/>
    <s v="Egypt"/>
    <x v="18"/>
    <x v="84"/>
    <x v="84"/>
    <d v="2025-06-06T00:00:00"/>
    <m/>
    <s v="Day Off"/>
    <m/>
    <m/>
    <n v="0"/>
    <x v="1"/>
  </r>
  <r>
    <x v="0"/>
    <s v="Egypt"/>
    <x v="18"/>
    <x v="84"/>
    <x v="84"/>
    <d v="2025-06-07T00:00:00"/>
    <m/>
    <s v="Day Off"/>
    <m/>
    <m/>
    <n v="0"/>
    <x v="1"/>
  </r>
  <r>
    <x v="0"/>
    <s v="Egypt"/>
    <x v="18"/>
    <x v="84"/>
    <x v="84"/>
    <d v="2025-06-08T00:00:00"/>
    <m/>
    <s v="Day Off"/>
    <m/>
    <m/>
    <n v="0"/>
    <x v="1"/>
  </r>
  <r>
    <x v="0"/>
    <s v="Egypt"/>
    <x v="18"/>
    <x v="84"/>
    <x v="84"/>
    <d v="2025-06-09T00:00:00"/>
    <m/>
    <s v="Day Off"/>
    <m/>
    <m/>
    <n v="0"/>
    <x v="1"/>
  </r>
  <r>
    <x v="0"/>
    <s v="Egypt"/>
    <x v="18"/>
    <x v="84"/>
    <x v="84"/>
    <d v="2025-06-10T00:00:00"/>
    <d v="1899-12-30T08:15:00"/>
    <s v="Support Training"/>
    <m/>
    <m/>
    <n v="29700"/>
    <x v="1"/>
  </r>
  <r>
    <x v="0"/>
    <s v="Egypt"/>
    <x v="18"/>
    <x v="84"/>
    <x v="84"/>
    <d v="2025-06-11T00:00:00"/>
    <d v="1899-12-30T08:15:00"/>
    <s v="Support Training"/>
    <m/>
    <m/>
    <n v="29700"/>
    <x v="1"/>
  </r>
  <r>
    <x v="0"/>
    <s v="Egypt"/>
    <x v="18"/>
    <x v="84"/>
    <x v="84"/>
    <d v="2025-06-12T00:00:00"/>
    <d v="1899-12-30T08:15:00"/>
    <s v="Support Training"/>
    <m/>
    <m/>
    <n v="29700"/>
    <x v="1"/>
  </r>
  <r>
    <x v="0"/>
    <s v="Egypt"/>
    <x v="18"/>
    <x v="84"/>
    <x v="84"/>
    <d v="2025-06-13T00:00:00"/>
    <d v="1899-12-30T08:15:00"/>
    <s v="Support Training"/>
    <m/>
    <m/>
    <n v="29700"/>
    <x v="1"/>
  </r>
  <r>
    <x v="0"/>
    <s v="Egypt"/>
    <x v="18"/>
    <x v="84"/>
    <x v="84"/>
    <d v="2025-06-14T00:00:00"/>
    <d v="1899-12-30T08:15:00"/>
    <s v="Support Training"/>
    <m/>
    <m/>
    <n v="29700"/>
    <x v="1"/>
  </r>
  <r>
    <x v="0"/>
    <s v="Egypt"/>
    <x v="18"/>
    <x v="84"/>
    <x v="84"/>
    <d v="2025-06-15T00:00:00"/>
    <d v="1899-12-30T08:15:00"/>
    <s v="Support Training"/>
    <m/>
    <m/>
    <n v="29700"/>
    <x v="1"/>
  </r>
  <r>
    <x v="0"/>
    <s v="Egypt"/>
    <x v="18"/>
    <x v="84"/>
    <x v="84"/>
    <d v="2025-06-16T00:00:00"/>
    <d v="1899-12-30T08:15:00"/>
    <s v="Annual Exception"/>
    <m/>
    <m/>
    <n v="29700"/>
    <x v="1"/>
  </r>
  <r>
    <x v="0"/>
    <s v="Egypt"/>
    <x v="18"/>
    <x v="84"/>
    <x v="84"/>
    <d v="2025-06-17T00:00:00"/>
    <m/>
    <s v="Day Off"/>
    <m/>
    <m/>
    <n v="0"/>
    <x v="1"/>
  </r>
  <r>
    <x v="0"/>
    <s v="Egypt"/>
    <x v="18"/>
    <x v="84"/>
    <x v="84"/>
    <d v="2025-06-18T00:00:00"/>
    <m/>
    <s v="Day Off"/>
    <m/>
    <m/>
    <n v="0"/>
    <x v="1"/>
  </r>
  <r>
    <x v="0"/>
    <s v="Egypt"/>
    <x v="18"/>
    <x v="84"/>
    <x v="84"/>
    <d v="2025-06-19T00:00:00"/>
    <d v="1899-12-30T08:15:00"/>
    <s v="Non Telecom"/>
    <d v="1899-12-30T15:00:00"/>
    <d v="1899-12-30T23:15:00"/>
    <n v="29700"/>
    <x v="0"/>
  </r>
  <r>
    <x v="0"/>
    <s v="Egypt"/>
    <x v="18"/>
    <x v="84"/>
    <x v="84"/>
    <m/>
    <m/>
    <s v="Break 15 Morning"/>
    <d v="1899-12-30T17:30:00"/>
    <d v="1899-12-30T17:45:00"/>
    <n v="0"/>
    <x v="1"/>
  </r>
  <r>
    <x v="0"/>
    <s v="Egypt"/>
    <x v="18"/>
    <x v="84"/>
    <x v="84"/>
    <m/>
    <m/>
    <s v="Break 30 Morning"/>
    <d v="1899-12-30T19:45:00"/>
    <d v="1899-12-30T20:15:00"/>
    <n v="0"/>
    <x v="1"/>
  </r>
  <r>
    <x v="0"/>
    <s v="Egypt"/>
    <x v="18"/>
    <x v="84"/>
    <x v="84"/>
    <d v="2025-06-20T00:00:00"/>
    <d v="1899-12-30T08:15:00"/>
    <s v="Non Telecom"/>
    <d v="1899-12-30T15:00:00"/>
    <d v="1899-12-30T23:15:00"/>
    <n v="29700"/>
    <x v="0"/>
  </r>
  <r>
    <x v="0"/>
    <s v="Egypt"/>
    <x v="18"/>
    <x v="84"/>
    <x v="84"/>
    <m/>
    <m/>
    <s v="Break 15 Morning"/>
    <d v="1899-12-30T17:15:00"/>
    <d v="1899-12-30T17:30:00"/>
    <n v="0"/>
    <x v="1"/>
  </r>
  <r>
    <x v="0"/>
    <s v="Egypt"/>
    <x v="18"/>
    <x v="84"/>
    <x v="84"/>
    <m/>
    <m/>
    <s v="Break 30 Morning"/>
    <d v="1899-12-30T20:15:00"/>
    <d v="1899-12-30T20:45:00"/>
    <n v="0"/>
    <x v="1"/>
  </r>
  <r>
    <x v="0"/>
    <s v="Egypt"/>
    <x v="18"/>
    <x v="84"/>
    <x v="84"/>
    <d v="2025-06-21T00:00:00"/>
    <d v="1899-12-30T08:15:00"/>
    <s v="Non Telecom"/>
    <d v="1899-12-30T20:00:00"/>
    <s v="+4:15 AM"/>
    <n v="29700"/>
    <x v="0"/>
  </r>
  <r>
    <x v="0"/>
    <s v="Egypt"/>
    <x v="18"/>
    <x v="84"/>
    <x v="84"/>
    <m/>
    <m/>
    <s v="Break 15 Night"/>
    <d v="1899-12-30T22:30:00"/>
    <d v="1899-12-30T22:45:00"/>
    <n v="0"/>
    <x v="1"/>
  </r>
  <r>
    <x v="0"/>
    <s v="Egypt"/>
    <x v="18"/>
    <x v="84"/>
    <x v="84"/>
    <m/>
    <m/>
    <s v="Break 30 Night"/>
    <s v="+2:00 AM"/>
    <s v="+2:30 AM"/>
    <n v="0"/>
    <x v="1"/>
  </r>
  <r>
    <x v="0"/>
    <s v="Egypt"/>
    <x v="18"/>
    <x v="84"/>
    <x v="84"/>
    <d v="2025-06-22T00:00:00"/>
    <d v="1899-12-30T08:15:00"/>
    <s v="Non Telecom"/>
    <d v="1899-12-30T21:00:00"/>
    <s v="+5:15 AM"/>
    <n v="29700"/>
    <x v="0"/>
  </r>
  <r>
    <x v="0"/>
    <s v="Egypt"/>
    <x v="18"/>
    <x v="84"/>
    <x v="84"/>
    <m/>
    <m/>
    <s v="Break 15 Night"/>
    <d v="1899-12-30T23:00:00"/>
    <d v="1899-12-30T23:15:00"/>
    <n v="0"/>
    <x v="1"/>
  </r>
  <r>
    <x v="0"/>
    <s v="Egypt"/>
    <x v="18"/>
    <x v="84"/>
    <x v="84"/>
    <m/>
    <m/>
    <s v="Break 30 Night"/>
    <s v="+1:45 AM"/>
    <s v="+2:15 AM"/>
    <n v="0"/>
    <x v="1"/>
  </r>
  <r>
    <x v="0"/>
    <s v="Egypt"/>
    <x v="18"/>
    <x v="84"/>
    <x v="84"/>
    <d v="2025-06-23T00:00:00"/>
    <d v="1899-12-30T08:15:00"/>
    <s v="Annual Exception"/>
    <m/>
    <m/>
    <n v="29700"/>
    <x v="1"/>
  </r>
  <r>
    <x v="0"/>
    <s v="Egypt"/>
    <x v="18"/>
    <x v="84"/>
    <x v="84"/>
    <d v="2025-06-24T00:00:00"/>
    <m/>
    <s v="Day Off"/>
    <m/>
    <m/>
    <n v="0"/>
    <x v="1"/>
  </r>
  <r>
    <x v="0"/>
    <s v="Egypt"/>
    <x v="18"/>
    <x v="84"/>
    <x v="84"/>
    <d v="2025-06-25T00:00:00"/>
    <m/>
    <s v="Day Off"/>
    <m/>
    <m/>
    <n v="0"/>
    <x v="1"/>
  </r>
  <r>
    <x v="0"/>
    <s v="Egypt"/>
    <x v="18"/>
    <x v="84"/>
    <x v="84"/>
    <d v="2025-06-26T00:00:00"/>
    <d v="1899-12-30T08:15:00"/>
    <s v="Public holiday"/>
    <m/>
    <m/>
    <n v="29700"/>
    <x v="1"/>
  </r>
  <r>
    <x v="0"/>
    <s v="Egypt"/>
    <x v="18"/>
    <x v="84"/>
    <x v="84"/>
    <d v="2025-06-27T00:00:00"/>
    <d v="1899-12-30T08:15:00"/>
    <s v="Non Telecom"/>
    <d v="1899-12-30T21:00:00"/>
    <s v="+5:15 AM"/>
    <n v="29700"/>
    <x v="0"/>
  </r>
  <r>
    <x v="0"/>
    <s v="Egypt"/>
    <x v="18"/>
    <x v="84"/>
    <x v="84"/>
    <m/>
    <m/>
    <s v="Break 15 Night"/>
    <d v="1899-12-30T22:45:00"/>
    <d v="1899-12-30T23:00:00"/>
    <n v="0"/>
    <x v="1"/>
  </r>
  <r>
    <x v="0"/>
    <s v="Egypt"/>
    <x v="18"/>
    <x v="84"/>
    <x v="84"/>
    <m/>
    <m/>
    <s v="Break 30 Night"/>
    <s v="+1:15 AM"/>
    <s v="+1:45 AM"/>
    <n v="0"/>
    <x v="1"/>
  </r>
  <r>
    <x v="0"/>
    <s v="Egypt"/>
    <x v="18"/>
    <x v="84"/>
    <x v="84"/>
    <d v="2025-06-28T00:00:00"/>
    <d v="1899-12-30T08:15:00"/>
    <s v="Non Telecom"/>
    <d v="1899-12-30T21:00:00"/>
    <s v="+5:15 AM"/>
    <n v="29700"/>
    <x v="0"/>
  </r>
  <r>
    <x v="0"/>
    <s v="Egypt"/>
    <x v="18"/>
    <x v="84"/>
    <x v="84"/>
    <m/>
    <m/>
    <s v="Break 15 Night"/>
    <d v="1899-12-30T22:45:00"/>
    <d v="1899-12-30T23:00:00"/>
    <n v="0"/>
    <x v="1"/>
  </r>
  <r>
    <x v="0"/>
    <s v="Egypt"/>
    <x v="18"/>
    <x v="84"/>
    <x v="84"/>
    <m/>
    <m/>
    <s v="Break 30 Night"/>
    <s v="+2:00 AM"/>
    <s v="+2:30 AM"/>
    <n v="0"/>
    <x v="1"/>
  </r>
  <r>
    <x v="0"/>
    <s v="Egypt"/>
    <x v="18"/>
    <x v="84"/>
    <x v="84"/>
    <d v="2025-06-29T00:00:00"/>
    <d v="1899-12-30T08:15:00"/>
    <s v="Non Telecom"/>
    <d v="1899-12-30T21:00:00"/>
    <s v="+5:15 AM"/>
    <n v="29700"/>
    <x v="0"/>
  </r>
  <r>
    <x v="0"/>
    <s v="Egypt"/>
    <x v="18"/>
    <x v="84"/>
    <x v="84"/>
    <m/>
    <m/>
    <s v="Break 15 Night"/>
    <d v="1899-12-30T23:00:00"/>
    <d v="1899-12-30T23:15:00"/>
    <n v="0"/>
    <x v="1"/>
  </r>
  <r>
    <x v="0"/>
    <s v="Egypt"/>
    <x v="18"/>
    <x v="84"/>
    <x v="84"/>
    <m/>
    <m/>
    <s v="Break 30 Night"/>
    <s v="+2:00 AM"/>
    <s v="+2:30 AM"/>
    <n v="0"/>
    <x v="1"/>
  </r>
  <r>
    <x v="0"/>
    <s v="Egypt"/>
    <x v="18"/>
    <x v="84"/>
    <x v="84"/>
    <d v="2025-06-30T00:00:00"/>
    <m/>
    <s v="Day Off"/>
    <m/>
    <m/>
    <n v="0"/>
    <x v="1"/>
  </r>
  <r>
    <x v="0"/>
    <s v="Egypt"/>
    <x v="18"/>
    <x v="85"/>
    <x v="85"/>
    <d v="2025-06-01T00:00:00"/>
    <d v="1899-12-30T08:15:00"/>
    <s v="Non Telecom"/>
    <d v="1899-12-30T15:00:00"/>
    <d v="1899-12-30T23:15:00"/>
    <n v="29700"/>
    <x v="0"/>
  </r>
  <r>
    <x v="0"/>
    <s v="Egypt"/>
    <x v="18"/>
    <x v="85"/>
    <x v="85"/>
    <m/>
    <m/>
    <s v="Break 15 Morning"/>
    <d v="1899-12-30T17:15:00"/>
    <d v="1899-12-30T17:30:00"/>
    <n v="0"/>
    <x v="1"/>
  </r>
  <r>
    <x v="0"/>
    <s v="Egypt"/>
    <x v="18"/>
    <x v="85"/>
    <x v="85"/>
    <m/>
    <m/>
    <s v="Break 30 Morning"/>
    <d v="1899-12-30T20:15:00"/>
    <d v="1899-12-30T20:45:00"/>
    <n v="0"/>
    <x v="1"/>
  </r>
  <r>
    <x v="0"/>
    <s v="Egypt"/>
    <x v="18"/>
    <x v="85"/>
    <x v="85"/>
    <d v="2025-06-02T00:00:00"/>
    <m/>
    <s v="Day Off"/>
    <m/>
    <m/>
    <n v="0"/>
    <x v="1"/>
  </r>
  <r>
    <x v="0"/>
    <s v="Egypt"/>
    <x v="18"/>
    <x v="85"/>
    <x v="85"/>
    <d v="2025-06-03T00:00:00"/>
    <m/>
    <s v="Day Off"/>
    <m/>
    <m/>
    <n v="0"/>
    <x v="1"/>
  </r>
  <r>
    <x v="0"/>
    <s v="Egypt"/>
    <x v="18"/>
    <x v="85"/>
    <x v="85"/>
    <d v="2025-06-04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2:45:00"/>
    <d v="1899-12-30T23:00:00"/>
    <n v="0"/>
    <x v="1"/>
  </r>
  <r>
    <x v="0"/>
    <s v="Egypt"/>
    <x v="18"/>
    <x v="85"/>
    <x v="85"/>
    <m/>
    <m/>
    <s v="Break 30 Night"/>
    <s v="+2:00 AM"/>
    <s v="+2:30 AM"/>
    <n v="0"/>
    <x v="1"/>
  </r>
  <r>
    <x v="0"/>
    <s v="Egypt"/>
    <x v="18"/>
    <x v="85"/>
    <x v="85"/>
    <d v="2025-06-05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30:00"/>
    <d v="1899-12-30T23:45:00"/>
    <n v="0"/>
    <x v="1"/>
  </r>
  <r>
    <x v="0"/>
    <s v="Egypt"/>
    <x v="18"/>
    <x v="85"/>
    <x v="85"/>
    <m/>
    <m/>
    <s v="Break 30 Night"/>
    <s v="+2:45 AM"/>
    <s v="+3:15 AM"/>
    <n v="0"/>
    <x v="1"/>
  </r>
  <r>
    <x v="0"/>
    <s v="Egypt"/>
    <x v="18"/>
    <x v="85"/>
    <x v="85"/>
    <d v="2025-06-06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2:30:00"/>
    <d v="1899-12-30T22:45:00"/>
    <n v="0"/>
    <x v="1"/>
  </r>
  <r>
    <x v="0"/>
    <s v="Egypt"/>
    <x v="18"/>
    <x v="85"/>
    <x v="85"/>
    <m/>
    <m/>
    <s v="Break 30 Night"/>
    <s v="+1:00 AM"/>
    <s v="+1:30 AM"/>
    <n v="0"/>
    <x v="1"/>
  </r>
  <r>
    <x v="0"/>
    <s v="Egypt"/>
    <x v="18"/>
    <x v="85"/>
    <x v="85"/>
    <d v="2025-06-07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2:30:00"/>
    <d v="1899-12-30T22:45:00"/>
    <n v="0"/>
    <x v="1"/>
  </r>
  <r>
    <x v="0"/>
    <s v="Egypt"/>
    <x v="18"/>
    <x v="85"/>
    <x v="85"/>
    <m/>
    <m/>
    <s v="Break 30 Night"/>
    <s v="+1:45 AM"/>
    <s v="+2:15 AM"/>
    <n v="0"/>
    <x v="1"/>
  </r>
  <r>
    <x v="0"/>
    <s v="Egypt"/>
    <x v="18"/>
    <x v="85"/>
    <x v="85"/>
    <d v="2025-06-08T00:00:00"/>
    <m/>
    <s v="Day Off"/>
    <m/>
    <m/>
    <n v="0"/>
    <x v="1"/>
  </r>
  <r>
    <x v="0"/>
    <s v="Egypt"/>
    <x v="18"/>
    <x v="85"/>
    <x v="85"/>
    <d v="2025-06-09T00:00:00"/>
    <m/>
    <s v="Day Off"/>
    <m/>
    <m/>
    <n v="0"/>
    <x v="1"/>
  </r>
  <r>
    <x v="0"/>
    <s v="Egypt"/>
    <x v="18"/>
    <x v="85"/>
    <x v="85"/>
    <d v="2025-06-10T00:00:00"/>
    <d v="1899-12-30T08:15:00"/>
    <s v="Non Telecom"/>
    <d v="1899-12-30T19:15:00"/>
    <s v="+3:30 AM"/>
    <n v="29700"/>
    <x v="0"/>
  </r>
  <r>
    <x v="0"/>
    <s v="Egypt"/>
    <x v="18"/>
    <x v="85"/>
    <x v="85"/>
    <m/>
    <m/>
    <s v="Break 15 Night"/>
    <d v="1899-12-30T20:45:00"/>
    <d v="1899-12-30T21:00:00"/>
    <n v="0"/>
    <x v="1"/>
  </r>
  <r>
    <x v="0"/>
    <s v="Egypt"/>
    <x v="18"/>
    <x v="85"/>
    <x v="85"/>
    <m/>
    <m/>
    <s v="Break 30 Night"/>
    <s v="+12:00 AM"/>
    <s v="+12:30 AM"/>
    <n v="0"/>
    <x v="1"/>
  </r>
  <r>
    <x v="0"/>
    <s v="Egypt"/>
    <x v="18"/>
    <x v="85"/>
    <x v="85"/>
    <d v="2025-06-11T00:00:00"/>
    <d v="1899-12-30T08:15:00"/>
    <s v="Non Telecom"/>
    <d v="1899-12-30T19:15:00"/>
    <s v="+3:30 AM"/>
    <n v="29700"/>
    <x v="0"/>
  </r>
  <r>
    <x v="0"/>
    <s v="Egypt"/>
    <x v="18"/>
    <x v="85"/>
    <x v="85"/>
    <m/>
    <m/>
    <s v="Break 15 Night"/>
    <d v="1899-12-30T20:30:00"/>
    <d v="1899-12-30T20:45:00"/>
    <n v="0"/>
    <x v="1"/>
  </r>
  <r>
    <x v="0"/>
    <s v="Egypt"/>
    <x v="18"/>
    <x v="85"/>
    <x v="85"/>
    <m/>
    <m/>
    <s v="Break 30 Night"/>
    <d v="1899-12-30T23:30:00"/>
    <s v="+12:00 AM"/>
    <n v="0"/>
    <x v="1"/>
  </r>
  <r>
    <x v="0"/>
    <s v="Egypt"/>
    <x v="18"/>
    <x v="85"/>
    <x v="85"/>
    <d v="2025-06-12T00:00:00"/>
    <d v="1899-12-30T08:15:00"/>
    <s v="Annual Exception"/>
    <m/>
    <m/>
    <n v="29700"/>
    <x v="1"/>
  </r>
  <r>
    <x v="0"/>
    <s v="Egypt"/>
    <x v="18"/>
    <x v="85"/>
    <x v="85"/>
    <d v="2025-06-13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2:00:00"/>
    <d v="1899-12-30T22:15:00"/>
    <n v="0"/>
    <x v="1"/>
  </r>
  <r>
    <x v="0"/>
    <s v="Egypt"/>
    <x v="18"/>
    <x v="85"/>
    <x v="85"/>
    <m/>
    <m/>
    <s v="Break 30 Night"/>
    <s v="+1:00 AM"/>
    <s v="+1:30 AM"/>
    <n v="0"/>
    <x v="1"/>
  </r>
  <r>
    <x v="0"/>
    <s v="Egypt"/>
    <x v="18"/>
    <x v="85"/>
    <x v="85"/>
    <d v="2025-06-14T00:00:00"/>
    <d v="1899-12-30T08:15:00"/>
    <s v="Non Telecom"/>
    <d v="1899-12-30T19:15:00"/>
    <s v="+3:30 AM"/>
    <n v="29700"/>
    <x v="0"/>
  </r>
  <r>
    <x v="0"/>
    <s v="Egypt"/>
    <x v="18"/>
    <x v="85"/>
    <x v="85"/>
    <m/>
    <m/>
    <s v="Break 15 Night"/>
    <d v="1899-12-30T22:15:00"/>
    <d v="1899-12-30T22:30:00"/>
    <n v="0"/>
    <x v="1"/>
  </r>
  <r>
    <x v="0"/>
    <s v="Egypt"/>
    <x v="18"/>
    <x v="85"/>
    <x v="85"/>
    <m/>
    <m/>
    <s v="Break 30 Night"/>
    <s v="+12:30 AM"/>
    <s v="+1:00 AM"/>
    <n v="0"/>
    <x v="1"/>
  </r>
  <r>
    <x v="0"/>
    <s v="Egypt"/>
    <x v="18"/>
    <x v="85"/>
    <x v="85"/>
    <d v="2025-06-15T00:00:00"/>
    <m/>
    <s v="Day Off"/>
    <m/>
    <m/>
    <n v="0"/>
    <x v="1"/>
  </r>
  <r>
    <x v="0"/>
    <s v="Egypt"/>
    <x v="18"/>
    <x v="85"/>
    <x v="85"/>
    <d v="2025-06-16T00:00:00"/>
    <m/>
    <s v="Day Off"/>
    <m/>
    <m/>
    <n v="0"/>
    <x v="1"/>
  </r>
  <r>
    <x v="0"/>
    <s v="Egypt"/>
    <x v="18"/>
    <x v="85"/>
    <x v="85"/>
    <d v="2025-06-17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00:00"/>
    <d v="1899-12-30T23:15:00"/>
    <n v="0"/>
    <x v="1"/>
  </r>
  <r>
    <x v="0"/>
    <s v="Egypt"/>
    <x v="18"/>
    <x v="85"/>
    <x v="85"/>
    <m/>
    <m/>
    <s v="Break 30 Night"/>
    <s v="+2:00 AM"/>
    <s v="+2:30 AM"/>
    <n v="0"/>
    <x v="1"/>
  </r>
  <r>
    <x v="0"/>
    <s v="Egypt"/>
    <x v="18"/>
    <x v="85"/>
    <x v="85"/>
    <d v="2025-06-18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00:00"/>
    <d v="1899-12-30T23:15:00"/>
    <n v="0"/>
    <x v="1"/>
  </r>
  <r>
    <x v="0"/>
    <s v="Egypt"/>
    <x v="18"/>
    <x v="85"/>
    <x v="85"/>
    <m/>
    <m/>
    <s v="Break 30 Night"/>
    <s v="+1:45 AM"/>
    <s v="+2:15 AM"/>
    <n v="0"/>
    <x v="1"/>
  </r>
  <r>
    <x v="0"/>
    <s v="Egypt"/>
    <x v="18"/>
    <x v="85"/>
    <x v="85"/>
    <d v="2025-06-19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45:00"/>
    <s v="+12:00 AM"/>
    <n v="0"/>
    <x v="1"/>
  </r>
  <r>
    <x v="0"/>
    <s v="Egypt"/>
    <x v="18"/>
    <x v="85"/>
    <x v="85"/>
    <m/>
    <m/>
    <s v="Break 30 Night"/>
    <s v="+2:30 AM"/>
    <s v="+3:00 AM"/>
    <n v="0"/>
    <x v="1"/>
  </r>
  <r>
    <x v="0"/>
    <s v="Egypt"/>
    <x v="18"/>
    <x v="85"/>
    <x v="85"/>
    <d v="2025-06-20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00:00"/>
    <d v="1899-12-30T23:15:00"/>
    <n v="0"/>
    <x v="1"/>
  </r>
  <r>
    <x v="0"/>
    <s v="Egypt"/>
    <x v="18"/>
    <x v="85"/>
    <x v="85"/>
    <m/>
    <m/>
    <s v="Break 30 Night"/>
    <s v="+1:45 AM"/>
    <s v="+2:15 AM"/>
    <n v="0"/>
    <x v="1"/>
  </r>
  <r>
    <x v="0"/>
    <s v="Egypt"/>
    <x v="18"/>
    <x v="85"/>
    <x v="85"/>
    <d v="2025-06-21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00:00"/>
    <d v="1899-12-30T23:15:00"/>
    <n v="0"/>
    <x v="1"/>
  </r>
  <r>
    <x v="0"/>
    <s v="Egypt"/>
    <x v="18"/>
    <x v="85"/>
    <x v="85"/>
    <m/>
    <m/>
    <s v="Break 30 Night"/>
    <s v="+2:30 AM"/>
    <s v="+3:00 AM"/>
    <n v="0"/>
    <x v="1"/>
  </r>
  <r>
    <x v="0"/>
    <s v="Egypt"/>
    <x v="18"/>
    <x v="85"/>
    <x v="85"/>
    <d v="2025-06-22T00:00:00"/>
    <m/>
    <s v="Day Off"/>
    <m/>
    <m/>
    <n v="0"/>
    <x v="1"/>
  </r>
  <r>
    <x v="0"/>
    <s v="Egypt"/>
    <x v="18"/>
    <x v="85"/>
    <x v="85"/>
    <d v="2025-06-23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15:00"/>
    <d v="1899-12-30T23:30:00"/>
    <n v="0"/>
    <x v="1"/>
  </r>
  <r>
    <x v="0"/>
    <s v="Egypt"/>
    <x v="18"/>
    <x v="85"/>
    <x v="85"/>
    <m/>
    <m/>
    <s v="Break 30 Night"/>
    <s v="+2:00 AM"/>
    <s v="+2:30 AM"/>
    <n v="0"/>
    <x v="1"/>
  </r>
  <r>
    <x v="0"/>
    <s v="Egypt"/>
    <x v="18"/>
    <x v="85"/>
    <x v="85"/>
    <d v="2025-06-24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30:00"/>
    <d v="1899-12-30T23:45:00"/>
    <n v="0"/>
    <x v="1"/>
  </r>
  <r>
    <x v="0"/>
    <s v="Egypt"/>
    <x v="18"/>
    <x v="85"/>
    <x v="85"/>
    <m/>
    <m/>
    <s v="Break 30 Night"/>
    <s v="+2:00 AM"/>
    <s v="+2:30 AM"/>
    <n v="0"/>
    <x v="1"/>
  </r>
  <r>
    <x v="0"/>
    <s v="Egypt"/>
    <x v="18"/>
    <x v="85"/>
    <x v="85"/>
    <d v="2025-06-25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15:00"/>
    <d v="1899-12-30T23:30:00"/>
    <n v="0"/>
    <x v="1"/>
  </r>
  <r>
    <x v="0"/>
    <s v="Egypt"/>
    <x v="18"/>
    <x v="85"/>
    <x v="85"/>
    <m/>
    <m/>
    <s v="Break 30 Night"/>
    <s v="+2:30 AM"/>
    <s v="+3:00 AM"/>
    <n v="0"/>
    <x v="1"/>
  </r>
  <r>
    <x v="0"/>
    <s v="Egypt"/>
    <x v="18"/>
    <x v="85"/>
    <x v="85"/>
    <d v="2025-06-26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15:00"/>
    <d v="1899-12-30T23:30:00"/>
    <n v="0"/>
    <x v="1"/>
  </r>
  <r>
    <x v="0"/>
    <s v="Egypt"/>
    <x v="18"/>
    <x v="85"/>
    <x v="85"/>
    <m/>
    <m/>
    <s v="Break 30 Night"/>
    <s v="+2:30 AM"/>
    <s v="+3:00 AM"/>
    <n v="0"/>
    <x v="1"/>
  </r>
  <r>
    <x v="0"/>
    <s v="Egypt"/>
    <x v="18"/>
    <x v="85"/>
    <x v="85"/>
    <d v="2025-06-27T00:00:00"/>
    <d v="1899-12-30T08:15:00"/>
    <s v="Non Telecom"/>
    <d v="1899-12-30T21:00:00"/>
    <s v="+5:15 AM"/>
    <n v="29700"/>
    <x v="0"/>
  </r>
  <r>
    <x v="0"/>
    <s v="Egypt"/>
    <x v="18"/>
    <x v="85"/>
    <x v="85"/>
    <m/>
    <m/>
    <s v="Break 15 Night"/>
    <d v="1899-12-30T23:15:00"/>
    <d v="1899-12-30T23:30:00"/>
    <n v="0"/>
    <x v="1"/>
  </r>
  <r>
    <x v="0"/>
    <s v="Egypt"/>
    <x v="18"/>
    <x v="85"/>
    <x v="85"/>
    <m/>
    <m/>
    <s v="Break 30 Night"/>
    <s v="+2:15 AM"/>
    <s v="+2:45 AM"/>
    <n v="0"/>
    <x v="1"/>
  </r>
  <r>
    <x v="0"/>
    <s v="Egypt"/>
    <x v="18"/>
    <x v="85"/>
    <x v="85"/>
    <d v="2025-06-28T00:00:00"/>
    <m/>
    <s v="Day Off"/>
    <m/>
    <m/>
    <n v="0"/>
    <x v="1"/>
  </r>
  <r>
    <x v="0"/>
    <s v="Egypt"/>
    <x v="18"/>
    <x v="85"/>
    <x v="85"/>
    <d v="2025-06-29T00:00:00"/>
    <d v="1899-12-30T08:15:00"/>
    <s v="Non Telecom"/>
    <d v="1899-12-30T11:00:00"/>
    <d v="1899-12-30T19:15:00"/>
    <n v="29700"/>
    <x v="0"/>
  </r>
  <r>
    <x v="0"/>
    <s v="Egypt"/>
    <x v="18"/>
    <x v="85"/>
    <x v="85"/>
    <m/>
    <m/>
    <s v="Break 15 Morning"/>
    <d v="1899-12-30T13:15:00"/>
    <d v="1899-12-30T13:30:00"/>
    <n v="0"/>
    <x v="1"/>
  </r>
  <r>
    <x v="0"/>
    <s v="Egypt"/>
    <x v="18"/>
    <x v="85"/>
    <x v="85"/>
    <m/>
    <m/>
    <s v="Break 30 Morning"/>
    <d v="1899-12-30T16:45:00"/>
    <d v="1899-12-30T17:15:00"/>
    <n v="0"/>
    <x v="1"/>
  </r>
  <r>
    <x v="0"/>
    <s v="Egypt"/>
    <x v="18"/>
    <x v="85"/>
    <x v="85"/>
    <d v="2025-06-30T00:00:00"/>
    <m/>
    <s v="Day Off"/>
    <m/>
    <m/>
    <n v="0"/>
    <x v="1"/>
  </r>
  <r>
    <x v="0"/>
    <s v="Egypt"/>
    <x v="18"/>
    <x v="86"/>
    <x v="86"/>
    <d v="2025-06-01T00:00:00"/>
    <m/>
    <s v="Day Off"/>
    <m/>
    <m/>
    <n v="0"/>
    <x v="1"/>
  </r>
  <r>
    <x v="0"/>
    <s v="Egypt"/>
    <x v="18"/>
    <x v="86"/>
    <x v="86"/>
    <d v="2025-06-02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15:00"/>
    <d v="1899-12-30T17:30:00"/>
    <n v="0"/>
    <x v="1"/>
  </r>
  <r>
    <x v="0"/>
    <s v="Egypt"/>
    <x v="18"/>
    <x v="86"/>
    <x v="86"/>
    <m/>
    <m/>
    <s v="Break 30 Morning"/>
    <d v="1899-12-30T20:45:00"/>
    <d v="1899-12-30T21:15:00"/>
    <n v="0"/>
    <x v="1"/>
  </r>
  <r>
    <x v="0"/>
    <s v="Egypt"/>
    <x v="18"/>
    <x v="86"/>
    <x v="86"/>
    <d v="2025-06-03T00:00:00"/>
    <d v="1899-12-30T08:15:00"/>
    <s v="Non Telecom"/>
    <d v="1899-12-30T21:00:00"/>
    <s v="+5:15 AM"/>
    <n v="29700"/>
    <x v="0"/>
  </r>
  <r>
    <x v="0"/>
    <s v="Egypt"/>
    <x v="18"/>
    <x v="86"/>
    <x v="86"/>
    <m/>
    <m/>
    <s v="Break 15 Night"/>
    <d v="1899-12-30T22:00:00"/>
    <d v="1899-12-30T22:15:00"/>
    <n v="0"/>
    <x v="1"/>
  </r>
  <r>
    <x v="0"/>
    <s v="Egypt"/>
    <x v="18"/>
    <x v="86"/>
    <x v="86"/>
    <m/>
    <m/>
    <s v="Break 30 Night"/>
    <s v="+1:00 AM"/>
    <s v="+1:30 AM"/>
    <n v="0"/>
    <x v="1"/>
  </r>
  <r>
    <x v="0"/>
    <s v="Egypt"/>
    <x v="18"/>
    <x v="86"/>
    <x v="86"/>
    <d v="2025-06-04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00:00"/>
    <d v="1899-12-30T17:15:00"/>
    <n v="0"/>
    <x v="1"/>
  </r>
  <r>
    <x v="0"/>
    <s v="Egypt"/>
    <x v="18"/>
    <x v="86"/>
    <x v="86"/>
    <m/>
    <m/>
    <s v="Break 30 Morning"/>
    <d v="1899-12-30T20:00:00"/>
    <d v="1899-12-30T20:30:00"/>
    <n v="0"/>
    <x v="1"/>
  </r>
  <r>
    <x v="0"/>
    <s v="Egypt"/>
    <x v="18"/>
    <x v="86"/>
    <x v="86"/>
    <d v="2025-06-05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6:45:00"/>
    <d v="1899-12-30T17:00:00"/>
    <n v="0"/>
    <x v="1"/>
  </r>
  <r>
    <x v="0"/>
    <s v="Egypt"/>
    <x v="18"/>
    <x v="86"/>
    <x v="86"/>
    <m/>
    <m/>
    <s v="Break 30 Morning"/>
    <d v="1899-12-30T20:15:00"/>
    <d v="1899-12-30T20:45:00"/>
    <n v="0"/>
    <x v="1"/>
  </r>
  <r>
    <x v="0"/>
    <s v="Egypt"/>
    <x v="18"/>
    <x v="86"/>
    <x v="86"/>
    <d v="2025-06-06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6:45:00"/>
    <d v="1899-12-30T17:00:00"/>
    <n v="0"/>
    <x v="1"/>
  </r>
  <r>
    <x v="0"/>
    <s v="Egypt"/>
    <x v="18"/>
    <x v="86"/>
    <x v="86"/>
    <m/>
    <m/>
    <s v="Break 30 Morning"/>
    <d v="1899-12-30T20:00:00"/>
    <d v="1899-12-30T20:30:00"/>
    <n v="0"/>
    <x v="1"/>
  </r>
  <r>
    <x v="0"/>
    <s v="Egypt"/>
    <x v="18"/>
    <x v="86"/>
    <x v="86"/>
    <d v="2025-06-07T00:00:00"/>
    <m/>
    <s v="Day Off"/>
    <m/>
    <m/>
    <n v="0"/>
    <x v="1"/>
  </r>
  <r>
    <x v="0"/>
    <s v="Egypt"/>
    <x v="18"/>
    <x v="86"/>
    <x v="86"/>
    <d v="2025-06-08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00:00"/>
    <d v="1899-12-30T17:15:00"/>
    <n v="0"/>
    <x v="1"/>
  </r>
  <r>
    <x v="0"/>
    <s v="Egypt"/>
    <x v="18"/>
    <x v="86"/>
    <x v="86"/>
    <m/>
    <m/>
    <s v="Break 30 Morning"/>
    <d v="1899-12-30T20:15:00"/>
    <d v="1899-12-30T20:45:00"/>
    <n v="0"/>
    <x v="1"/>
  </r>
  <r>
    <x v="0"/>
    <s v="Egypt"/>
    <x v="18"/>
    <x v="86"/>
    <x v="86"/>
    <d v="2025-06-09T00:00:00"/>
    <d v="1899-12-30T08:15:00"/>
    <s v="Public holiday"/>
    <m/>
    <m/>
    <n v="29700"/>
    <x v="1"/>
  </r>
  <r>
    <x v="0"/>
    <s v="Egypt"/>
    <x v="18"/>
    <x v="86"/>
    <x v="86"/>
    <d v="2025-06-10T00:00:00"/>
    <d v="1899-12-30T08:15:00"/>
    <s v="Non Telecom"/>
    <d v="1899-12-30T18:00:00"/>
    <s v="+2:15 AM"/>
    <n v="29700"/>
    <x v="0"/>
  </r>
  <r>
    <x v="0"/>
    <s v="Egypt"/>
    <x v="18"/>
    <x v="86"/>
    <x v="86"/>
    <m/>
    <m/>
    <s v="Break 15 Night"/>
    <d v="1899-12-30T20:30:00"/>
    <d v="1899-12-30T20:45:00"/>
    <n v="0"/>
    <x v="1"/>
  </r>
  <r>
    <x v="0"/>
    <s v="Egypt"/>
    <x v="18"/>
    <x v="86"/>
    <x v="86"/>
    <m/>
    <m/>
    <s v="Break 30 Night"/>
    <d v="1899-12-30T23:30:00"/>
    <s v="+12:00 AM"/>
    <n v="0"/>
    <x v="1"/>
  </r>
  <r>
    <x v="0"/>
    <s v="Egypt"/>
    <x v="18"/>
    <x v="86"/>
    <x v="86"/>
    <d v="2025-06-11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00:00"/>
    <d v="1899-12-30T17:15:00"/>
    <n v="0"/>
    <x v="1"/>
  </r>
  <r>
    <x v="0"/>
    <s v="Egypt"/>
    <x v="18"/>
    <x v="86"/>
    <x v="86"/>
    <m/>
    <m/>
    <s v="Break 30 Morning"/>
    <d v="1899-12-30T20:00:00"/>
    <d v="1899-12-30T20:30:00"/>
    <n v="0"/>
    <x v="1"/>
  </r>
  <r>
    <x v="0"/>
    <s v="Egypt"/>
    <x v="18"/>
    <x v="86"/>
    <x v="86"/>
    <d v="2025-06-12T00:00:00"/>
    <d v="1899-12-30T08:15:00"/>
    <s v="Annual Exception"/>
    <m/>
    <m/>
    <n v="29700"/>
    <x v="1"/>
  </r>
  <r>
    <x v="0"/>
    <s v="Egypt"/>
    <x v="18"/>
    <x v="86"/>
    <x v="86"/>
    <d v="2025-06-13T00:00:00"/>
    <m/>
    <s v="Day Off"/>
    <m/>
    <m/>
    <n v="0"/>
    <x v="1"/>
  </r>
  <r>
    <x v="0"/>
    <s v="Egypt"/>
    <x v="18"/>
    <x v="86"/>
    <x v="86"/>
    <d v="2025-06-14T00:00:00"/>
    <m/>
    <s v="Day Off"/>
    <m/>
    <m/>
    <n v="0"/>
    <x v="1"/>
  </r>
  <r>
    <x v="0"/>
    <s v="Egypt"/>
    <x v="18"/>
    <x v="86"/>
    <x v="86"/>
    <d v="2025-06-15T00:00:00"/>
    <d v="1899-12-30T08:15:00"/>
    <s v="Non Telecom"/>
    <d v="1899-12-30T18:00:00"/>
    <s v="+2:15 AM"/>
    <n v="29700"/>
    <x v="0"/>
  </r>
  <r>
    <x v="0"/>
    <s v="Egypt"/>
    <x v="18"/>
    <x v="86"/>
    <x v="86"/>
    <m/>
    <m/>
    <s v="Break 15 Night"/>
    <d v="1899-12-30T21:00:00"/>
    <d v="1899-12-30T21:15:00"/>
    <n v="0"/>
    <x v="1"/>
  </r>
  <r>
    <x v="0"/>
    <s v="Egypt"/>
    <x v="18"/>
    <x v="86"/>
    <x v="86"/>
    <m/>
    <m/>
    <s v="Break 30 Night"/>
    <d v="1899-12-30T23:45:00"/>
    <s v="+12:15 AM"/>
    <n v="0"/>
    <x v="1"/>
  </r>
  <r>
    <x v="0"/>
    <s v="Egypt"/>
    <x v="18"/>
    <x v="86"/>
    <x v="86"/>
    <d v="2025-06-16T00:00:00"/>
    <d v="1899-12-30T08:15:00"/>
    <s v="Non Telecom"/>
    <d v="1899-12-30T18:00:00"/>
    <s v="+2:15 AM"/>
    <n v="29700"/>
    <x v="0"/>
  </r>
  <r>
    <x v="0"/>
    <s v="Egypt"/>
    <x v="18"/>
    <x v="86"/>
    <x v="86"/>
    <m/>
    <m/>
    <s v="Break 15 Night"/>
    <d v="1899-12-30T21:00:00"/>
    <d v="1899-12-30T21:15:00"/>
    <n v="0"/>
    <x v="1"/>
  </r>
  <r>
    <x v="0"/>
    <s v="Egypt"/>
    <x v="18"/>
    <x v="86"/>
    <x v="86"/>
    <m/>
    <m/>
    <s v="Break 30 Night"/>
    <d v="1899-12-30T23:30:00"/>
    <s v="+12:00 AM"/>
    <n v="0"/>
    <x v="1"/>
  </r>
  <r>
    <x v="0"/>
    <s v="Egypt"/>
    <x v="18"/>
    <x v="86"/>
    <x v="86"/>
    <d v="2025-06-17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00:00"/>
    <d v="1899-12-30T17:15:00"/>
    <n v="0"/>
    <x v="1"/>
  </r>
  <r>
    <x v="0"/>
    <s v="Egypt"/>
    <x v="18"/>
    <x v="86"/>
    <x v="86"/>
    <m/>
    <m/>
    <s v="Break 30 Morning"/>
    <d v="1899-12-30T20:00:00"/>
    <d v="1899-12-30T20:30:00"/>
    <n v="0"/>
    <x v="1"/>
  </r>
  <r>
    <x v="0"/>
    <s v="Egypt"/>
    <x v="18"/>
    <x v="86"/>
    <x v="86"/>
    <m/>
    <m/>
    <s v="Leave Early"/>
    <d v="1899-12-30T21:15:00"/>
    <d v="1899-12-30T23:15:00"/>
    <n v="0"/>
    <x v="1"/>
  </r>
  <r>
    <x v="0"/>
    <s v="Egypt"/>
    <x v="18"/>
    <x v="86"/>
    <x v="86"/>
    <d v="2025-06-18T00:00:00"/>
    <d v="1899-12-30T08:15:00"/>
    <s v="Non Telecom"/>
    <d v="1899-12-30T21:00:00"/>
    <s v="+5:15 AM"/>
    <n v="29700"/>
    <x v="0"/>
  </r>
  <r>
    <x v="0"/>
    <s v="Egypt"/>
    <x v="18"/>
    <x v="86"/>
    <x v="86"/>
    <m/>
    <m/>
    <s v="Break 15 Night"/>
    <d v="1899-12-30T23:15:00"/>
    <d v="1899-12-30T23:30:00"/>
    <n v="0"/>
    <x v="1"/>
  </r>
  <r>
    <x v="0"/>
    <s v="Egypt"/>
    <x v="18"/>
    <x v="86"/>
    <x v="86"/>
    <m/>
    <m/>
    <s v="Break 30 Night"/>
    <s v="+2:15 AM"/>
    <s v="+2:45 AM"/>
    <n v="0"/>
    <x v="1"/>
  </r>
  <r>
    <x v="0"/>
    <s v="Egypt"/>
    <x v="18"/>
    <x v="86"/>
    <x v="86"/>
    <d v="2025-06-19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30:00"/>
    <d v="1899-12-30T17:45:00"/>
    <n v="0"/>
    <x v="1"/>
  </r>
  <r>
    <x v="0"/>
    <s v="Egypt"/>
    <x v="18"/>
    <x v="86"/>
    <x v="86"/>
    <m/>
    <m/>
    <s v="Break 30 Morning"/>
    <d v="1899-12-30T19:45:00"/>
    <d v="1899-12-30T20:15:00"/>
    <n v="0"/>
    <x v="1"/>
  </r>
  <r>
    <x v="0"/>
    <s v="Egypt"/>
    <x v="18"/>
    <x v="86"/>
    <x v="86"/>
    <d v="2025-06-20T00:00:00"/>
    <m/>
    <s v="Day Off"/>
    <m/>
    <m/>
    <n v="0"/>
    <x v="1"/>
  </r>
  <r>
    <x v="0"/>
    <s v="Egypt"/>
    <x v="18"/>
    <x v="86"/>
    <x v="86"/>
    <d v="2025-06-21T00:00:00"/>
    <m/>
    <s v="Day Off"/>
    <m/>
    <m/>
    <n v="0"/>
    <x v="1"/>
  </r>
  <r>
    <x v="0"/>
    <s v="Egypt"/>
    <x v="18"/>
    <x v="86"/>
    <x v="86"/>
    <d v="2025-06-22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45:00"/>
    <d v="1899-12-30T18:00:00"/>
    <n v="0"/>
    <x v="1"/>
  </r>
  <r>
    <x v="0"/>
    <s v="Egypt"/>
    <x v="18"/>
    <x v="86"/>
    <x v="86"/>
    <m/>
    <m/>
    <s v="Break 30 Morning"/>
    <d v="1899-12-30T20:15:00"/>
    <d v="1899-12-30T20:45:00"/>
    <n v="0"/>
    <x v="1"/>
  </r>
  <r>
    <x v="0"/>
    <s v="Egypt"/>
    <x v="18"/>
    <x v="86"/>
    <x v="86"/>
    <d v="2025-06-23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7:30:00"/>
    <d v="1899-12-30T17:45:00"/>
    <n v="0"/>
    <x v="1"/>
  </r>
  <r>
    <x v="0"/>
    <s v="Egypt"/>
    <x v="18"/>
    <x v="86"/>
    <x v="86"/>
    <m/>
    <m/>
    <s v="Break 30 Morning"/>
    <d v="1899-12-30T20:00:00"/>
    <d v="1899-12-30T20:30:00"/>
    <n v="0"/>
    <x v="1"/>
  </r>
  <r>
    <x v="0"/>
    <s v="Egypt"/>
    <x v="18"/>
    <x v="86"/>
    <x v="86"/>
    <d v="2025-06-24T00:00:00"/>
    <d v="1899-12-30T08:15:00"/>
    <s v="Non Telecom"/>
    <d v="1899-12-30T15:00:00"/>
    <d v="1899-12-30T23:15:00"/>
    <n v="29700"/>
    <x v="0"/>
  </r>
  <r>
    <x v="0"/>
    <s v="Egypt"/>
    <x v="18"/>
    <x v="86"/>
    <x v="86"/>
    <m/>
    <m/>
    <s v="Break 15 Morning"/>
    <d v="1899-12-30T18:00:00"/>
    <d v="1899-12-30T18:15:00"/>
    <n v="0"/>
    <x v="1"/>
  </r>
  <r>
    <x v="0"/>
    <s v="Egypt"/>
    <x v="18"/>
    <x v="86"/>
    <x v="86"/>
    <m/>
    <m/>
    <s v="Break 30 Morning"/>
    <d v="1899-12-30T20:15:00"/>
    <d v="1899-12-30T20:45:00"/>
    <n v="0"/>
    <x v="1"/>
  </r>
  <r>
    <x v="0"/>
    <s v="Egypt"/>
    <x v="18"/>
    <x v="86"/>
    <x v="86"/>
    <d v="2025-06-25T00:00:00"/>
    <m/>
    <s v="Day Off"/>
    <m/>
    <m/>
    <n v="0"/>
    <x v="1"/>
  </r>
  <r>
    <x v="0"/>
    <s v="Egypt"/>
    <x v="18"/>
    <x v="86"/>
    <x v="86"/>
    <d v="2025-06-26T00:00:00"/>
    <m/>
    <s v="Day Off"/>
    <m/>
    <m/>
    <n v="0"/>
    <x v="1"/>
  </r>
  <r>
    <x v="0"/>
    <s v="Egypt"/>
    <x v="18"/>
    <x v="86"/>
    <x v="86"/>
    <d v="2025-06-27T00:00:00"/>
    <d v="1899-12-30T08:15:00"/>
    <s v="Non Telecom"/>
    <d v="1899-12-30T16:15:00"/>
    <s v="+12:30 AM"/>
    <n v="29700"/>
    <x v="0"/>
  </r>
  <r>
    <x v="0"/>
    <s v="Egypt"/>
    <x v="18"/>
    <x v="86"/>
    <x v="86"/>
    <m/>
    <m/>
    <s v="Break 15 Night"/>
    <d v="1899-12-30T19:00:00"/>
    <d v="1899-12-30T19:15:00"/>
    <n v="0"/>
    <x v="1"/>
  </r>
  <r>
    <x v="0"/>
    <s v="Egypt"/>
    <x v="18"/>
    <x v="86"/>
    <x v="86"/>
    <m/>
    <m/>
    <s v="Break 30 Night"/>
    <d v="1899-12-30T21:45:00"/>
    <d v="1899-12-30T22:15:00"/>
    <n v="0"/>
    <x v="1"/>
  </r>
  <r>
    <x v="0"/>
    <s v="Egypt"/>
    <x v="18"/>
    <x v="86"/>
    <x v="86"/>
    <d v="2025-06-28T00:00:00"/>
    <d v="1899-12-30T08:15:00"/>
    <s v="Non Telecom"/>
    <d v="1899-12-30T21:00:00"/>
    <s v="+5:15 AM"/>
    <n v="29700"/>
    <x v="0"/>
  </r>
  <r>
    <x v="0"/>
    <s v="Egypt"/>
    <x v="18"/>
    <x v="86"/>
    <x v="86"/>
    <m/>
    <m/>
    <s v="Break 15 Night"/>
    <d v="1899-12-30T23:30:00"/>
    <d v="1899-12-30T23:45:00"/>
    <n v="0"/>
    <x v="1"/>
  </r>
  <r>
    <x v="0"/>
    <s v="Egypt"/>
    <x v="18"/>
    <x v="86"/>
    <x v="86"/>
    <m/>
    <m/>
    <s v="Break 30 Night"/>
    <s v="+3:00 AM"/>
    <s v="+3:30 AM"/>
    <n v="0"/>
    <x v="1"/>
  </r>
  <r>
    <x v="0"/>
    <s v="Egypt"/>
    <x v="18"/>
    <x v="86"/>
    <x v="86"/>
    <d v="2025-06-29T00:00:00"/>
    <d v="1899-12-30T08:15:00"/>
    <s v="Non Telecom"/>
    <d v="1899-12-30T21:00:00"/>
    <s v="+5:15 AM"/>
    <n v="29700"/>
    <x v="0"/>
  </r>
  <r>
    <x v="0"/>
    <s v="Egypt"/>
    <x v="18"/>
    <x v="86"/>
    <x v="86"/>
    <m/>
    <m/>
    <s v="Break 15 Night"/>
    <d v="1899-12-30T23:30:00"/>
    <d v="1899-12-30T23:45:00"/>
    <n v="0"/>
    <x v="1"/>
  </r>
  <r>
    <x v="0"/>
    <s v="Egypt"/>
    <x v="18"/>
    <x v="86"/>
    <x v="86"/>
    <m/>
    <m/>
    <s v="Break 30 Night"/>
    <s v="+3:00 AM"/>
    <s v="+3:30 AM"/>
    <n v="0"/>
    <x v="1"/>
  </r>
  <r>
    <x v="0"/>
    <s v="Egypt"/>
    <x v="18"/>
    <x v="86"/>
    <x v="86"/>
    <d v="2025-06-30T00:00:00"/>
    <d v="1899-12-30T08:15:00"/>
    <s v="Annual Exception"/>
    <m/>
    <m/>
    <n v="29700"/>
    <x v="1"/>
  </r>
  <r>
    <x v="0"/>
    <s v="Egypt"/>
    <x v="18"/>
    <x v="87"/>
    <x v="87"/>
    <d v="2025-06-01T00:00:00"/>
    <d v="1899-12-30T08:15:00"/>
    <s v="Support Training"/>
    <m/>
    <m/>
    <n v="29700"/>
    <x v="1"/>
  </r>
  <r>
    <x v="0"/>
    <s v="Egypt"/>
    <x v="18"/>
    <x v="87"/>
    <x v="87"/>
    <d v="2025-06-02T00:00:00"/>
    <d v="1899-12-30T08:15:00"/>
    <s v="Support Training"/>
    <m/>
    <m/>
    <n v="29700"/>
    <x v="1"/>
  </r>
  <r>
    <x v="0"/>
    <s v="Egypt"/>
    <x v="18"/>
    <x v="87"/>
    <x v="87"/>
    <d v="2025-06-03T00:00:00"/>
    <d v="1899-12-30T08:15:00"/>
    <s v="Support Training"/>
    <m/>
    <m/>
    <n v="29700"/>
    <x v="1"/>
  </r>
  <r>
    <x v="0"/>
    <s v="Egypt"/>
    <x v="18"/>
    <x v="87"/>
    <x v="87"/>
    <d v="2025-06-04T00:00:00"/>
    <d v="1899-12-30T08:15:00"/>
    <s v="Support Training"/>
    <m/>
    <m/>
    <n v="29700"/>
    <x v="1"/>
  </r>
  <r>
    <x v="0"/>
    <s v="Egypt"/>
    <x v="18"/>
    <x v="87"/>
    <x v="87"/>
    <d v="2025-06-05T00:00:00"/>
    <d v="1899-12-30T08:15:00"/>
    <s v="Support Training"/>
    <m/>
    <m/>
    <n v="29700"/>
    <x v="1"/>
  </r>
  <r>
    <x v="0"/>
    <s v="Egypt"/>
    <x v="18"/>
    <x v="87"/>
    <x v="87"/>
    <d v="2025-06-06T00:00:00"/>
    <m/>
    <s v="Day Off"/>
    <m/>
    <m/>
    <n v="0"/>
    <x v="1"/>
  </r>
  <r>
    <x v="0"/>
    <s v="Egypt"/>
    <x v="18"/>
    <x v="87"/>
    <x v="87"/>
    <d v="2025-06-07T00:00:00"/>
    <m/>
    <s v="Day Off"/>
    <m/>
    <m/>
    <n v="0"/>
    <x v="1"/>
  </r>
  <r>
    <x v="0"/>
    <s v="Egypt"/>
    <x v="18"/>
    <x v="87"/>
    <x v="87"/>
    <d v="2025-06-08T00:00:00"/>
    <d v="1899-12-30T08:15:00"/>
    <s v="Non Telecom"/>
    <d v="1899-12-30T08:00:00"/>
    <d v="1899-12-30T16:15:00"/>
    <n v="29700"/>
    <x v="0"/>
  </r>
  <r>
    <x v="0"/>
    <s v="Egypt"/>
    <x v="18"/>
    <x v="87"/>
    <x v="87"/>
    <m/>
    <m/>
    <s v="Break 15 Morning"/>
    <d v="1899-12-30T10:00:00"/>
    <d v="1899-12-30T10:15:00"/>
    <n v="0"/>
    <x v="1"/>
  </r>
  <r>
    <x v="0"/>
    <s v="Egypt"/>
    <x v="18"/>
    <x v="87"/>
    <x v="87"/>
    <m/>
    <m/>
    <s v="Break 30 Morning"/>
    <d v="1899-12-30T13:15:00"/>
    <d v="1899-12-30T13:45:00"/>
    <n v="0"/>
    <x v="1"/>
  </r>
  <r>
    <x v="0"/>
    <s v="Egypt"/>
    <x v="18"/>
    <x v="87"/>
    <x v="87"/>
    <d v="2025-06-09T00:00:00"/>
    <d v="1899-12-30T08:15:00"/>
    <s v="Non Telecom"/>
    <d v="1899-12-30T13:00:00"/>
    <d v="1899-12-30T21:15:00"/>
    <n v="29700"/>
    <x v="0"/>
  </r>
  <r>
    <x v="0"/>
    <s v="Egypt"/>
    <x v="18"/>
    <x v="87"/>
    <x v="87"/>
    <m/>
    <m/>
    <s v="Break 15 Morning"/>
    <d v="1899-12-30T14:45:00"/>
    <d v="1899-12-30T15:00:00"/>
    <n v="0"/>
    <x v="1"/>
  </r>
  <r>
    <x v="0"/>
    <s v="Egypt"/>
    <x v="18"/>
    <x v="87"/>
    <x v="87"/>
    <m/>
    <m/>
    <s v="Break 30 Morning"/>
    <d v="1899-12-30T18:00:00"/>
    <d v="1899-12-30T18:30:00"/>
    <n v="0"/>
    <x v="1"/>
  </r>
  <r>
    <x v="0"/>
    <s v="Egypt"/>
    <x v="18"/>
    <x v="87"/>
    <x v="87"/>
    <m/>
    <m/>
    <s v="Leave Early"/>
    <d v="1899-12-30T20:15:00"/>
    <d v="1899-12-30T21:15:00"/>
    <n v="0"/>
    <x v="1"/>
  </r>
  <r>
    <x v="0"/>
    <s v="Egypt"/>
    <x v="18"/>
    <x v="87"/>
    <x v="87"/>
    <d v="2025-06-10T00:00:00"/>
    <d v="1899-12-30T08:15:00"/>
    <s v="Non Telecom"/>
    <d v="1899-12-30T13:00:00"/>
    <d v="1899-12-30T21:15:00"/>
    <n v="29700"/>
    <x v="0"/>
  </r>
  <r>
    <x v="0"/>
    <s v="Egypt"/>
    <x v="18"/>
    <x v="87"/>
    <x v="87"/>
    <m/>
    <m/>
    <s v="Break 15 Morning"/>
    <d v="1899-12-30T14:45:00"/>
    <d v="1899-12-30T15:00:00"/>
    <n v="0"/>
    <x v="1"/>
  </r>
  <r>
    <x v="0"/>
    <s v="Egypt"/>
    <x v="18"/>
    <x v="87"/>
    <x v="87"/>
    <m/>
    <m/>
    <s v="Break 30 Morning"/>
    <d v="1899-12-30T18:30:00"/>
    <d v="1899-12-30T19:00:00"/>
    <n v="0"/>
    <x v="1"/>
  </r>
  <r>
    <x v="0"/>
    <s v="Egypt"/>
    <x v="18"/>
    <x v="87"/>
    <x v="87"/>
    <d v="2025-06-11T00:00:00"/>
    <d v="1899-12-30T08:15:00"/>
    <s v="Annual"/>
    <m/>
    <m/>
    <n v="29700"/>
    <x v="1"/>
  </r>
  <r>
    <x v="0"/>
    <s v="Egypt"/>
    <x v="18"/>
    <x v="87"/>
    <x v="87"/>
    <d v="2025-06-12T00:00:00"/>
    <d v="1899-12-30T08:15:00"/>
    <s v="Annual"/>
    <m/>
    <m/>
    <n v="29700"/>
    <x v="1"/>
  </r>
  <r>
    <x v="0"/>
    <s v="Egypt"/>
    <x v="18"/>
    <x v="87"/>
    <x v="87"/>
    <d v="2025-06-13T00:00:00"/>
    <m/>
    <s v="Day Off"/>
    <m/>
    <m/>
    <n v="0"/>
    <x v="1"/>
  </r>
  <r>
    <x v="0"/>
    <s v="Egypt"/>
    <x v="18"/>
    <x v="87"/>
    <x v="87"/>
    <d v="2025-06-14T00:00:00"/>
    <m/>
    <s v="Day Off"/>
    <m/>
    <m/>
    <n v="0"/>
    <x v="1"/>
  </r>
  <r>
    <x v="0"/>
    <s v="Egypt"/>
    <x v="18"/>
    <x v="87"/>
    <x v="87"/>
    <d v="2025-06-15T00:00:00"/>
    <d v="1899-12-30T08:15:00"/>
    <s v="Non Telecom"/>
    <d v="1899-12-30T13:00:00"/>
    <d v="1899-12-30T21:15:00"/>
    <n v="29700"/>
    <x v="0"/>
  </r>
  <r>
    <x v="0"/>
    <s v="Egypt"/>
    <x v="18"/>
    <x v="87"/>
    <x v="87"/>
    <m/>
    <m/>
    <s v="Break 15 Morning"/>
    <d v="1899-12-30T15:45:00"/>
    <d v="1899-12-30T16:00:00"/>
    <n v="0"/>
    <x v="1"/>
  </r>
  <r>
    <x v="0"/>
    <s v="Egypt"/>
    <x v="18"/>
    <x v="87"/>
    <x v="87"/>
    <m/>
    <m/>
    <s v="Break 30 Morning"/>
    <d v="1899-12-30T18:45:00"/>
    <d v="1899-12-30T19:15:00"/>
    <n v="0"/>
    <x v="1"/>
  </r>
  <r>
    <x v="0"/>
    <s v="Egypt"/>
    <x v="18"/>
    <x v="87"/>
    <x v="87"/>
    <d v="2025-06-16T00:00:00"/>
    <d v="1899-12-30T08:15:00"/>
    <s v="Non Telecom"/>
    <d v="1899-12-30T09:00:00"/>
    <d v="1899-12-30T17:15:00"/>
    <n v="29700"/>
    <x v="0"/>
  </r>
  <r>
    <x v="0"/>
    <s v="Egypt"/>
    <x v="18"/>
    <x v="87"/>
    <x v="87"/>
    <m/>
    <m/>
    <s v="Break 15 Morning"/>
    <d v="1899-12-30T12:00:00"/>
    <d v="1899-12-30T12:15:00"/>
    <n v="0"/>
    <x v="1"/>
  </r>
  <r>
    <x v="0"/>
    <s v="Egypt"/>
    <x v="18"/>
    <x v="87"/>
    <x v="87"/>
    <m/>
    <m/>
    <s v="Break 30 Morning"/>
    <d v="1899-12-30T14:45:00"/>
    <d v="1899-12-30T15:15:00"/>
    <n v="0"/>
    <x v="1"/>
  </r>
  <r>
    <x v="0"/>
    <s v="Egypt"/>
    <x v="18"/>
    <x v="87"/>
    <x v="87"/>
    <d v="2025-06-17T00:00:00"/>
    <d v="1899-12-30T08:15:00"/>
    <s v="Non Telecom"/>
    <d v="1899-12-30T09:00:00"/>
    <d v="1899-12-30T17:15:00"/>
    <n v="29700"/>
    <x v="0"/>
  </r>
  <r>
    <x v="0"/>
    <s v="Egypt"/>
    <x v="18"/>
    <x v="87"/>
    <x v="87"/>
    <m/>
    <m/>
    <s v="Break 15 Morning"/>
    <d v="1899-12-30T12:00:00"/>
    <d v="1899-12-30T12:15:00"/>
    <n v="0"/>
    <x v="1"/>
  </r>
  <r>
    <x v="0"/>
    <s v="Egypt"/>
    <x v="18"/>
    <x v="87"/>
    <x v="87"/>
    <m/>
    <m/>
    <s v="Break 30 Morning"/>
    <d v="1899-12-30T15:15:00"/>
    <d v="1899-12-30T15:45:00"/>
    <n v="0"/>
    <x v="1"/>
  </r>
  <r>
    <x v="0"/>
    <s v="Egypt"/>
    <x v="18"/>
    <x v="87"/>
    <x v="87"/>
    <d v="2025-06-18T00:00:00"/>
    <d v="1899-12-30T08:15:00"/>
    <s v="Non Telecom"/>
    <d v="1899-12-30T08:00:00"/>
    <d v="1899-12-30T16:15:00"/>
    <n v="29700"/>
    <x v="0"/>
  </r>
  <r>
    <x v="0"/>
    <s v="Egypt"/>
    <x v="18"/>
    <x v="87"/>
    <x v="87"/>
    <m/>
    <m/>
    <s v="Break 15 Morning"/>
    <d v="1899-12-30T10:00:00"/>
    <d v="1899-12-30T10:15:00"/>
    <n v="0"/>
    <x v="1"/>
  </r>
  <r>
    <x v="0"/>
    <s v="Egypt"/>
    <x v="18"/>
    <x v="87"/>
    <x v="87"/>
    <m/>
    <m/>
    <s v="Break 30 Morning"/>
    <d v="1899-12-30T12:45:00"/>
    <d v="1899-12-30T13:15:00"/>
    <n v="0"/>
    <x v="1"/>
  </r>
  <r>
    <x v="0"/>
    <s v="Egypt"/>
    <x v="18"/>
    <x v="87"/>
    <x v="87"/>
    <d v="2025-06-19T00:00:00"/>
    <d v="1899-12-30T09:15:00"/>
    <s v="Non Telecom"/>
    <d v="1899-12-30T09:00:00"/>
    <d v="1899-12-30T18:15:00"/>
    <n v="33300"/>
    <x v="0"/>
  </r>
  <r>
    <x v="0"/>
    <s v="Egypt"/>
    <x v="18"/>
    <x v="87"/>
    <x v="87"/>
    <m/>
    <m/>
    <s v="Shift Move"/>
    <d v="1899-12-30T09:00:00"/>
    <d v="1899-12-30T10:00:00"/>
    <n v="0"/>
    <x v="1"/>
  </r>
  <r>
    <x v="0"/>
    <s v="Egypt"/>
    <x v="18"/>
    <x v="87"/>
    <x v="87"/>
    <m/>
    <m/>
    <s v="Break 15 Morning"/>
    <d v="1899-12-30T11:30:00"/>
    <d v="1899-12-30T11:45:00"/>
    <n v="0"/>
    <x v="1"/>
  </r>
  <r>
    <x v="0"/>
    <s v="Egypt"/>
    <x v="18"/>
    <x v="87"/>
    <x v="87"/>
    <m/>
    <m/>
    <s v="Break 30 Morning"/>
    <d v="1899-12-30T14:30:00"/>
    <d v="1899-12-30T15:00:00"/>
    <n v="0"/>
    <x v="1"/>
  </r>
  <r>
    <x v="0"/>
    <s v="Egypt"/>
    <x v="18"/>
    <x v="87"/>
    <x v="87"/>
    <d v="2025-06-20T00:00:00"/>
    <m/>
    <s v="Day Off"/>
    <m/>
    <m/>
    <n v="0"/>
    <x v="1"/>
  </r>
  <r>
    <x v="0"/>
    <s v="Egypt"/>
    <x v="18"/>
    <x v="87"/>
    <x v="87"/>
    <d v="2025-06-21T00:00:00"/>
    <m/>
    <s v="Day Off"/>
    <m/>
    <m/>
    <n v="0"/>
    <x v="1"/>
  </r>
  <r>
    <x v="0"/>
    <s v="Egypt"/>
    <x v="18"/>
    <x v="87"/>
    <x v="87"/>
    <d v="2025-06-22T00:00:00"/>
    <d v="1899-12-30T08:15:00"/>
    <s v="Non Telecom"/>
    <d v="1899-12-30T15:00:00"/>
    <d v="1899-12-30T23:15:00"/>
    <n v="29700"/>
    <x v="0"/>
  </r>
  <r>
    <x v="0"/>
    <s v="Egypt"/>
    <x v="18"/>
    <x v="87"/>
    <x v="87"/>
    <m/>
    <m/>
    <s v="Break 15 Morning"/>
    <d v="1899-12-30T18:00:00"/>
    <d v="1899-12-30T18:15:00"/>
    <n v="0"/>
    <x v="1"/>
  </r>
  <r>
    <x v="0"/>
    <s v="Egypt"/>
    <x v="18"/>
    <x v="87"/>
    <x v="87"/>
    <m/>
    <m/>
    <s v="Break 30 Morning"/>
    <d v="1899-12-30T20:15:00"/>
    <d v="1899-12-30T20:45:00"/>
    <n v="0"/>
    <x v="1"/>
  </r>
  <r>
    <x v="0"/>
    <s v="Egypt"/>
    <x v="18"/>
    <x v="87"/>
    <x v="87"/>
    <d v="2025-06-23T00:00:00"/>
    <d v="1899-12-30T08:15:00"/>
    <s v="Non Telecom"/>
    <d v="1899-12-30T15:00:00"/>
    <d v="1899-12-30T23:15:00"/>
    <n v="29700"/>
    <x v="0"/>
  </r>
  <r>
    <x v="0"/>
    <s v="Egypt"/>
    <x v="18"/>
    <x v="87"/>
    <x v="87"/>
    <m/>
    <m/>
    <s v="Break 15 Morning"/>
    <d v="1899-12-30T17:45:00"/>
    <d v="1899-12-30T18:00:00"/>
    <n v="0"/>
    <x v="1"/>
  </r>
  <r>
    <x v="0"/>
    <s v="Egypt"/>
    <x v="18"/>
    <x v="87"/>
    <x v="87"/>
    <m/>
    <m/>
    <s v="Break 30 Morning"/>
    <d v="1899-12-30T20:00:00"/>
    <d v="1899-12-30T20:30:00"/>
    <n v="0"/>
    <x v="1"/>
  </r>
  <r>
    <x v="0"/>
    <s v="Egypt"/>
    <x v="18"/>
    <x v="87"/>
    <x v="87"/>
    <d v="2025-06-24T00:00:00"/>
    <d v="1899-12-30T11:15:00"/>
    <s v="Non Telecom"/>
    <d v="1899-12-30T18:00:00"/>
    <s v="+5:15 AM"/>
    <n v="40500"/>
    <x v="0"/>
  </r>
  <r>
    <x v="0"/>
    <s v="Egypt"/>
    <x v="18"/>
    <x v="87"/>
    <x v="87"/>
    <m/>
    <m/>
    <s v="Break 15 Night"/>
    <d v="1899-12-30T21:15:00"/>
    <d v="1899-12-30T21:30:00"/>
    <n v="0"/>
    <x v="1"/>
  </r>
  <r>
    <x v="0"/>
    <s v="Egypt"/>
    <x v="18"/>
    <x v="87"/>
    <x v="87"/>
    <m/>
    <m/>
    <s v="Break 30 Night"/>
    <d v="1899-12-30T23:15:00"/>
    <d v="1899-12-30T23:45:00"/>
    <n v="0"/>
    <x v="1"/>
  </r>
  <r>
    <x v="0"/>
    <s v="Egypt"/>
    <x v="18"/>
    <x v="87"/>
    <x v="87"/>
    <m/>
    <m/>
    <s v="Shift Move"/>
    <s v="+2:15 AM"/>
    <s v="+5:15 AM"/>
    <n v="0"/>
    <x v="1"/>
  </r>
  <r>
    <x v="0"/>
    <s v="Egypt"/>
    <x v="18"/>
    <x v="87"/>
    <x v="87"/>
    <d v="2025-06-25T00:00:00"/>
    <d v="1899-12-30T08:15:00"/>
    <s v="Non Telecom"/>
    <d v="1899-12-30T15:00:00"/>
    <d v="1899-12-30T23:15:00"/>
    <n v="29700"/>
    <x v="0"/>
  </r>
  <r>
    <x v="0"/>
    <s v="Egypt"/>
    <x v="18"/>
    <x v="87"/>
    <x v="87"/>
    <m/>
    <m/>
    <s v="Break 15 Morning"/>
    <d v="1899-12-30T17:30:00"/>
    <d v="1899-12-30T17:45:00"/>
    <n v="0"/>
    <x v="1"/>
  </r>
  <r>
    <x v="0"/>
    <s v="Egypt"/>
    <x v="18"/>
    <x v="87"/>
    <x v="87"/>
    <m/>
    <m/>
    <s v="Break 30 Morning"/>
    <d v="1899-12-30T20:00:00"/>
    <d v="1899-12-30T20:30:00"/>
    <n v="0"/>
    <x v="1"/>
  </r>
  <r>
    <x v="0"/>
    <s v="Egypt"/>
    <x v="18"/>
    <x v="87"/>
    <x v="87"/>
    <d v="2025-06-26T00:00:00"/>
    <m/>
    <s v="Day Off"/>
    <m/>
    <m/>
    <n v="0"/>
    <x v="1"/>
  </r>
  <r>
    <x v="0"/>
    <s v="Egypt"/>
    <x v="18"/>
    <x v="87"/>
    <x v="87"/>
    <d v="2025-06-27T00:00:00"/>
    <m/>
    <s v="Day Off"/>
    <m/>
    <m/>
    <n v="0"/>
    <x v="1"/>
  </r>
  <r>
    <x v="0"/>
    <s v="Egypt"/>
    <x v="18"/>
    <x v="87"/>
    <x v="87"/>
    <d v="2025-06-28T00:00:00"/>
    <d v="1899-12-30T08:15:00"/>
    <s v="Annual Exception"/>
    <m/>
    <m/>
    <n v="29700"/>
    <x v="1"/>
  </r>
  <r>
    <x v="0"/>
    <s v="Egypt"/>
    <x v="18"/>
    <x v="87"/>
    <x v="87"/>
    <d v="2025-06-29T00:00:00"/>
    <d v="1899-12-30T08:15:00"/>
    <s v="Annual"/>
    <m/>
    <m/>
    <n v="29700"/>
    <x v="1"/>
  </r>
  <r>
    <x v="0"/>
    <s v="Egypt"/>
    <x v="18"/>
    <x v="87"/>
    <x v="87"/>
    <d v="2025-06-30T00:00:00"/>
    <d v="1899-12-30T08:15:00"/>
    <s v="Annual"/>
    <m/>
    <m/>
    <n v="29700"/>
    <x v="1"/>
  </r>
  <r>
    <x v="0"/>
    <s v="Egypt"/>
    <x v="19"/>
    <x v="88"/>
    <x v="88"/>
    <d v="2025-06-01T00:00:00"/>
    <m/>
    <s v="Day Off"/>
    <m/>
    <m/>
    <n v="0"/>
    <x v="1"/>
  </r>
  <r>
    <x v="0"/>
    <s v="Egypt"/>
    <x v="19"/>
    <x v="88"/>
    <x v="88"/>
    <d v="2025-06-02T00:00:00"/>
    <d v="1899-12-30T08:15:00"/>
    <s v="Non Telecom"/>
    <d v="1899-12-30T16:15:00"/>
    <s v="+12:30 AM"/>
    <n v="29700"/>
    <x v="0"/>
  </r>
  <r>
    <x v="0"/>
    <s v="Egypt"/>
    <x v="19"/>
    <x v="88"/>
    <x v="88"/>
    <m/>
    <m/>
    <s v="Break 15 Night"/>
    <d v="1899-12-30T17:30:00"/>
    <d v="1899-12-30T17:45:00"/>
    <n v="0"/>
    <x v="1"/>
  </r>
  <r>
    <x v="0"/>
    <s v="Egypt"/>
    <x v="19"/>
    <x v="88"/>
    <x v="88"/>
    <m/>
    <m/>
    <s v="Break 30 Night"/>
    <d v="1899-12-30T21:15:00"/>
    <d v="1899-12-30T21:45:00"/>
    <n v="0"/>
    <x v="1"/>
  </r>
  <r>
    <x v="0"/>
    <s v="Egypt"/>
    <x v="19"/>
    <x v="88"/>
    <x v="88"/>
    <d v="2025-06-03T00:00:00"/>
    <d v="1899-12-30T08:15:00"/>
    <s v="Planned Training"/>
    <m/>
    <m/>
    <n v="29700"/>
    <x v="1"/>
  </r>
  <r>
    <x v="0"/>
    <s v="Egypt"/>
    <x v="19"/>
    <x v="88"/>
    <x v="88"/>
    <d v="2025-06-04T00:00:00"/>
    <d v="1899-12-30T08:15:00"/>
    <s v="Annual Exception"/>
    <m/>
    <m/>
    <n v="29700"/>
    <x v="1"/>
  </r>
  <r>
    <x v="0"/>
    <s v="Egypt"/>
    <x v="19"/>
    <x v="88"/>
    <x v="88"/>
    <d v="2025-06-05T00:00:00"/>
    <d v="1899-12-30T08:15:00"/>
    <s v="Annual Exception"/>
    <m/>
    <m/>
    <n v="29700"/>
    <x v="1"/>
  </r>
  <r>
    <x v="0"/>
    <s v="Egypt"/>
    <x v="19"/>
    <x v="88"/>
    <x v="88"/>
    <d v="2025-06-06T00:00:00"/>
    <d v="1899-12-30T08:15:00"/>
    <s v="Public holiday"/>
    <m/>
    <m/>
    <n v="29700"/>
    <x v="1"/>
  </r>
  <r>
    <x v="0"/>
    <s v="Egypt"/>
    <x v="19"/>
    <x v="88"/>
    <x v="88"/>
    <d v="2025-06-07T00:00:00"/>
    <m/>
    <s v="Day Off"/>
    <m/>
    <m/>
    <n v="0"/>
    <x v="1"/>
  </r>
  <r>
    <x v="0"/>
    <s v="Egypt"/>
    <x v="19"/>
    <x v="88"/>
    <x v="88"/>
    <d v="2025-06-08T00:00:00"/>
    <d v="1899-12-30T08:15:00"/>
    <s v="Planned Training"/>
    <m/>
    <m/>
    <n v="29700"/>
    <x v="1"/>
  </r>
  <r>
    <x v="0"/>
    <s v="Egypt"/>
    <x v="19"/>
    <x v="88"/>
    <x v="88"/>
    <d v="2025-06-09T00:00:00"/>
    <d v="1899-12-30T08:15:00"/>
    <s v="Annual Exception"/>
    <m/>
    <m/>
    <n v="29700"/>
    <x v="1"/>
  </r>
  <r>
    <x v="0"/>
    <s v="Egypt"/>
    <x v="19"/>
    <x v="88"/>
    <x v="88"/>
    <d v="2025-06-10T00:00:00"/>
    <d v="1899-12-30T08:15:00"/>
    <s v="Planned Training"/>
    <m/>
    <m/>
    <n v="29700"/>
    <x v="1"/>
  </r>
  <r>
    <x v="0"/>
    <s v="Egypt"/>
    <x v="19"/>
    <x v="88"/>
    <x v="88"/>
    <d v="2025-06-11T00:00:00"/>
    <d v="1899-12-30T08:15:00"/>
    <s v="Non Telecom"/>
    <d v="1899-12-30T17:15:00"/>
    <s v="+1:30 AM"/>
    <n v="29700"/>
    <x v="0"/>
  </r>
  <r>
    <x v="0"/>
    <s v="Egypt"/>
    <x v="19"/>
    <x v="88"/>
    <x v="88"/>
    <m/>
    <m/>
    <s v="Break 15 Night"/>
    <d v="1899-12-30T18:15:00"/>
    <d v="1899-12-30T18:30:00"/>
    <n v="0"/>
    <x v="1"/>
  </r>
  <r>
    <x v="0"/>
    <s v="Egypt"/>
    <x v="19"/>
    <x v="88"/>
    <x v="88"/>
    <m/>
    <m/>
    <s v="Break 30 Night"/>
    <d v="1899-12-30T21:15:00"/>
    <d v="1899-12-30T21:45:00"/>
    <n v="0"/>
    <x v="1"/>
  </r>
  <r>
    <x v="0"/>
    <s v="Egypt"/>
    <x v="19"/>
    <x v="88"/>
    <x v="88"/>
    <d v="2025-06-12T00:00:00"/>
    <d v="1899-12-30T08:15:00"/>
    <s v="Non Telecom"/>
    <d v="1899-12-30T17:15:00"/>
    <s v="+1:30 AM"/>
    <n v="29700"/>
    <x v="0"/>
  </r>
  <r>
    <x v="0"/>
    <s v="Egypt"/>
    <x v="19"/>
    <x v="88"/>
    <x v="88"/>
    <m/>
    <m/>
    <s v="Shift Move"/>
    <d v="1899-12-30T17:15:00"/>
    <d v="1899-12-30T18:15:00"/>
    <n v="0"/>
    <x v="1"/>
  </r>
  <r>
    <x v="0"/>
    <s v="Egypt"/>
    <x v="19"/>
    <x v="88"/>
    <x v="88"/>
    <m/>
    <m/>
    <s v="Break 15 Night"/>
    <d v="1899-12-30T18:15:00"/>
    <d v="1899-12-30T18:30:00"/>
    <n v="0"/>
    <x v="1"/>
  </r>
  <r>
    <x v="0"/>
    <s v="Egypt"/>
    <x v="19"/>
    <x v="88"/>
    <x v="88"/>
    <m/>
    <m/>
    <s v="Shift Move"/>
    <d v="1899-12-30T18:30:00"/>
    <d v="1899-12-30T19:15:00"/>
    <n v="0"/>
    <x v="1"/>
  </r>
  <r>
    <x v="0"/>
    <s v="Egypt"/>
    <x v="19"/>
    <x v="88"/>
    <x v="88"/>
    <m/>
    <m/>
    <s v="Break 30 Night"/>
    <d v="1899-12-30T21:15:00"/>
    <d v="1899-12-30T21:45:00"/>
    <n v="0"/>
    <x v="1"/>
  </r>
  <r>
    <x v="0"/>
    <s v="Egypt"/>
    <x v="19"/>
    <x v="88"/>
    <x v="88"/>
    <d v="2025-06-13T00:00:00"/>
    <m/>
    <s v="Day Off"/>
    <m/>
    <m/>
    <n v="0"/>
    <x v="1"/>
  </r>
  <r>
    <x v="0"/>
    <s v="Egypt"/>
    <x v="19"/>
    <x v="88"/>
    <x v="88"/>
    <d v="2025-06-14T00:00:00"/>
    <m/>
    <s v="Day Off"/>
    <m/>
    <m/>
    <n v="0"/>
    <x v="1"/>
  </r>
  <r>
    <x v="0"/>
    <s v="Egypt"/>
    <x v="19"/>
    <x v="88"/>
    <x v="88"/>
    <d v="2025-06-15T00:00:00"/>
    <d v="1899-12-30T08:15:00"/>
    <s v="Non Telecom"/>
    <d v="1899-12-30T19:15:00"/>
    <s v="+3:30 AM"/>
    <n v="29700"/>
    <x v="0"/>
  </r>
  <r>
    <x v="0"/>
    <s v="Egypt"/>
    <x v="19"/>
    <x v="88"/>
    <x v="88"/>
    <m/>
    <m/>
    <s v="Break 15 Night"/>
    <d v="1899-12-30T22:00:00"/>
    <d v="1899-12-30T22:15:00"/>
    <n v="0"/>
    <x v="1"/>
  </r>
  <r>
    <x v="0"/>
    <s v="Egypt"/>
    <x v="19"/>
    <x v="88"/>
    <x v="88"/>
    <m/>
    <m/>
    <s v="Break 30 Night"/>
    <s v="+12:45 AM"/>
    <s v="+1:15 AM"/>
    <n v="0"/>
    <x v="1"/>
  </r>
  <r>
    <x v="0"/>
    <s v="Egypt"/>
    <x v="19"/>
    <x v="88"/>
    <x v="88"/>
    <d v="2025-06-16T00:00:00"/>
    <d v="1899-12-30T08:15:00"/>
    <s v="Non Telecom"/>
    <d v="1899-12-30T19:15:00"/>
    <s v="+3:30 AM"/>
    <n v="29700"/>
    <x v="0"/>
  </r>
  <r>
    <x v="0"/>
    <s v="Egypt"/>
    <x v="19"/>
    <x v="88"/>
    <x v="88"/>
    <m/>
    <m/>
    <s v="Break 15 Night"/>
    <d v="1899-12-30T21:45:00"/>
    <d v="1899-12-30T22:00:00"/>
    <n v="0"/>
    <x v="1"/>
  </r>
  <r>
    <x v="0"/>
    <s v="Egypt"/>
    <x v="19"/>
    <x v="88"/>
    <x v="88"/>
    <m/>
    <m/>
    <s v="Break 30 Night"/>
    <s v="+12:30 AM"/>
    <s v="+1:00 AM"/>
    <n v="0"/>
    <x v="1"/>
  </r>
  <r>
    <x v="0"/>
    <s v="Egypt"/>
    <x v="19"/>
    <x v="88"/>
    <x v="88"/>
    <d v="2025-06-17T00:00:00"/>
    <d v="1899-12-30T08:15:00"/>
    <s v="Non Telecom"/>
    <d v="1899-12-30T19:15:00"/>
    <s v="+3:30 AM"/>
    <n v="29700"/>
    <x v="0"/>
  </r>
  <r>
    <x v="0"/>
    <s v="Egypt"/>
    <x v="19"/>
    <x v="88"/>
    <x v="88"/>
    <m/>
    <m/>
    <s v="Break 15 Night"/>
    <d v="1899-12-30T21:15:00"/>
    <d v="1899-12-30T21:30:00"/>
    <n v="0"/>
    <x v="1"/>
  </r>
  <r>
    <x v="0"/>
    <s v="Egypt"/>
    <x v="19"/>
    <x v="88"/>
    <x v="88"/>
    <m/>
    <m/>
    <s v="Break 30 Night"/>
    <s v="+12:00 AM"/>
    <s v="+12:30 AM"/>
    <n v="0"/>
    <x v="1"/>
  </r>
  <r>
    <x v="0"/>
    <s v="Egypt"/>
    <x v="19"/>
    <x v="88"/>
    <x v="88"/>
    <d v="2025-06-18T00:00:00"/>
    <d v="1899-12-30T08:15:00"/>
    <s v="Non Telecom"/>
    <d v="1899-12-30T19:15:00"/>
    <s v="+3:30 AM"/>
    <n v="29700"/>
    <x v="0"/>
  </r>
  <r>
    <x v="0"/>
    <s v="Egypt"/>
    <x v="19"/>
    <x v="88"/>
    <x v="88"/>
    <m/>
    <m/>
    <s v="Break 15 Night"/>
    <d v="1899-12-30T21:30:00"/>
    <d v="1899-12-30T21:45:00"/>
    <n v="0"/>
    <x v="1"/>
  </r>
  <r>
    <x v="0"/>
    <s v="Egypt"/>
    <x v="19"/>
    <x v="88"/>
    <x v="88"/>
    <m/>
    <m/>
    <s v="Break 30 Night"/>
    <s v="+12:45 AM"/>
    <s v="+1:15 AM"/>
    <n v="0"/>
    <x v="1"/>
  </r>
  <r>
    <x v="0"/>
    <s v="Egypt"/>
    <x v="19"/>
    <x v="88"/>
    <x v="88"/>
    <d v="2025-06-19T00:00:00"/>
    <d v="1899-12-30T08:15:00"/>
    <s v="Non Telecom"/>
    <d v="1899-12-30T19:15:00"/>
    <s v="+3:30 AM"/>
    <n v="29700"/>
    <x v="0"/>
  </r>
  <r>
    <x v="0"/>
    <s v="Egypt"/>
    <x v="19"/>
    <x v="88"/>
    <x v="88"/>
    <m/>
    <m/>
    <s v="Break 15 Night"/>
    <d v="1899-12-30T21:30:00"/>
    <d v="1899-12-30T21:45:00"/>
    <n v="0"/>
    <x v="1"/>
  </r>
  <r>
    <x v="0"/>
    <s v="Egypt"/>
    <x v="19"/>
    <x v="88"/>
    <x v="88"/>
    <m/>
    <m/>
    <s v="Break 30 Night"/>
    <s v="+12:30 AM"/>
    <s v="+1:00 AM"/>
    <n v="0"/>
    <x v="1"/>
  </r>
  <r>
    <x v="0"/>
    <s v="Egypt"/>
    <x v="19"/>
    <x v="88"/>
    <x v="88"/>
    <d v="2025-06-20T00:00:00"/>
    <m/>
    <s v="Day Off"/>
    <m/>
    <m/>
    <n v="0"/>
    <x v="1"/>
  </r>
  <r>
    <x v="0"/>
    <s v="Egypt"/>
    <x v="19"/>
    <x v="88"/>
    <x v="88"/>
    <d v="2025-06-21T00:00:00"/>
    <m/>
    <s v="Day Off"/>
    <m/>
    <m/>
    <n v="0"/>
    <x v="1"/>
  </r>
  <r>
    <x v="0"/>
    <s v="Egypt"/>
    <x v="19"/>
    <x v="88"/>
    <x v="88"/>
    <d v="2025-06-22T00:00:00"/>
    <d v="1899-12-30T08:15:00"/>
    <s v="Annual Exception"/>
    <m/>
    <m/>
    <n v="29700"/>
    <x v="1"/>
  </r>
  <r>
    <x v="0"/>
    <s v="Egypt"/>
    <x v="19"/>
    <x v="88"/>
    <x v="88"/>
    <d v="2025-06-23T00:00:00"/>
    <d v="1899-12-30T08:15:00"/>
    <s v="Annual Exception"/>
    <m/>
    <m/>
    <n v="29700"/>
    <x v="1"/>
  </r>
  <r>
    <x v="0"/>
    <s v="Egypt"/>
    <x v="19"/>
    <x v="88"/>
    <x v="88"/>
    <d v="2025-06-24T00:00:00"/>
    <d v="1899-12-30T08:15:00"/>
    <s v="Annual Exception"/>
    <m/>
    <m/>
    <n v="29700"/>
    <x v="1"/>
  </r>
  <r>
    <x v="0"/>
    <s v="Egypt"/>
    <x v="19"/>
    <x v="88"/>
    <x v="88"/>
    <d v="2025-06-25T00:00:00"/>
    <d v="1899-12-30T08:15:00"/>
    <s v="Annual Exception"/>
    <m/>
    <m/>
    <n v="29700"/>
    <x v="1"/>
  </r>
  <r>
    <x v="0"/>
    <s v="Egypt"/>
    <x v="19"/>
    <x v="88"/>
    <x v="88"/>
    <d v="2025-06-26T00:00:00"/>
    <d v="1899-12-30T08:15:00"/>
    <s v="Public holiday"/>
    <m/>
    <m/>
    <n v="29700"/>
    <x v="1"/>
  </r>
  <r>
    <x v="0"/>
    <s v="Egypt"/>
    <x v="19"/>
    <x v="88"/>
    <x v="88"/>
    <d v="2025-06-27T00:00:00"/>
    <m/>
    <s v="Day Off"/>
    <m/>
    <m/>
    <n v="0"/>
    <x v="1"/>
  </r>
  <r>
    <x v="0"/>
    <s v="Egypt"/>
    <x v="19"/>
    <x v="88"/>
    <x v="88"/>
    <d v="2025-06-28T00:00:00"/>
    <m/>
    <s v="Day Off"/>
    <m/>
    <m/>
    <n v="0"/>
    <x v="1"/>
  </r>
  <r>
    <x v="0"/>
    <s v="Egypt"/>
    <x v="19"/>
    <x v="88"/>
    <x v="88"/>
    <d v="2025-06-29T00:00:00"/>
    <d v="1899-12-30T08:15:00"/>
    <s v="Non Telecom"/>
    <d v="1899-12-30T13:00:00"/>
    <d v="1899-12-30T21:15:00"/>
    <n v="29700"/>
    <x v="0"/>
  </r>
  <r>
    <x v="0"/>
    <s v="Egypt"/>
    <x v="19"/>
    <x v="88"/>
    <x v="88"/>
    <m/>
    <m/>
    <s v="Break 15 Morning"/>
    <d v="1899-12-30T14:30:00"/>
    <d v="1899-12-30T14:45:00"/>
    <n v="0"/>
    <x v="1"/>
  </r>
  <r>
    <x v="0"/>
    <s v="Egypt"/>
    <x v="19"/>
    <x v="88"/>
    <x v="88"/>
    <m/>
    <m/>
    <s v="Break 30 Morning"/>
    <d v="1899-12-30T18:00:00"/>
    <d v="1899-12-30T18:30:00"/>
    <n v="0"/>
    <x v="1"/>
  </r>
  <r>
    <x v="0"/>
    <s v="Egypt"/>
    <x v="19"/>
    <x v="88"/>
    <x v="88"/>
    <d v="2025-06-30T00:00:00"/>
    <m/>
    <s v="Day Off"/>
    <m/>
    <m/>
    <n v="0"/>
    <x v="1"/>
  </r>
  <r>
    <x v="0"/>
    <s v="Egypt"/>
    <x v="19"/>
    <x v="89"/>
    <x v="89"/>
    <d v="2025-06-01T00:00:00"/>
    <d v="1899-12-30T08:15:00"/>
    <s v="Non Telecom"/>
    <d v="1899-12-30T17:15:00"/>
    <s v="+1:30 AM"/>
    <n v="29700"/>
    <x v="0"/>
  </r>
  <r>
    <x v="0"/>
    <s v="Egypt"/>
    <x v="19"/>
    <x v="89"/>
    <x v="89"/>
    <m/>
    <m/>
    <s v="Break 15 Night"/>
    <d v="1899-12-30T19:15:00"/>
    <d v="1899-12-30T19:30:00"/>
    <n v="0"/>
    <x v="1"/>
  </r>
  <r>
    <x v="0"/>
    <s v="Egypt"/>
    <x v="19"/>
    <x v="89"/>
    <x v="89"/>
    <m/>
    <m/>
    <s v="Break 30 Night"/>
    <d v="1899-12-30T22:45:00"/>
    <d v="1899-12-30T23:15:00"/>
    <n v="0"/>
    <x v="1"/>
  </r>
  <r>
    <x v="0"/>
    <s v="Egypt"/>
    <x v="19"/>
    <x v="89"/>
    <x v="89"/>
    <d v="2025-06-02T00:00:00"/>
    <d v="1899-12-30T08:15:00"/>
    <s v="Planned Training"/>
    <m/>
    <m/>
    <n v="29700"/>
    <x v="1"/>
  </r>
  <r>
    <x v="0"/>
    <s v="Egypt"/>
    <x v="19"/>
    <x v="89"/>
    <x v="89"/>
    <d v="2025-06-03T00:00:00"/>
    <d v="1899-12-30T08:15:00"/>
    <s v="Non Telecom"/>
    <d v="1899-12-30T17:15:00"/>
    <s v="+1:30 AM"/>
    <n v="29700"/>
    <x v="0"/>
  </r>
  <r>
    <x v="0"/>
    <s v="Egypt"/>
    <x v="19"/>
    <x v="89"/>
    <x v="89"/>
    <m/>
    <m/>
    <s v="Break 15 Night"/>
    <d v="1899-12-30T20:00:00"/>
    <d v="1899-12-30T20:15:00"/>
    <n v="0"/>
    <x v="1"/>
  </r>
  <r>
    <x v="0"/>
    <s v="Egypt"/>
    <x v="19"/>
    <x v="89"/>
    <x v="89"/>
    <m/>
    <m/>
    <s v="Break 30 Night"/>
    <d v="1899-12-30T23:15:00"/>
    <d v="1899-12-30T23:45:00"/>
    <n v="0"/>
    <x v="1"/>
  </r>
  <r>
    <x v="0"/>
    <s v="Egypt"/>
    <x v="19"/>
    <x v="89"/>
    <x v="89"/>
    <d v="2025-06-04T00:00:00"/>
    <m/>
    <s v="Day Off"/>
    <m/>
    <m/>
    <n v="0"/>
    <x v="1"/>
  </r>
  <r>
    <x v="0"/>
    <s v="Egypt"/>
    <x v="19"/>
    <x v="89"/>
    <x v="89"/>
    <d v="2025-06-05T00:00:00"/>
    <m/>
    <s v="Day Off"/>
    <m/>
    <m/>
    <n v="0"/>
    <x v="1"/>
  </r>
  <r>
    <x v="0"/>
    <s v="Egypt"/>
    <x v="19"/>
    <x v="89"/>
    <x v="89"/>
    <d v="2025-06-06T00:00:00"/>
    <d v="1899-12-30T08:15:00"/>
    <s v="Non Telecom"/>
    <d v="1899-12-30T17:15:00"/>
    <s v="+1:30 AM"/>
    <n v="29700"/>
    <x v="0"/>
  </r>
  <r>
    <x v="0"/>
    <s v="Egypt"/>
    <x v="19"/>
    <x v="89"/>
    <x v="89"/>
    <m/>
    <m/>
    <s v="Break 15 Night"/>
    <d v="1899-12-30T19:45:00"/>
    <d v="1899-12-30T20:00:00"/>
    <n v="0"/>
    <x v="1"/>
  </r>
  <r>
    <x v="0"/>
    <s v="Egypt"/>
    <x v="19"/>
    <x v="89"/>
    <x v="89"/>
    <m/>
    <m/>
    <s v="Break 30 Night"/>
    <d v="1899-12-30T23:00:00"/>
    <d v="1899-12-30T23:30:00"/>
    <n v="0"/>
    <x v="1"/>
  </r>
  <r>
    <x v="0"/>
    <s v="Egypt"/>
    <x v="19"/>
    <x v="89"/>
    <x v="89"/>
    <d v="2025-06-07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8:45:00"/>
    <d v="1899-12-30T19:00:00"/>
    <n v="0"/>
    <x v="1"/>
  </r>
  <r>
    <x v="0"/>
    <s v="Egypt"/>
    <x v="19"/>
    <x v="89"/>
    <x v="89"/>
    <m/>
    <m/>
    <s v="Break 30 Night"/>
    <d v="1899-12-30T21:30:00"/>
    <d v="1899-12-30T22:00:00"/>
    <n v="0"/>
    <x v="1"/>
  </r>
  <r>
    <x v="0"/>
    <s v="Egypt"/>
    <x v="19"/>
    <x v="89"/>
    <x v="89"/>
    <d v="2025-06-08T00:00:00"/>
    <d v="1899-12-30T08:15:00"/>
    <s v="Public holiday"/>
    <m/>
    <m/>
    <n v="29700"/>
    <x v="1"/>
  </r>
  <r>
    <x v="0"/>
    <s v="Egypt"/>
    <x v="19"/>
    <x v="89"/>
    <x v="89"/>
    <d v="2025-06-09T00:00:00"/>
    <d v="1899-12-30T08:15:00"/>
    <s v="Non Telecom"/>
    <d v="1899-12-30T15:00:00"/>
    <d v="1899-12-30T23:15:00"/>
    <n v="29700"/>
    <x v="0"/>
  </r>
  <r>
    <x v="0"/>
    <s v="Egypt"/>
    <x v="19"/>
    <x v="89"/>
    <x v="89"/>
    <m/>
    <m/>
    <s v="Break 15 Morning"/>
    <d v="1899-12-30T17:00:00"/>
    <d v="1899-12-30T17:15:00"/>
    <n v="0"/>
    <x v="1"/>
  </r>
  <r>
    <x v="0"/>
    <s v="Egypt"/>
    <x v="19"/>
    <x v="89"/>
    <x v="89"/>
    <m/>
    <m/>
    <s v="Break 30 Morning"/>
    <d v="1899-12-30T20:00:00"/>
    <d v="1899-12-30T20:30:00"/>
    <n v="0"/>
    <x v="1"/>
  </r>
  <r>
    <x v="0"/>
    <s v="Egypt"/>
    <x v="19"/>
    <x v="89"/>
    <x v="89"/>
    <d v="2025-06-10T00:00:00"/>
    <d v="1899-12-30T08:15:00"/>
    <s v="Annual Exception"/>
    <m/>
    <m/>
    <n v="29700"/>
    <x v="1"/>
  </r>
  <r>
    <x v="0"/>
    <s v="Egypt"/>
    <x v="19"/>
    <x v="89"/>
    <x v="89"/>
    <d v="2025-06-11T00:00:00"/>
    <m/>
    <s v="Day Off"/>
    <m/>
    <m/>
    <n v="0"/>
    <x v="1"/>
  </r>
  <r>
    <x v="0"/>
    <s v="Egypt"/>
    <x v="19"/>
    <x v="89"/>
    <x v="89"/>
    <d v="2025-06-12T00:00:00"/>
    <m/>
    <s v="Day Off"/>
    <m/>
    <m/>
    <n v="0"/>
    <x v="1"/>
  </r>
  <r>
    <x v="0"/>
    <s v="Egypt"/>
    <x v="19"/>
    <x v="89"/>
    <x v="89"/>
    <d v="2025-06-13T00:00:00"/>
    <d v="1899-12-30T08:15:00"/>
    <s v="Non Telecom"/>
    <d v="1899-12-30T19:15:00"/>
    <s v="+3:30 AM"/>
    <n v="29700"/>
    <x v="0"/>
  </r>
  <r>
    <x v="0"/>
    <s v="Egypt"/>
    <x v="19"/>
    <x v="89"/>
    <x v="89"/>
    <m/>
    <m/>
    <s v="Break 15 Night"/>
    <d v="1899-12-30T21:45:00"/>
    <d v="1899-12-30T22:00:00"/>
    <n v="0"/>
    <x v="1"/>
  </r>
  <r>
    <x v="0"/>
    <s v="Egypt"/>
    <x v="19"/>
    <x v="89"/>
    <x v="89"/>
    <m/>
    <m/>
    <s v="Break 30 Night"/>
    <d v="1899-12-30T23:15:00"/>
    <d v="1899-12-30T23:45:00"/>
    <n v="0"/>
    <x v="1"/>
  </r>
  <r>
    <x v="0"/>
    <s v="Egypt"/>
    <x v="19"/>
    <x v="89"/>
    <x v="89"/>
    <d v="2025-06-14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7:45:00"/>
    <d v="1899-12-30T18:00:00"/>
    <n v="0"/>
    <x v="1"/>
  </r>
  <r>
    <x v="0"/>
    <s v="Egypt"/>
    <x v="19"/>
    <x v="89"/>
    <x v="89"/>
    <m/>
    <m/>
    <s v="Break 30 Night"/>
    <d v="1899-12-30T20:30:00"/>
    <d v="1899-12-30T21:00:00"/>
    <n v="0"/>
    <x v="1"/>
  </r>
  <r>
    <x v="0"/>
    <s v="Egypt"/>
    <x v="19"/>
    <x v="89"/>
    <x v="89"/>
    <d v="2025-06-15T00:00:00"/>
    <d v="1899-12-30T10:15:00"/>
    <s v="Non Telecom"/>
    <d v="1899-12-30T17:15:00"/>
    <s v="+3:30 AM"/>
    <n v="36900"/>
    <x v="0"/>
  </r>
  <r>
    <x v="0"/>
    <s v="Egypt"/>
    <x v="19"/>
    <x v="89"/>
    <x v="89"/>
    <m/>
    <m/>
    <s v="Break 15 Night"/>
    <d v="1899-12-30T20:00:00"/>
    <d v="1899-12-30T20:15:00"/>
    <n v="0"/>
    <x v="1"/>
  </r>
  <r>
    <x v="0"/>
    <s v="Egypt"/>
    <x v="19"/>
    <x v="89"/>
    <x v="89"/>
    <m/>
    <m/>
    <s v="Break 30 Night"/>
    <d v="1899-12-30T23:15:00"/>
    <d v="1899-12-30T23:45:00"/>
    <n v="0"/>
    <x v="1"/>
  </r>
  <r>
    <x v="0"/>
    <s v="Egypt"/>
    <x v="19"/>
    <x v="89"/>
    <x v="89"/>
    <m/>
    <m/>
    <s v="Shift Move"/>
    <s v="+1:30 AM"/>
    <s v="+3:30 AM"/>
    <n v="0"/>
    <x v="1"/>
  </r>
  <r>
    <x v="0"/>
    <s v="Egypt"/>
    <x v="19"/>
    <x v="89"/>
    <x v="89"/>
    <d v="2025-06-16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8:15:00"/>
    <d v="1899-12-30T18:30:00"/>
    <n v="0"/>
    <x v="1"/>
  </r>
  <r>
    <x v="0"/>
    <s v="Egypt"/>
    <x v="19"/>
    <x v="89"/>
    <x v="89"/>
    <m/>
    <m/>
    <s v="Break 30 Night"/>
    <d v="1899-12-30T21:00:00"/>
    <d v="1899-12-30T21:30:00"/>
    <n v="0"/>
    <x v="1"/>
  </r>
  <r>
    <x v="0"/>
    <s v="Egypt"/>
    <x v="19"/>
    <x v="89"/>
    <x v="89"/>
    <d v="2025-06-17T00:00:00"/>
    <m/>
    <s v="Day Off"/>
    <m/>
    <m/>
    <n v="0"/>
    <x v="1"/>
  </r>
  <r>
    <x v="0"/>
    <s v="Egypt"/>
    <x v="19"/>
    <x v="89"/>
    <x v="89"/>
    <d v="2025-06-18T00:00:00"/>
    <m/>
    <s v="Day Off"/>
    <m/>
    <m/>
    <n v="0"/>
    <x v="1"/>
  </r>
  <r>
    <x v="0"/>
    <s v="Egypt"/>
    <x v="19"/>
    <x v="89"/>
    <x v="89"/>
    <d v="2025-06-19T00:00:00"/>
    <d v="1899-12-30T08:15:00"/>
    <s v="Non Telecom"/>
    <d v="1899-12-30T19:15:00"/>
    <s v="+3:30 AM"/>
    <n v="29700"/>
    <x v="0"/>
  </r>
  <r>
    <x v="0"/>
    <s v="Egypt"/>
    <x v="19"/>
    <x v="89"/>
    <x v="89"/>
    <m/>
    <m/>
    <s v="Break 15 Night"/>
    <d v="1899-12-30T21:45:00"/>
    <d v="1899-12-30T22:00:00"/>
    <n v="0"/>
    <x v="1"/>
  </r>
  <r>
    <x v="0"/>
    <s v="Egypt"/>
    <x v="19"/>
    <x v="89"/>
    <x v="89"/>
    <m/>
    <m/>
    <s v="Break 30 Night"/>
    <s v="+1:00 AM"/>
    <s v="+1:30 AM"/>
    <n v="0"/>
    <x v="1"/>
  </r>
  <r>
    <x v="0"/>
    <s v="Egypt"/>
    <x v="19"/>
    <x v="89"/>
    <x v="89"/>
    <d v="2025-06-20T00:00:00"/>
    <d v="1899-12-30T08:15:00"/>
    <s v="Non Telecom"/>
    <d v="1899-12-30T19:00:00"/>
    <s v="+3:15 AM"/>
    <n v="29700"/>
    <x v="0"/>
  </r>
  <r>
    <x v="0"/>
    <s v="Egypt"/>
    <x v="19"/>
    <x v="89"/>
    <x v="89"/>
    <m/>
    <m/>
    <s v="Break 15 Night"/>
    <d v="1899-12-30T21:00:00"/>
    <d v="1899-12-30T21:15:00"/>
    <n v="0"/>
    <x v="1"/>
  </r>
  <r>
    <x v="0"/>
    <s v="Egypt"/>
    <x v="19"/>
    <x v="89"/>
    <x v="89"/>
    <m/>
    <m/>
    <s v="Break 30 Night"/>
    <s v="+12:15 AM"/>
    <s v="+12:45 AM"/>
    <n v="0"/>
    <x v="1"/>
  </r>
  <r>
    <x v="0"/>
    <s v="Egypt"/>
    <x v="19"/>
    <x v="89"/>
    <x v="89"/>
    <d v="2025-06-21T00:00:00"/>
    <d v="1899-12-30T08:15:00"/>
    <s v="Annual Exception"/>
    <m/>
    <m/>
    <n v="29700"/>
    <x v="1"/>
  </r>
  <r>
    <x v="0"/>
    <s v="Egypt"/>
    <x v="19"/>
    <x v="89"/>
    <x v="89"/>
    <d v="2025-06-22T00:00:00"/>
    <d v="1899-12-30T08:15:00"/>
    <s v="Annual Exception"/>
    <m/>
    <m/>
    <n v="29700"/>
    <x v="1"/>
  </r>
  <r>
    <x v="0"/>
    <s v="Egypt"/>
    <x v="19"/>
    <x v="89"/>
    <x v="89"/>
    <d v="2025-06-23T00:00:00"/>
    <d v="1899-12-30T08:15:00"/>
    <s v="Annual Exception"/>
    <m/>
    <m/>
    <n v="29700"/>
    <x v="1"/>
  </r>
  <r>
    <x v="0"/>
    <s v="Egypt"/>
    <x v="19"/>
    <x v="89"/>
    <x v="89"/>
    <d v="2025-06-24T00:00:00"/>
    <m/>
    <s v="Day Off"/>
    <m/>
    <m/>
    <n v="0"/>
    <x v="1"/>
  </r>
  <r>
    <x v="0"/>
    <s v="Egypt"/>
    <x v="19"/>
    <x v="89"/>
    <x v="89"/>
    <d v="2025-06-25T00:00:00"/>
    <m/>
    <s v="Day Off"/>
    <m/>
    <m/>
    <n v="0"/>
    <x v="1"/>
  </r>
  <r>
    <x v="0"/>
    <s v="Egypt"/>
    <x v="19"/>
    <x v="89"/>
    <x v="89"/>
    <d v="2025-06-26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8:15:00"/>
    <d v="1899-12-30T18:30:00"/>
    <n v="0"/>
    <x v="1"/>
  </r>
  <r>
    <x v="0"/>
    <s v="Egypt"/>
    <x v="19"/>
    <x v="89"/>
    <x v="89"/>
    <m/>
    <m/>
    <s v="Break 30 Night"/>
    <d v="1899-12-30T21:00:00"/>
    <d v="1899-12-30T21:30:00"/>
    <n v="0"/>
    <x v="1"/>
  </r>
  <r>
    <x v="0"/>
    <s v="Egypt"/>
    <x v="19"/>
    <x v="89"/>
    <x v="89"/>
    <d v="2025-06-27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8:00:00"/>
    <d v="1899-12-30T18:15:00"/>
    <n v="0"/>
    <x v="1"/>
  </r>
  <r>
    <x v="0"/>
    <s v="Egypt"/>
    <x v="19"/>
    <x v="89"/>
    <x v="89"/>
    <m/>
    <m/>
    <s v="Break 30 Night"/>
    <d v="1899-12-30T21:15:00"/>
    <d v="1899-12-30T21:45:00"/>
    <n v="0"/>
    <x v="1"/>
  </r>
  <r>
    <x v="0"/>
    <s v="Egypt"/>
    <x v="19"/>
    <x v="89"/>
    <x v="89"/>
    <d v="2025-06-28T00:00:00"/>
    <d v="1899-12-30T08:15:00"/>
    <s v="Non Telecom"/>
    <d v="1899-12-30T16:15:00"/>
    <s v="+12:30 AM"/>
    <n v="29700"/>
    <x v="0"/>
  </r>
  <r>
    <x v="0"/>
    <s v="Egypt"/>
    <x v="19"/>
    <x v="89"/>
    <x v="89"/>
    <m/>
    <m/>
    <s v="Break 15 Night"/>
    <d v="1899-12-30T17:45:00"/>
    <d v="1899-12-30T18:00:00"/>
    <n v="0"/>
    <x v="1"/>
  </r>
  <r>
    <x v="0"/>
    <s v="Egypt"/>
    <x v="19"/>
    <x v="89"/>
    <x v="89"/>
    <m/>
    <m/>
    <s v="Break 30 Night"/>
    <d v="1899-12-30T21:00:00"/>
    <d v="1899-12-30T21:30:00"/>
    <n v="0"/>
    <x v="1"/>
  </r>
  <r>
    <x v="0"/>
    <s v="Egypt"/>
    <x v="19"/>
    <x v="89"/>
    <x v="89"/>
    <d v="2025-06-29T00:00:00"/>
    <m/>
    <s v="Day Off"/>
    <m/>
    <m/>
    <n v="0"/>
    <x v="1"/>
  </r>
  <r>
    <x v="0"/>
    <s v="Egypt"/>
    <x v="19"/>
    <x v="89"/>
    <x v="89"/>
    <d v="2025-06-30T00:00:00"/>
    <m/>
    <s v="Day Off"/>
    <m/>
    <m/>
    <n v="0"/>
    <x v="1"/>
  </r>
  <r>
    <x v="0"/>
    <s v="Egypt"/>
    <x v="19"/>
    <x v="90"/>
    <x v="90"/>
    <d v="2025-06-01T00:00:00"/>
    <m/>
    <s v="Day Off"/>
    <m/>
    <m/>
    <n v="0"/>
    <x v="1"/>
  </r>
  <r>
    <x v="0"/>
    <s v="Egypt"/>
    <x v="19"/>
    <x v="90"/>
    <x v="90"/>
    <d v="2025-06-02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1:00:00"/>
    <d v="1899-12-30T21:15:00"/>
    <n v="0"/>
    <x v="1"/>
  </r>
  <r>
    <x v="0"/>
    <s v="Egypt"/>
    <x v="19"/>
    <x v="90"/>
    <x v="90"/>
    <m/>
    <m/>
    <s v="Break 30 Night"/>
    <s v="+12:15 AM"/>
    <s v="+12:45 AM"/>
    <n v="0"/>
    <x v="1"/>
  </r>
  <r>
    <x v="0"/>
    <s v="Egypt"/>
    <x v="19"/>
    <x v="90"/>
    <x v="90"/>
    <d v="2025-06-03T00:00:00"/>
    <d v="1899-12-30T08:15:00"/>
    <s v="Annual Exception"/>
    <m/>
    <m/>
    <n v="29700"/>
    <x v="1"/>
  </r>
  <r>
    <x v="0"/>
    <s v="Egypt"/>
    <x v="19"/>
    <x v="90"/>
    <x v="90"/>
    <d v="2025-06-04T00:00:00"/>
    <d v="1899-12-30T08:15:00"/>
    <s v="Planned Training"/>
    <m/>
    <m/>
    <n v="29700"/>
    <x v="1"/>
  </r>
  <r>
    <x v="0"/>
    <s v="Egypt"/>
    <x v="19"/>
    <x v="90"/>
    <x v="90"/>
    <d v="2025-06-05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15:00"/>
    <d v="1899-12-30T18:30:00"/>
    <n v="0"/>
    <x v="1"/>
  </r>
  <r>
    <x v="0"/>
    <s v="Egypt"/>
    <x v="19"/>
    <x v="90"/>
    <x v="90"/>
    <m/>
    <m/>
    <s v="Break 30 Night"/>
    <d v="1899-12-30T21:45:00"/>
    <d v="1899-12-30T22:15:00"/>
    <n v="0"/>
    <x v="1"/>
  </r>
  <r>
    <x v="0"/>
    <s v="Egypt"/>
    <x v="19"/>
    <x v="90"/>
    <x v="90"/>
    <d v="2025-06-06T00:00:00"/>
    <d v="1899-12-30T08:15:00"/>
    <s v="Annual Exception"/>
    <m/>
    <m/>
    <n v="29700"/>
    <x v="1"/>
  </r>
  <r>
    <x v="0"/>
    <s v="Egypt"/>
    <x v="19"/>
    <x v="90"/>
    <x v="90"/>
    <d v="2025-06-07T00:00:00"/>
    <m/>
    <s v="Day Off"/>
    <m/>
    <m/>
    <n v="0"/>
    <x v="1"/>
  </r>
  <r>
    <x v="0"/>
    <s v="Egypt"/>
    <x v="19"/>
    <x v="90"/>
    <x v="90"/>
    <d v="2025-06-08T00:00:00"/>
    <d v="1899-12-30T08:15:00"/>
    <s v="Public holiday"/>
    <m/>
    <m/>
    <n v="29700"/>
    <x v="1"/>
  </r>
  <r>
    <x v="0"/>
    <s v="Egypt"/>
    <x v="19"/>
    <x v="90"/>
    <x v="90"/>
    <d v="2025-06-09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7:45:00"/>
    <d v="1899-12-30T18:00:00"/>
    <n v="0"/>
    <x v="1"/>
  </r>
  <r>
    <x v="0"/>
    <s v="Egypt"/>
    <x v="19"/>
    <x v="90"/>
    <x v="90"/>
    <m/>
    <m/>
    <s v="Break 30 Night"/>
    <d v="1899-12-30T21:00:00"/>
    <d v="1899-12-30T21:30:00"/>
    <n v="0"/>
    <x v="1"/>
  </r>
  <r>
    <x v="0"/>
    <s v="Egypt"/>
    <x v="19"/>
    <x v="90"/>
    <x v="90"/>
    <d v="2025-06-10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00:00"/>
    <d v="1899-12-30T18:15:00"/>
    <n v="0"/>
    <x v="1"/>
  </r>
  <r>
    <x v="0"/>
    <s v="Egypt"/>
    <x v="19"/>
    <x v="90"/>
    <x v="90"/>
    <m/>
    <m/>
    <s v="Break 30 Night"/>
    <d v="1899-12-30T21:00:00"/>
    <d v="1899-12-30T21:30:00"/>
    <n v="0"/>
    <x v="1"/>
  </r>
  <r>
    <x v="0"/>
    <s v="Egypt"/>
    <x v="19"/>
    <x v="90"/>
    <x v="90"/>
    <d v="2025-06-11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15:00"/>
    <d v="1899-12-30T18:30:00"/>
    <n v="0"/>
    <x v="1"/>
  </r>
  <r>
    <x v="0"/>
    <s v="Egypt"/>
    <x v="19"/>
    <x v="90"/>
    <x v="90"/>
    <m/>
    <m/>
    <s v="Break 30 Night"/>
    <d v="1899-12-30T21:00:00"/>
    <d v="1899-12-30T21:30:00"/>
    <n v="0"/>
    <x v="1"/>
  </r>
  <r>
    <x v="0"/>
    <s v="Egypt"/>
    <x v="19"/>
    <x v="90"/>
    <x v="90"/>
    <d v="2025-06-12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45:00"/>
    <d v="1899-12-30T19:00:00"/>
    <n v="0"/>
    <x v="1"/>
  </r>
  <r>
    <x v="0"/>
    <s v="Egypt"/>
    <x v="19"/>
    <x v="90"/>
    <x v="90"/>
    <m/>
    <m/>
    <s v="Break 30 Night"/>
    <d v="1899-12-30T21:30:00"/>
    <d v="1899-12-30T22:00:00"/>
    <n v="0"/>
    <x v="1"/>
  </r>
  <r>
    <x v="0"/>
    <s v="Egypt"/>
    <x v="19"/>
    <x v="90"/>
    <x v="90"/>
    <d v="2025-06-13T00:00:00"/>
    <m/>
    <s v="Day Off"/>
    <m/>
    <m/>
    <n v="0"/>
    <x v="1"/>
  </r>
  <r>
    <x v="0"/>
    <s v="Egypt"/>
    <x v="19"/>
    <x v="90"/>
    <x v="90"/>
    <d v="2025-06-14T00:00:00"/>
    <m/>
    <s v="Day Off"/>
    <m/>
    <m/>
    <n v="0"/>
    <x v="1"/>
  </r>
  <r>
    <x v="0"/>
    <s v="Egypt"/>
    <x v="19"/>
    <x v="90"/>
    <x v="90"/>
    <d v="2025-06-15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9:15:00"/>
    <d v="1899-12-30T19:30:00"/>
    <n v="0"/>
    <x v="1"/>
  </r>
  <r>
    <x v="0"/>
    <s v="Egypt"/>
    <x v="19"/>
    <x v="90"/>
    <x v="90"/>
    <m/>
    <m/>
    <s v="Break 30 Night"/>
    <d v="1899-12-30T21:45:00"/>
    <d v="1899-12-30T22:15:00"/>
    <n v="0"/>
    <x v="1"/>
  </r>
  <r>
    <x v="0"/>
    <s v="Egypt"/>
    <x v="19"/>
    <x v="90"/>
    <x v="90"/>
    <d v="2025-06-16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2:00:00"/>
    <d v="1899-12-30T22:15:00"/>
    <n v="0"/>
    <x v="1"/>
  </r>
  <r>
    <x v="0"/>
    <s v="Egypt"/>
    <x v="19"/>
    <x v="90"/>
    <x v="90"/>
    <m/>
    <m/>
    <s v="Break 30 Night"/>
    <s v="+12:30 AM"/>
    <s v="+1:00 AM"/>
    <n v="0"/>
    <x v="1"/>
  </r>
  <r>
    <x v="0"/>
    <s v="Egypt"/>
    <x v="19"/>
    <x v="90"/>
    <x v="90"/>
    <d v="2025-06-17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1:45:00"/>
    <d v="1899-12-30T22:00:00"/>
    <n v="0"/>
    <x v="1"/>
  </r>
  <r>
    <x v="0"/>
    <s v="Egypt"/>
    <x v="19"/>
    <x v="90"/>
    <x v="90"/>
    <m/>
    <m/>
    <s v="Break 30 Night"/>
    <s v="+12:30 AM"/>
    <s v="+1:00 AM"/>
    <n v="0"/>
    <x v="1"/>
  </r>
  <r>
    <x v="0"/>
    <s v="Egypt"/>
    <x v="19"/>
    <x v="90"/>
    <x v="90"/>
    <d v="2025-06-18T00:00:00"/>
    <d v="1899-12-30T08:15:00"/>
    <s v="Non Telecom"/>
    <d v="1899-12-30T17:15:00"/>
    <s v="+1:30 AM"/>
    <n v="29700"/>
    <x v="0"/>
  </r>
  <r>
    <x v="0"/>
    <s v="Egypt"/>
    <x v="19"/>
    <x v="90"/>
    <x v="90"/>
    <m/>
    <m/>
    <s v="Break 15 Night"/>
    <d v="1899-12-30T20:15:00"/>
    <d v="1899-12-30T20:30:00"/>
    <n v="0"/>
    <x v="1"/>
  </r>
  <r>
    <x v="0"/>
    <s v="Egypt"/>
    <x v="19"/>
    <x v="90"/>
    <x v="90"/>
    <m/>
    <m/>
    <s v="Break 30 Night"/>
    <d v="1899-12-30T23:15:00"/>
    <d v="1899-12-30T23:45:00"/>
    <n v="0"/>
    <x v="1"/>
  </r>
  <r>
    <x v="0"/>
    <s v="Egypt"/>
    <x v="19"/>
    <x v="90"/>
    <x v="90"/>
    <d v="2025-06-19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1:15:00"/>
    <d v="1899-12-30T21:30:00"/>
    <n v="0"/>
    <x v="1"/>
  </r>
  <r>
    <x v="0"/>
    <s v="Egypt"/>
    <x v="19"/>
    <x v="90"/>
    <x v="90"/>
    <m/>
    <m/>
    <s v="Break 30 Night"/>
    <s v="+12:30 AM"/>
    <s v="+1:00 AM"/>
    <n v="0"/>
    <x v="1"/>
  </r>
  <r>
    <x v="0"/>
    <s v="Egypt"/>
    <x v="19"/>
    <x v="90"/>
    <x v="90"/>
    <m/>
    <m/>
    <s v="Leave Early"/>
    <s v="+1:30 AM"/>
    <s v="+3:30 AM"/>
    <n v="0"/>
    <x v="1"/>
  </r>
  <r>
    <x v="0"/>
    <s v="Egypt"/>
    <x v="19"/>
    <x v="90"/>
    <x v="90"/>
    <d v="2025-06-20T00:00:00"/>
    <m/>
    <s v="Day Off"/>
    <m/>
    <m/>
    <n v="0"/>
    <x v="1"/>
  </r>
  <r>
    <x v="0"/>
    <s v="Egypt"/>
    <x v="19"/>
    <x v="90"/>
    <x v="90"/>
    <d v="2025-06-21T00:00:00"/>
    <m/>
    <s v="Day Off"/>
    <m/>
    <m/>
    <n v="0"/>
    <x v="1"/>
  </r>
  <r>
    <x v="0"/>
    <s v="Egypt"/>
    <x v="19"/>
    <x v="90"/>
    <x v="90"/>
    <d v="2025-06-22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1:45:00"/>
    <d v="1899-12-30T22:00:00"/>
    <n v="0"/>
    <x v="1"/>
  </r>
  <r>
    <x v="0"/>
    <s v="Egypt"/>
    <x v="19"/>
    <x v="90"/>
    <x v="90"/>
    <m/>
    <m/>
    <s v="Break 30 Night"/>
    <s v="+12:15 AM"/>
    <s v="+12:45 AM"/>
    <n v="0"/>
    <x v="1"/>
  </r>
  <r>
    <x v="0"/>
    <s v="Egypt"/>
    <x v="19"/>
    <x v="90"/>
    <x v="90"/>
    <d v="2025-06-23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1:45:00"/>
    <d v="1899-12-30T22:00:00"/>
    <n v="0"/>
    <x v="1"/>
  </r>
  <r>
    <x v="0"/>
    <s v="Egypt"/>
    <x v="19"/>
    <x v="90"/>
    <x v="90"/>
    <m/>
    <m/>
    <s v="Break 30 Night"/>
    <s v="+12:30 AM"/>
    <s v="+1:00 AM"/>
    <n v="0"/>
    <x v="1"/>
  </r>
  <r>
    <x v="0"/>
    <s v="Egypt"/>
    <x v="19"/>
    <x v="90"/>
    <x v="90"/>
    <d v="2025-06-24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9:15:00"/>
    <d v="1899-12-30T19:30:00"/>
    <n v="0"/>
    <x v="1"/>
  </r>
  <r>
    <x v="0"/>
    <s v="Egypt"/>
    <x v="19"/>
    <x v="90"/>
    <x v="90"/>
    <m/>
    <m/>
    <s v="Break 30 Night"/>
    <d v="1899-12-30T21:45:00"/>
    <d v="1899-12-30T22:15:00"/>
    <n v="0"/>
    <x v="1"/>
  </r>
  <r>
    <x v="0"/>
    <s v="Egypt"/>
    <x v="19"/>
    <x v="90"/>
    <x v="90"/>
    <d v="2025-06-25T00:00:00"/>
    <m/>
    <s v="Day Off"/>
    <m/>
    <m/>
    <n v="0"/>
    <x v="1"/>
  </r>
  <r>
    <x v="0"/>
    <s v="Egypt"/>
    <x v="19"/>
    <x v="90"/>
    <x v="90"/>
    <d v="2025-06-26T00:00:00"/>
    <m/>
    <s v="Day Off"/>
    <m/>
    <m/>
    <n v="0"/>
    <x v="1"/>
  </r>
  <r>
    <x v="0"/>
    <s v="Egypt"/>
    <x v="19"/>
    <x v="90"/>
    <x v="90"/>
    <d v="2025-06-27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45:00"/>
    <d v="1899-12-30T19:00:00"/>
    <n v="0"/>
    <x v="1"/>
  </r>
  <r>
    <x v="0"/>
    <s v="Egypt"/>
    <x v="19"/>
    <x v="90"/>
    <x v="90"/>
    <m/>
    <m/>
    <s v="Break 30 Night"/>
    <d v="1899-12-30T21:45:00"/>
    <d v="1899-12-30T22:15:00"/>
    <n v="0"/>
    <x v="1"/>
  </r>
  <r>
    <x v="0"/>
    <s v="Egypt"/>
    <x v="19"/>
    <x v="90"/>
    <x v="90"/>
    <d v="2025-06-28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8:30:00"/>
    <d v="1899-12-30T18:45:00"/>
    <n v="0"/>
    <x v="1"/>
  </r>
  <r>
    <x v="0"/>
    <s v="Egypt"/>
    <x v="19"/>
    <x v="90"/>
    <x v="90"/>
    <m/>
    <m/>
    <s v="Break 30 Night"/>
    <d v="1899-12-30T21:30:00"/>
    <d v="1899-12-30T22:00:00"/>
    <n v="0"/>
    <x v="1"/>
  </r>
  <r>
    <x v="0"/>
    <s v="Egypt"/>
    <x v="19"/>
    <x v="90"/>
    <x v="90"/>
    <d v="2025-06-29T00:00:00"/>
    <d v="1899-12-30T08:15:00"/>
    <s v="Non Telecom"/>
    <d v="1899-12-30T19:15:00"/>
    <s v="+3:30 AM"/>
    <n v="29700"/>
    <x v="0"/>
  </r>
  <r>
    <x v="0"/>
    <s v="Egypt"/>
    <x v="19"/>
    <x v="90"/>
    <x v="90"/>
    <m/>
    <m/>
    <s v="Break 15 Night"/>
    <d v="1899-12-30T22:30:00"/>
    <d v="1899-12-30T22:45:00"/>
    <n v="0"/>
    <x v="1"/>
  </r>
  <r>
    <x v="0"/>
    <s v="Egypt"/>
    <x v="19"/>
    <x v="90"/>
    <x v="90"/>
    <m/>
    <m/>
    <s v="Break 30 Night"/>
    <s v="+1:30 AM"/>
    <s v="+2:00 AM"/>
    <n v="0"/>
    <x v="1"/>
  </r>
  <r>
    <x v="0"/>
    <s v="Egypt"/>
    <x v="19"/>
    <x v="90"/>
    <x v="90"/>
    <d v="2025-06-30T00:00:00"/>
    <d v="1899-12-30T08:15:00"/>
    <s v="Non Telecom"/>
    <d v="1899-12-30T16:15:00"/>
    <s v="+12:30 AM"/>
    <n v="29700"/>
    <x v="0"/>
  </r>
  <r>
    <x v="0"/>
    <s v="Egypt"/>
    <x v="19"/>
    <x v="90"/>
    <x v="90"/>
    <m/>
    <m/>
    <s v="Break 15 Night"/>
    <d v="1899-12-30T19:00:00"/>
    <d v="1899-12-30T19:15:00"/>
    <n v="0"/>
    <x v="1"/>
  </r>
  <r>
    <x v="0"/>
    <s v="Egypt"/>
    <x v="19"/>
    <x v="90"/>
    <x v="90"/>
    <m/>
    <m/>
    <s v="Break 30 Night"/>
    <d v="1899-12-30T22:00:00"/>
    <d v="1899-12-30T22:30:00"/>
    <n v="0"/>
    <x v="1"/>
  </r>
  <r>
    <x v="0"/>
    <s v="Egypt"/>
    <x v="19"/>
    <x v="91"/>
    <x v="91"/>
    <d v="2025-06-01T00:00:00"/>
    <m/>
    <s v="Day Off"/>
    <m/>
    <m/>
    <n v="0"/>
    <x v="1"/>
  </r>
  <r>
    <x v="0"/>
    <s v="Egypt"/>
    <x v="19"/>
    <x v="91"/>
    <x v="91"/>
    <d v="2025-06-02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45:00"/>
    <d v="1899-12-30T22:15:00"/>
    <n v="0"/>
    <x v="1"/>
  </r>
  <r>
    <x v="0"/>
    <s v="Egypt"/>
    <x v="19"/>
    <x v="91"/>
    <x v="91"/>
    <d v="2025-06-03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45:00"/>
    <d v="1899-12-30T22:15:00"/>
    <n v="0"/>
    <x v="1"/>
  </r>
  <r>
    <x v="0"/>
    <s v="Egypt"/>
    <x v="19"/>
    <x v="91"/>
    <x v="91"/>
    <d v="2025-06-04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00:00"/>
    <d v="1899-12-30T18:15:00"/>
    <n v="0"/>
    <x v="1"/>
  </r>
  <r>
    <x v="0"/>
    <s v="Egypt"/>
    <x v="19"/>
    <x v="91"/>
    <x v="91"/>
    <m/>
    <m/>
    <s v="Break 30 Night"/>
    <d v="1899-12-30T21:00:00"/>
    <d v="1899-12-30T21:30:00"/>
    <n v="0"/>
    <x v="1"/>
  </r>
  <r>
    <x v="0"/>
    <s v="Egypt"/>
    <x v="19"/>
    <x v="91"/>
    <x v="91"/>
    <d v="2025-06-05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45:00"/>
    <d v="1899-12-30T22:15:00"/>
    <n v="0"/>
    <x v="1"/>
  </r>
  <r>
    <x v="0"/>
    <s v="Egypt"/>
    <x v="19"/>
    <x v="91"/>
    <x v="91"/>
    <d v="2025-06-06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00:00"/>
    <d v="1899-12-30T18:15:00"/>
    <n v="0"/>
    <x v="1"/>
  </r>
  <r>
    <x v="0"/>
    <s v="Egypt"/>
    <x v="19"/>
    <x v="91"/>
    <x v="91"/>
    <m/>
    <m/>
    <s v="Break 30 Night"/>
    <d v="1899-12-30T21:30:00"/>
    <d v="1899-12-30T22:00:00"/>
    <n v="0"/>
    <x v="1"/>
  </r>
  <r>
    <x v="0"/>
    <s v="Egypt"/>
    <x v="19"/>
    <x v="91"/>
    <x v="91"/>
    <d v="2025-06-07T00:00:00"/>
    <m/>
    <s v="Day Off"/>
    <m/>
    <m/>
    <n v="0"/>
    <x v="1"/>
  </r>
  <r>
    <x v="0"/>
    <s v="Egypt"/>
    <x v="19"/>
    <x v="91"/>
    <x v="91"/>
    <d v="2025-06-08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15:00"/>
    <d v="1899-12-30T18:30:00"/>
    <n v="0"/>
    <x v="1"/>
  </r>
  <r>
    <x v="0"/>
    <s v="Egypt"/>
    <x v="19"/>
    <x v="91"/>
    <x v="91"/>
    <m/>
    <m/>
    <s v="Break 30 Night"/>
    <d v="1899-12-30T21:15:00"/>
    <d v="1899-12-30T21:45:00"/>
    <n v="0"/>
    <x v="1"/>
  </r>
  <r>
    <x v="0"/>
    <s v="Egypt"/>
    <x v="19"/>
    <x v="91"/>
    <x v="91"/>
    <d v="2025-06-09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00:00"/>
    <d v="1899-12-30T18:15:00"/>
    <n v="0"/>
    <x v="1"/>
  </r>
  <r>
    <x v="0"/>
    <s v="Egypt"/>
    <x v="19"/>
    <x v="91"/>
    <x v="91"/>
    <m/>
    <m/>
    <s v="Break 30 Night"/>
    <d v="1899-12-30T21:00:00"/>
    <d v="1899-12-30T21:30:00"/>
    <n v="0"/>
    <x v="1"/>
  </r>
  <r>
    <x v="0"/>
    <s v="Egypt"/>
    <x v="19"/>
    <x v="91"/>
    <x v="91"/>
    <d v="2025-06-10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15:00"/>
    <d v="1899-12-30T18:30:00"/>
    <n v="0"/>
    <x v="1"/>
  </r>
  <r>
    <x v="0"/>
    <s v="Egypt"/>
    <x v="19"/>
    <x v="91"/>
    <x v="91"/>
    <m/>
    <m/>
    <s v="Break 30 Night"/>
    <d v="1899-12-30T21:30:00"/>
    <d v="1899-12-30T22:00:00"/>
    <n v="0"/>
    <x v="1"/>
  </r>
  <r>
    <x v="0"/>
    <s v="Egypt"/>
    <x v="19"/>
    <x v="91"/>
    <x v="91"/>
    <d v="2025-06-11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30:00"/>
    <d v="1899-12-30T22:00:00"/>
    <n v="0"/>
    <x v="1"/>
  </r>
  <r>
    <x v="0"/>
    <s v="Egypt"/>
    <x v="19"/>
    <x v="91"/>
    <x v="91"/>
    <d v="2025-06-12T00:00:00"/>
    <m/>
    <s v="Day Off"/>
    <m/>
    <m/>
    <n v="0"/>
    <x v="1"/>
  </r>
  <r>
    <x v="0"/>
    <s v="Egypt"/>
    <x v="19"/>
    <x v="91"/>
    <x v="91"/>
    <d v="2025-06-13T00:00:00"/>
    <m/>
    <s v="Day Off"/>
    <m/>
    <m/>
    <n v="0"/>
    <x v="1"/>
  </r>
  <r>
    <x v="0"/>
    <s v="Egypt"/>
    <x v="19"/>
    <x v="91"/>
    <x v="91"/>
    <d v="2025-06-14T00:00:00"/>
    <d v="1899-12-30T08:15:00"/>
    <s v="Non Telecom"/>
    <d v="1899-12-30T17:15:00"/>
    <s v="+1:30 AM"/>
    <n v="29700"/>
    <x v="0"/>
  </r>
  <r>
    <x v="0"/>
    <s v="Egypt"/>
    <x v="19"/>
    <x v="91"/>
    <x v="91"/>
    <m/>
    <m/>
    <s v="Break 15 Night"/>
    <d v="1899-12-30T20:15:00"/>
    <d v="1899-12-30T20:30:00"/>
    <n v="0"/>
    <x v="1"/>
  </r>
  <r>
    <x v="0"/>
    <s v="Egypt"/>
    <x v="19"/>
    <x v="91"/>
    <x v="91"/>
    <m/>
    <m/>
    <s v="Break 30 Night"/>
    <d v="1899-12-30T23:00:00"/>
    <d v="1899-12-30T23:30:00"/>
    <n v="0"/>
    <x v="1"/>
  </r>
  <r>
    <x v="0"/>
    <s v="Egypt"/>
    <x v="19"/>
    <x v="91"/>
    <x v="91"/>
    <d v="2025-06-15T00:00:00"/>
    <d v="1899-12-30T08:15:00"/>
    <s v="Annual"/>
    <m/>
    <m/>
    <n v="29700"/>
    <x v="1"/>
  </r>
  <r>
    <x v="0"/>
    <s v="Egypt"/>
    <x v="19"/>
    <x v="91"/>
    <x v="91"/>
    <d v="2025-06-16T00:00:00"/>
    <d v="1899-12-30T08:15:00"/>
    <s v="Annual"/>
    <m/>
    <m/>
    <n v="29700"/>
    <x v="1"/>
  </r>
  <r>
    <x v="0"/>
    <s v="Egypt"/>
    <x v="19"/>
    <x v="91"/>
    <x v="91"/>
    <d v="2025-06-17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45:00"/>
    <d v="1899-12-30T19:00:00"/>
    <n v="0"/>
    <x v="1"/>
  </r>
  <r>
    <x v="0"/>
    <s v="Egypt"/>
    <x v="19"/>
    <x v="91"/>
    <x v="91"/>
    <m/>
    <m/>
    <s v="Break 30 Night"/>
    <d v="1899-12-30T21:30:00"/>
    <d v="1899-12-30T22:00:00"/>
    <n v="0"/>
    <x v="1"/>
  </r>
  <r>
    <x v="0"/>
    <s v="Egypt"/>
    <x v="19"/>
    <x v="91"/>
    <x v="91"/>
    <d v="2025-06-18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15:00"/>
    <d v="1899-12-30T21:45:00"/>
    <n v="0"/>
    <x v="1"/>
  </r>
  <r>
    <x v="0"/>
    <s v="Egypt"/>
    <x v="19"/>
    <x v="91"/>
    <x v="91"/>
    <d v="2025-06-19T00:00:00"/>
    <d v="1899-12-30T08:15:00"/>
    <s v="Annual Exception"/>
    <m/>
    <m/>
    <n v="29700"/>
    <x v="1"/>
  </r>
  <r>
    <x v="0"/>
    <s v="Egypt"/>
    <x v="19"/>
    <x v="91"/>
    <x v="91"/>
    <d v="2025-06-20T00:00:00"/>
    <m/>
    <s v="Day Off"/>
    <m/>
    <m/>
    <n v="0"/>
    <x v="1"/>
  </r>
  <r>
    <x v="0"/>
    <s v="Egypt"/>
    <x v="19"/>
    <x v="91"/>
    <x v="91"/>
    <d v="2025-06-21T00:00:00"/>
    <m/>
    <s v="Day Off"/>
    <m/>
    <m/>
    <n v="0"/>
    <x v="1"/>
  </r>
  <r>
    <x v="0"/>
    <s v="Egypt"/>
    <x v="19"/>
    <x v="91"/>
    <x v="91"/>
    <d v="2025-06-22T00:00:00"/>
    <d v="1899-12-30T08:15:00"/>
    <s v="Non Telecom"/>
    <d v="1899-12-30T19:15:00"/>
    <s v="+3:30 AM"/>
    <n v="29700"/>
    <x v="0"/>
  </r>
  <r>
    <x v="0"/>
    <s v="Egypt"/>
    <x v="19"/>
    <x v="91"/>
    <x v="91"/>
    <m/>
    <m/>
    <s v="Break 15 Night"/>
    <d v="1899-12-30T21:45:00"/>
    <d v="1899-12-30T22:00:00"/>
    <n v="0"/>
    <x v="1"/>
  </r>
  <r>
    <x v="0"/>
    <s v="Egypt"/>
    <x v="19"/>
    <x v="91"/>
    <x v="91"/>
    <m/>
    <m/>
    <s v="Break 30 Night"/>
    <s v="+12:15 AM"/>
    <s v="+12:45 AM"/>
    <n v="0"/>
    <x v="1"/>
  </r>
  <r>
    <x v="0"/>
    <s v="Egypt"/>
    <x v="19"/>
    <x v="91"/>
    <x v="91"/>
    <d v="2025-06-23T00:00:00"/>
    <d v="1899-12-30T08:15:00"/>
    <s v="Non Telecom"/>
    <d v="1899-12-30T19:15:00"/>
    <s v="+3:30 AM"/>
    <n v="29700"/>
    <x v="0"/>
  </r>
  <r>
    <x v="0"/>
    <s v="Egypt"/>
    <x v="19"/>
    <x v="91"/>
    <x v="91"/>
    <m/>
    <m/>
    <s v="Break 15 Night"/>
    <d v="1899-12-30T21:45:00"/>
    <d v="1899-12-30T22:00:00"/>
    <n v="0"/>
    <x v="1"/>
  </r>
  <r>
    <x v="0"/>
    <s v="Egypt"/>
    <x v="19"/>
    <x v="91"/>
    <x v="91"/>
    <m/>
    <m/>
    <s v="Break 30 Night"/>
    <s v="+12:45 AM"/>
    <s v="+1:15 AM"/>
    <n v="0"/>
    <x v="1"/>
  </r>
  <r>
    <x v="0"/>
    <s v="Egypt"/>
    <x v="19"/>
    <x v="91"/>
    <x v="91"/>
    <d v="2025-06-24T00:00:00"/>
    <d v="1899-12-30T08:15:00"/>
    <s v="Non Telecom"/>
    <d v="1899-12-30T19:15:00"/>
    <s v="+3:30 AM"/>
    <n v="29700"/>
    <x v="0"/>
  </r>
  <r>
    <x v="0"/>
    <s v="Egypt"/>
    <x v="19"/>
    <x v="91"/>
    <x v="91"/>
    <m/>
    <m/>
    <s v="Leave Early"/>
    <d v="1899-12-30T19:15:00"/>
    <d v="1899-12-30T20:15:00"/>
    <n v="0"/>
    <x v="1"/>
  </r>
  <r>
    <x v="0"/>
    <s v="Egypt"/>
    <x v="19"/>
    <x v="91"/>
    <x v="91"/>
    <m/>
    <m/>
    <s v="Break 15 Night"/>
    <d v="1899-12-30T21:15:00"/>
    <d v="1899-12-30T21:30:00"/>
    <n v="0"/>
    <x v="1"/>
  </r>
  <r>
    <x v="0"/>
    <s v="Egypt"/>
    <x v="19"/>
    <x v="91"/>
    <x v="91"/>
    <m/>
    <m/>
    <s v="Break 30 Night"/>
    <d v="1899-12-30T23:15:00"/>
    <d v="1899-12-30T23:45:00"/>
    <n v="0"/>
    <x v="1"/>
  </r>
  <r>
    <x v="0"/>
    <s v="Egypt"/>
    <x v="19"/>
    <x v="91"/>
    <x v="91"/>
    <d v="2025-06-25T00:00:00"/>
    <m/>
    <s v="Day Off"/>
    <m/>
    <m/>
    <n v="0"/>
    <x v="1"/>
  </r>
  <r>
    <x v="0"/>
    <s v="Egypt"/>
    <x v="19"/>
    <x v="91"/>
    <x v="91"/>
    <d v="2025-06-26T00:00:00"/>
    <m/>
    <s v="Day Off"/>
    <m/>
    <m/>
    <n v="0"/>
    <x v="1"/>
  </r>
  <r>
    <x v="0"/>
    <s v="Egypt"/>
    <x v="19"/>
    <x v="91"/>
    <x v="91"/>
    <d v="2025-06-27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9:00:00"/>
    <d v="1899-12-30T19:15:00"/>
    <n v="0"/>
    <x v="1"/>
  </r>
  <r>
    <x v="0"/>
    <s v="Egypt"/>
    <x v="19"/>
    <x v="91"/>
    <x v="91"/>
    <m/>
    <m/>
    <s v="Break 30 Night"/>
    <d v="1899-12-30T22:15:00"/>
    <d v="1899-12-30T22:45:00"/>
    <n v="0"/>
    <x v="1"/>
  </r>
  <r>
    <x v="0"/>
    <s v="Egypt"/>
    <x v="19"/>
    <x v="91"/>
    <x v="91"/>
    <d v="2025-06-28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45:00"/>
    <d v="1899-12-30T19:00:00"/>
    <n v="0"/>
    <x v="1"/>
  </r>
  <r>
    <x v="0"/>
    <s v="Egypt"/>
    <x v="19"/>
    <x v="91"/>
    <x v="91"/>
    <m/>
    <m/>
    <s v="Break 30 Night"/>
    <d v="1899-12-30T22:00:00"/>
    <d v="1899-12-30T22:30:00"/>
    <n v="0"/>
    <x v="1"/>
  </r>
  <r>
    <x v="0"/>
    <s v="Egypt"/>
    <x v="19"/>
    <x v="91"/>
    <x v="91"/>
    <d v="2025-06-29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8:30:00"/>
    <d v="1899-12-30T18:45:00"/>
    <n v="0"/>
    <x v="1"/>
  </r>
  <r>
    <x v="0"/>
    <s v="Egypt"/>
    <x v="19"/>
    <x v="91"/>
    <x v="91"/>
    <m/>
    <m/>
    <s v="Break 30 Night"/>
    <d v="1899-12-30T21:30:00"/>
    <d v="1899-12-30T22:00:00"/>
    <n v="0"/>
    <x v="1"/>
  </r>
  <r>
    <x v="0"/>
    <s v="Egypt"/>
    <x v="19"/>
    <x v="91"/>
    <x v="91"/>
    <d v="2025-06-30T00:00:00"/>
    <d v="1899-12-30T08:15:00"/>
    <s v="Non Telecom"/>
    <d v="1899-12-30T16:15:00"/>
    <s v="+12:30 AM"/>
    <n v="29700"/>
    <x v="0"/>
  </r>
  <r>
    <x v="0"/>
    <s v="Egypt"/>
    <x v="19"/>
    <x v="91"/>
    <x v="91"/>
    <m/>
    <m/>
    <s v="Break 15 Night"/>
    <d v="1899-12-30T19:00:00"/>
    <d v="1899-12-30T19:15:00"/>
    <n v="0"/>
    <x v="1"/>
  </r>
  <r>
    <x v="0"/>
    <s v="Egypt"/>
    <x v="19"/>
    <x v="91"/>
    <x v="91"/>
    <m/>
    <m/>
    <s v="Break 30 Night"/>
    <d v="1899-12-30T22:00:00"/>
    <d v="1899-12-30T22:30:00"/>
    <n v="0"/>
    <x v="1"/>
  </r>
  <r>
    <x v="0"/>
    <s v="Egypt"/>
    <x v="19"/>
    <x v="92"/>
    <x v="92"/>
    <d v="2025-06-01T00:00:00"/>
    <d v="1899-12-30T08:15:00"/>
    <s v="Non Telecom"/>
    <d v="1899-12-30T08:00:00"/>
    <d v="1899-12-30T16:15:00"/>
    <n v="29700"/>
    <x v="0"/>
  </r>
  <r>
    <x v="0"/>
    <s v="Egypt"/>
    <x v="19"/>
    <x v="92"/>
    <x v="92"/>
    <m/>
    <m/>
    <s v="Break 15 Morning"/>
    <d v="1899-12-30T09:15:00"/>
    <d v="1899-12-30T09:30:00"/>
    <n v="0"/>
    <x v="1"/>
  </r>
  <r>
    <x v="0"/>
    <s v="Egypt"/>
    <x v="19"/>
    <x v="92"/>
    <x v="92"/>
    <m/>
    <m/>
    <s v="Break 30 Morning"/>
    <d v="1899-12-30T12:15:00"/>
    <d v="1899-12-30T12:45:00"/>
    <n v="0"/>
    <x v="1"/>
  </r>
  <r>
    <x v="0"/>
    <s v="Egypt"/>
    <x v="19"/>
    <x v="92"/>
    <x v="92"/>
    <d v="2025-06-02T00:00:00"/>
    <d v="1899-12-30T08:15:00"/>
    <s v="Non Telecom"/>
    <d v="1899-12-30T19:15:00"/>
    <s v="+3:30 AM"/>
    <n v="29700"/>
    <x v="0"/>
  </r>
  <r>
    <x v="0"/>
    <s v="Egypt"/>
    <x v="19"/>
    <x v="92"/>
    <x v="92"/>
    <m/>
    <m/>
    <s v="Break 15 Night"/>
    <d v="1899-12-30T21:15:00"/>
    <d v="1899-12-30T21:30:00"/>
    <n v="0"/>
    <x v="1"/>
  </r>
  <r>
    <x v="0"/>
    <s v="Egypt"/>
    <x v="19"/>
    <x v="92"/>
    <x v="92"/>
    <m/>
    <m/>
    <s v="Break 30 Night"/>
    <s v="+12:45 AM"/>
    <s v="+1:15 AM"/>
    <n v="0"/>
    <x v="1"/>
  </r>
  <r>
    <x v="0"/>
    <s v="Egypt"/>
    <x v="19"/>
    <x v="92"/>
    <x v="92"/>
    <d v="2025-06-03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8:45:00"/>
    <d v="1899-12-30T19:00:00"/>
    <n v="0"/>
    <x v="1"/>
  </r>
  <r>
    <x v="0"/>
    <s v="Egypt"/>
    <x v="19"/>
    <x v="92"/>
    <x v="92"/>
    <m/>
    <m/>
    <s v="Break 30 Night"/>
    <d v="1899-12-30T21:45:00"/>
    <d v="1899-12-30T22:15:00"/>
    <n v="0"/>
    <x v="1"/>
  </r>
  <r>
    <x v="0"/>
    <s v="Egypt"/>
    <x v="19"/>
    <x v="92"/>
    <x v="92"/>
    <d v="2025-06-04T00:00:00"/>
    <d v="1899-12-30T08:15:00"/>
    <s v="Non Telecom"/>
    <d v="1899-12-30T19:15:00"/>
    <s v="+3:30 AM"/>
    <n v="29700"/>
    <x v="0"/>
  </r>
  <r>
    <x v="0"/>
    <s v="Egypt"/>
    <x v="19"/>
    <x v="92"/>
    <x v="92"/>
    <m/>
    <m/>
    <s v="Break 15 Night"/>
    <d v="1899-12-30T22:00:00"/>
    <d v="1899-12-30T22:15:00"/>
    <n v="0"/>
    <x v="1"/>
  </r>
  <r>
    <x v="0"/>
    <s v="Egypt"/>
    <x v="19"/>
    <x v="92"/>
    <x v="92"/>
    <m/>
    <m/>
    <s v="Break 30 Night"/>
    <s v="+1:00 AM"/>
    <s v="+1:30 AM"/>
    <n v="0"/>
    <x v="1"/>
  </r>
  <r>
    <x v="0"/>
    <s v="Egypt"/>
    <x v="19"/>
    <x v="92"/>
    <x v="92"/>
    <d v="2025-06-05T00:00:00"/>
    <d v="1899-12-30T08:15:00"/>
    <s v="Non Telecom"/>
    <d v="1899-12-30T19:15:00"/>
    <s v="+3:30 AM"/>
    <n v="29700"/>
    <x v="0"/>
  </r>
  <r>
    <x v="0"/>
    <s v="Egypt"/>
    <x v="19"/>
    <x v="92"/>
    <x v="92"/>
    <m/>
    <m/>
    <s v="Break 15 Night"/>
    <d v="1899-12-30T22:15:00"/>
    <d v="1899-12-30T22:30:00"/>
    <n v="0"/>
    <x v="1"/>
  </r>
  <r>
    <x v="0"/>
    <s v="Egypt"/>
    <x v="19"/>
    <x v="92"/>
    <x v="92"/>
    <m/>
    <m/>
    <s v="Break 30 Night"/>
    <s v="+1:45 AM"/>
    <s v="+2:15 AM"/>
    <n v="0"/>
    <x v="1"/>
  </r>
  <r>
    <x v="0"/>
    <s v="Egypt"/>
    <x v="19"/>
    <x v="92"/>
    <x v="92"/>
    <d v="2025-06-06T00:00:00"/>
    <m/>
    <s v="Day Off"/>
    <m/>
    <m/>
    <n v="0"/>
    <x v="1"/>
  </r>
  <r>
    <x v="0"/>
    <s v="Egypt"/>
    <x v="19"/>
    <x v="92"/>
    <x v="92"/>
    <d v="2025-06-07T00:00:00"/>
    <m/>
    <s v="Day Off"/>
    <m/>
    <m/>
    <n v="0"/>
    <x v="1"/>
  </r>
  <r>
    <x v="0"/>
    <s v="Egypt"/>
    <x v="19"/>
    <x v="92"/>
    <x v="92"/>
    <d v="2025-06-08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8:15:00"/>
    <d v="1899-12-30T18:30:00"/>
    <n v="0"/>
    <x v="1"/>
  </r>
  <r>
    <x v="0"/>
    <s v="Egypt"/>
    <x v="19"/>
    <x v="92"/>
    <x v="92"/>
    <m/>
    <m/>
    <s v="Break 30 Night"/>
    <d v="1899-12-30T21:45:00"/>
    <d v="1899-12-30T22:15:00"/>
    <n v="0"/>
    <x v="1"/>
  </r>
  <r>
    <x v="0"/>
    <s v="Egypt"/>
    <x v="19"/>
    <x v="92"/>
    <x v="92"/>
    <d v="2025-06-09T00:00:00"/>
    <d v="1899-12-30T08:15:00"/>
    <s v="Non Telecom"/>
    <d v="1899-12-30T13:00:00"/>
    <d v="1899-12-30T21:15:00"/>
    <n v="29700"/>
    <x v="0"/>
  </r>
  <r>
    <x v="0"/>
    <s v="Egypt"/>
    <x v="19"/>
    <x v="92"/>
    <x v="92"/>
    <m/>
    <m/>
    <s v="Break 15 Morning"/>
    <d v="1899-12-30T14:15:00"/>
    <d v="1899-12-30T14:30:00"/>
    <n v="0"/>
    <x v="1"/>
  </r>
  <r>
    <x v="0"/>
    <s v="Egypt"/>
    <x v="19"/>
    <x v="92"/>
    <x v="92"/>
    <m/>
    <m/>
    <s v="Break 30 Morning"/>
    <d v="1899-12-30T18:00:00"/>
    <d v="1899-12-30T18:30:00"/>
    <n v="0"/>
    <x v="1"/>
  </r>
  <r>
    <x v="0"/>
    <s v="Egypt"/>
    <x v="19"/>
    <x v="92"/>
    <x v="92"/>
    <d v="2025-06-10T00:00:00"/>
    <d v="1899-12-30T08:15:00"/>
    <s v="Non Telecom"/>
    <d v="1899-12-30T13:00:00"/>
    <d v="1899-12-30T21:15:00"/>
    <n v="29700"/>
    <x v="0"/>
  </r>
  <r>
    <x v="0"/>
    <s v="Egypt"/>
    <x v="19"/>
    <x v="92"/>
    <x v="92"/>
    <m/>
    <m/>
    <s v="Break 15 Morning"/>
    <d v="1899-12-30T14:15:00"/>
    <d v="1899-12-30T14:30:00"/>
    <n v="0"/>
    <x v="1"/>
  </r>
  <r>
    <x v="0"/>
    <s v="Egypt"/>
    <x v="19"/>
    <x v="92"/>
    <x v="92"/>
    <m/>
    <m/>
    <s v="Break 30 Morning"/>
    <d v="1899-12-30T18:00:00"/>
    <d v="1899-12-30T18:30:00"/>
    <n v="0"/>
    <x v="1"/>
  </r>
  <r>
    <x v="0"/>
    <s v="Egypt"/>
    <x v="19"/>
    <x v="92"/>
    <x v="92"/>
    <d v="2025-06-11T00:00:00"/>
    <d v="1899-12-30T08:15:00"/>
    <s v="Non Telecom"/>
    <d v="1899-12-30T13:00:00"/>
    <d v="1899-12-30T21:15:00"/>
    <n v="29700"/>
    <x v="0"/>
  </r>
  <r>
    <x v="0"/>
    <s v="Egypt"/>
    <x v="19"/>
    <x v="92"/>
    <x v="92"/>
    <m/>
    <m/>
    <s v="Break 15 Morning"/>
    <d v="1899-12-30T15:00:00"/>
    <d v="1899-12-30T15:15:00"/>
    <n v="0"/>
    <x v="1"/>
  </r>
  <r>
    <x v="0"/>
    <s v="Egypt"/>
    <x v="19"/>
    <x v="92"/>
    <x v="92"/>
    <m/>
    <m/>
    <s v="Break 30 Morning"/>
    <d v="1899-12-30T18:30:00"/>
    <d v="1899-12-30T19:00:00"/>
    <n v="0"/>
    <x v="1"/>
  </r>
  <r>
    <x v="0"/>
    <s v="Egypt"/>
    <x v="19"/>
    <x v="92"/>
    <x v="92"/>
    <d v="2025-06-12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9:00:00"/>
    <d v="1899-12-30T19:15:00"/>
    <n v="0"/>
    <x v="1"/>
  </r>
  <r>
    <x v="0"/>
    <s v="Egypt"/>
    <x v="19"/>
    <x v="92"/>
    <x v="92"/>
    <m/>
    <m/>
    <s v="Break 30 Night"/>
    <d v="1899-12-30T21:30:00"/>
    <d v="1899-12-30T22:00:00"/>
    <n v="0"/>
    <x v="1"/>
  </r>
  <r>
    <x v="0"/>
    <s v="Egypt"/>
    <x v="19"/>
    <x v="92"/>
    <x v="92"/>
    <d v="2025-06-13T00:00:00"/>
    <m/>
    <s v="Day Off"/>
    <m/>
    <m/>
    <n v="0"/>
    <x v="1"/>
  </r>
  <r>
    <x v="0"/>
    <s v="Egypt"/>
    <x v="19"/>
    <x v="92"/>
    <x v="92"/>
    <d v="2025-06-14T00:00:00"/>
    <m/>
    <s v="Day Off"/>
    <m/>
    <m/>
    <n v="0"/>
    <x v="1"/>
  </r>
  <r>
    <x v="0"/>
    <s v="Egypt"/>
    <x v="19"/>
    <x v="92"/>
    <x v="92"/>
    <d v="2025-06-15T00:00:00"/>
    <d v="1899-12-30T08:15:00"/>
    <s v="Non Telecom"/>
    <d v="1899-12-30T17:15:00"/>
    <s v="+1:30 AM"/>
    <n v="29700"/>
    <x v="0"/>
  </r>
  <r>
    <x v="0"/>
    <s v="Egypt"/>
    <x v="19"/>
    <x v="92"/>
    <x v="92"/>
    <m/>
    <m/>
    <s v="Break 15 Night"/>
    <d v="1899-12-30T20:00:00"/>
    <d v="1899-12-30T20:15:00"/>
    <n v="0"/>
    <x v="1"/>
  </r>
  <r>
    <x v="0"/>
    <s v="Egypt"/>
    <x v="19"/>
    <x v="92"/>
    <x v="92"/>
    <m/>
    <m/>
    <s v="Break 30 Night"/>
    <d v="1899-12-30T22:45:00"/>
    <d v="1899-12-30T23:15:00"/>
    <n v="0"/>
    <x v="1"/>
  </r>
  <r>
    <x v="0"/>
    <s v="Egypt"/>
    <x v="19"/>
    <x v="92"/>
    <x v="92"/>
    <d v="2025-06-16T00:00:00"/>
    <d v="1899-12-30T08:15:00"/>
    <s v="Non Telecom"/>
    <d v="1899-12-30T17:15:00"/>
    <s v="+1:30 AM"/>
    <n v="29700"/>
    <x v="0"/>
  </r>
  <r>
    <x v="0"/>
    <s v="Egypt"/>
    <x v="19"/>
    <x v="92"/>
    <x v="92"/>
    <m/>
    <m/>
    <s v="Break 15 Night"/>
    <d v="1899-12-30T20:45:00"/>
    <d v="1899-12-30T21:00:00"/>
    <n v="0"/>
    <x v="1"/>
  </r>
  <r>
    <x v="0"/>
    <s v="Egypt"/>
    <x v="19"/>
    <x v="92"/>
    <x v="92"/>
    <m/>
    <m/>
    <s v="Break 30 Night"/>
    <d v="1899-12-30T23:30:00"/>
    <s v="+12:00 AM"/>
    <n v="0"/>
    <x v="1"/>
  </r>
  <r>
    <x v="0"/>
    <s v="Egypt"/>
    <x v="19"/>
    <x v="92"/>
    <x v="92"/>
    <d v="2025-06-17T00:00:00"/>
    <d v="1899-12-30T08:15:00"/>
    <s v="Non Telecom"/>
    <d v="1899-12-30T17:15:00"/>
    <s v="+1:30 AM"/>
    <n v="29700"/>
    <x v="0"/>
  </r>
  <r>
    <x v="0"/>
    <s v="Egypt"/>
    <x v="19"/>
    <x v="92"/>
    <x v="92"/>
    <m/>
    <m/>
    <s v="Break 15 Night"/>
    <d v="1899-12-30T20:30:00"/>
    <d v="1899-12-30T20:45:00"/>
    <n v="0"/>
    <x v="1"/>
  </r>
  <r>
    <x v="0"/>
    <s v="Egypt"/>
    <x v="19"/>
    <x v="92"/>
    <x v="92"/>
    <m/>
    <m/>
    <s v="Break 30 Night"/>
    <d v="1899-12-30T23:30:00"/>
    <s v="+12:00 AM"/>
    <n v="0"/>
    <x v="1"/>
  </r>
  <r>
    <x v="0"/>
    <s v="Egypt"/>
    <x v="19"/>
    <x v="92"/>
    <x v="92"/>
    <d v="2025-06-18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8:45:00"/>
    <d v="1899-12-30T19:00:00"/>
    <n v="0"/>
    <x v="1"/>
  </r>
  <r>
    <x v="0"/>
    <s v="Egypt"/>
    <x v="19"/>
    <x v="92"/>
    <x v="92"/>
    <m/>
    <m/>
    <s v="Break 30 Night"/>
    <d v="1899-12-30T21:15:00"/>
    <d v="1899-12-30T21:45:00"/>
    <n v="0"/>
    <x v="1"/>
  </r>
  <r>
    <x v="0"/>
    <s v="Egypt"/>
    <x v="19"/>
    <x v="92"/>
    <x v="92"/>
    <d v="2025-06-19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8:45:00"/>
    <d v="1899-12-30T19:00:00"/>
    <n v="0"/>
    <x v="1"/>
  </r>
  <r>
    <x v="0"/>
    <s v="Egypt"/>
    <x v="19"/>
    <x v="92"/>
    <x v="92"/>
    <m/>
    <m/>
    <s v="Break 30 Night"/>
    <d v="1899-12-30T21:30:00"/>
    <d v="1899-12-30T22:00:00"/>
    <n v="0"/>
    <x v="1"/>
  </r>
  <r>
    <x v="0"/>
    <s v="Egypt"/>
    <x v="19"/>
    <x v="92"/>
    <x v="92"/>
    <d v="2025-06-20T00:00:00"/>
    <m/>
    <s v="Day Off"/>
    <m/>
    <m/>
    <n v="0"/>
    <x v="1"/>
  </r>
  <r>
    <x v="0"/>
    <s v="Egypt"/>
    <x v="19"/>
    <x v="92"/>
    <x v="92"/>
    <d v="2025-06-21T00:00:00"/>
    <m/>
    <s v="Day Off"/>
    <m/>
    <m/>
    <n v="0"/>
    <x v="1"/>
  </r>
  <r>
    <x v="0"/>
    <s v="Egypt"/>
    <x v="19"/>
    <x v="92"/>
    <x v="92"/>
    <d v="2025-06-22T00:00:00"/>
    <d v="1899-12-30T08:15:00"/>
    <s v="Annual Exception"/>
    <m/>
    <m/>
    <n v="29700"/>
    <x v="1"/>
  </r>
  <r>
    <x v="0"/>
    <s v="Egypt"/>
    <x v="19"/>
    <x v="92"/>
    <x v="92"/>
    <d v="2025-06-23T00:00:00"/>
    <d v="1899-12-30T08:15:00"/>
    <s v="Annual Exception"/>
    <m/>
    <m/>
    <n v="29700"/>
    <x v="1"/>
  </r>
  <r>
    <x v="0"/>
    <s v="Egypt"/>
    <x v="19"/>
    <x v="92"/>
    <x v="92"/>
    <d v="2025-06-24T00:00:00"/>
    <d v="1899-12-30T08:15:00"/>
    <s v="Annual"/>
    <m/>
    <m/>
    <n v="29700"/>
    <x v="1"/>
  </r>
  <r>
    <x v="0"/>
    <s v="Egypt"/>
    <x v="19"/>
    <x v="92"/>
    <x v="92"/>
    <d v="2025-06-25T00:00:00"/>
    <d v="1899-12-30T08:15:00"/>
    <s v="Annual"/>
    <m/>
    <m/>
    <n v="29700"/>
    <x v="1"/>
  </r>
  <r>
    <x v="0"/>
    <s v="Egypt"/>
    <x v="19"/>
    <x v="92"/>
    <x v="92"/>
    <d v="2025-06-26T00:00:00"/>
    <m/>
    <s v="Day Off"/>
    <m/>
    <m/>
    <n v="0"/>
    <x v="1"/>
  </r>
  <r>
    <x v="0"/>
    <s v="Egypt"/>
    <x v="19"/>
    <x v="92"/>
    <x v="92"/>
    <d v="2025-06-27T00:00:00"/>
    <m/>
    <s v="Day Off"/>
    <m/>
    <m/>
    <n v="0"/>
    <x v="1"/>
  </r>
  <r>
    <x v="0"/>
    <s v="Egypt"/>
    <x v="19"/>
    <x v="92"/>
    <x v="92"/>
    <d v="2025-06-28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9:00:00"/>
    <d v="1899-12-30T19:15:00"/>
    <n v="0"/>
    <x v="1"/>
  </r>
  <r>
    <x v="0"/>
    <s v="Egypt"/>
    <x v="19"/>
    <x v="92"/>
    <x v="92"/>
    <m/>
    <m/>
    <s v="Break 30 Night"/>
    <d v="1899-12-30T22:00:00"/>
    <d v="1899-12-30T22:30:00"/>
    <n v="0"/>
    <x v="1"/>
  </r>
  <r>
    <x v="0"/>
    <s v="Egypt"/>
    <x v="19"/>
    <x v="92"/>
    <x v="92"/>
    <d v="2025-06-29T00:00:00"/>
    <d v="1899-12-30T08:15:00"/>
    <s v="Annual Exception"/>
    <m/>
    <m/>
    <n v="29700"/>
    <x v="1"/>
  </r>
  <r>
    <x v="0"/>
    <s v="Egypt"/>
    <x v="19"/>
    <x v="92"/>
    <x v="92"/>
    <d v="2025-06-30T00:00:00"/>
    <d v="1899-12-30T08:15:00"/>
    <s v="Non Telecom"/>
    <d v="1899-12-30T16:15:00"/>
    <s v="+12:30 AM"/>
    <n v="29700"/>
    <x v="0"/>
  </r>
  <r>
    <x v="0"/>
    <s v="Egypt"/>
    <x v="19"/>
    <x v="92"/>
    <x v="92"/>
    <m/>
    <m/>
    <s v="Break 15 Night"/>
    <d v="1899-12-30T19:15:00"/>
    <d v="1899-12-30T19:30:00"/>
    <n v="0"/>
    <x v="1"/>
  </r>
  <r>
    <x v="0"/>
    <s v="Egypt"/>
    <x v="19"/>
    <x v="92"/>
    <x v="92"/>
    <m/>
    <m/>
    <s v="Break 30 Night"/>
    <d v="1899-12-30T22:00:00"/>
    <d v="1899-12-30T22:30:00"/>
    <n v="0"/>
    <x v="1"/>
  </r>
  <r>
    <x v="0"/>
    <s v="Egypt"/>
    <x v="19"/>
    <x v="93"/>
    <x v="93"/>
    <d v="2025-06-01T00:00:00"/>
    <m/>
    <s v="Day Off"/>
    <m/>
    <m/>
    <n v="0"/>
    <x v="1"/>
  </r>
  <r>
    <x v="0"/>
    <s v="Egypt"/>
    <x v="19"/>
    <x v="93"/>
    <x v="93"/>
    <d v="2025-06-02T00:00:00"/>
    <d v="1899-12-30T08:15:00"/>
    <s v="Annual"/>
    <m/>
    <m/>
    <n v="29700"/>
    <x v="1"/>
  </r>
  <r>
    <x v="0"/>
    <s v="Egypt"/>
    <x v="19"/>
    <x v="93"/>
    <x v="93"/>
    <d v="2025-06-03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45:00"/>
    <d v="1899-12-30T19:00:00"/>
    <n v="0"/>
    <x v="1"/>
  </r>
  <r>
    <x v="0"/>
    <s v="Egypt"/>
    <x v="19"/>
    <x v="93"/>
    <x v="93"/>
    <m/>
    <m/>
    <s v="Break 30 Night"/>
    <d v="1899-12-30T21:45:00"/>
    <d v="1899-12-30T22:15:00"/>
    <n v="0"/>
    <x v="1"/>
  </r>
  <r>
    <x v="0"/>
    <s v="Egypt"/>
    <x v="19"/>
    <x v="93"/>
    <x v="93"/>
    <d v="2025-06-04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15:00"/>
    <d v="1899-12-30T18:30:00"/>
    <n v="0"/>
    <x v="1"/>
  </r>
  <r>
    <x v="0"/>
    <s v="Egypt"/>
    <x v="19"/>
    <x v="93"/>
    <x v="93"/>
    <m/>
    <m/>
    <s v="Break 30 Night"/>
    <d v="1899-12-30T21:30:00"/>
    <d v="1899-12-30T22:00:00"/>
    <n v="0"/>
    <x v="1"/>
  </r>
  <r>
    <x v="0"/>
    <s v="Egypt"/>
    <x v="19"/>
    <x v="93"/>
    <x v="93"/>
    <d v="2025-06-05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30:00"/>
    <d v="1899-12-30T18:45:00"/>
    <n v="0"/>
    <x v="1"/>
  </r>
  <r>
    <x v="0"/>
    <s v="Egypt"/>
    <x v="19"/>
    <x v="93"/>
    <x v="93"/>
    <m/>
    <m/>
    <s v="Break 30 Night"/>
    <d v="1899-12-30T21:45:00"/>
    <d v="1899-12-30T22:15:00"/>
    <n v="0"/>
    <x v="1"/>
  </r>
  <r>
    <x v="0"/>
    <s v="Egypt"/>
    <x v="19"/>
    <x v="93"/>
    <x v="93"/>
    <d v="2025-06-06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15:00"/>
    <d v="1899-12-30T18:30:00"/>
    <n v="0"/>
    <x v="1"/>
  </r>
  <r>
    <x v="0"/>
    <s v="Egypt"/>
    <x v="19"/>
    <x v="93"/>
    <x v="93"/>
    <m/>
    <m/>
    <s v="Break 30 Night"/>
    <d v="1899-12-30T21:30:00"/>
    <d v="1899-12-30T22:00:00"/>
    <n v="0"/>
    <x v="1"/>
  </r>
  <r>
    <x v="0"/>
    <s v="Egypt"/>
    <x v="19"/>
    <x v="93"/>
    <x v="93"/>
    <d v="2025-06-07T00:00:00"/>
    <m/>
    <s v="Day Off"/>
    <m/>
    <m/>
    <n v="0"/>
    <x v="1"/>
  </r>
  <r>
    <x v="0"/>
    <s v="Egypt"/>
    <x v="19"/>
    <x v="93"/>
    <x v="93"/>
    <d v="2025-06-08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30:00"/>
    <d v="1899-12-30T18:45:00"/>
    <n v="0"/>
    <x v="1"/>
  </r>
  <r>
    <x v="0"/>
    <s v="Egypt"/>
    <x v="19"/>
    <x v="93"/>
    <x v="93"/>
    <m/>
    <m/>
    <s v="Break 30 Night"/>
    <d v="1899-12-30T21:45:00"/>
    <d v="1899-12-30T22:15:00"/>
    <n v="0"/>
    <x v="1"/>
  </r>
  <r>
    <x v="0"/>
    <s v="Egypt"/>
    <x v="19"/>
    <x v="93"/>
    <x v="93"/>
    <d v="2025-06-09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15:00"/>
    <d v="1899-12-30T18:30:00"/>
    <n v="0"/>
    <x v="1"/>
  </r>
  <r>
    <x v="0"/>
    <s v="Egypt"/>
    <x v="19"/>
    <x v="93"/>
    <x v="93"/>
    <m/>
    <m/>
    <s v="Break 30 Night"/>
    <d v="1899-12-30T21:30:00"/>
    <d v="1899-12-30T22:00:00"/>
    <n v="0"/>
    <x v="1"/>
  </r>
  <r>
    <x v="0"/>
    <s v="Egypt"/>
    <x v="19"/>
    <x v="93"/>
    <x v="93"/>
    <d v="2025-06-10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30:00"/>
    <d v="1899-12-30T18:45:00"/>
    <n v="0"/>
    <x v="1"/>
  </r>
  <r>
    <x v="0"/>
    <s v="Egypt"/>
    <x v="19"/>
    <x v="93"/>
    <x v="93"/>
    <m/>
    <m/>
    <s v="Break 30 Night"/>
    <d v="1899-12-30T21:30:00"/>
    <d v="1899-12-30T22:00:00"/>
    <n v="0"/>
    <x v="1"/>
  </r>
  <r>
    <x v="0"/>
    <s v="Egypt"/>
    <x v="19"/>
    <x v="93"/>
    <x v="93"/>
    <d v="2025-06-11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45:00"/>
    <d v="1899-12-30T19:00:00"/>
    <n v="0"/>
    <x v="1"/>
  </r>
  <r>
    <x v="0"/>
    <s v="Egypt"/>
    <x v="19"/>
    <x v="93"/>
    <x v="93"/>
    <m/>
    <m/>
    <s v="Break 30 Night"/>
    <d v="1899-12-30T21:30:00"/>
    <d v="1899-12-30T22:00:00"/>
    <n v="0"/>
    <x v="1"/>
  </r>
  <r>
    <x v="0"/>
    <s v="Egypt"/>
    <x v="19"/>
    <x v="93"/>
    <x v="93"/>
    <d v="2025-06-12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9:00:00"/>
    <d v="1899-12-30T19:15:00"/>
    <n v="0"/>
    <x v="1"/>
  </r>
  <r>
    <x v="0"/>
    <s v="Egypt"/>
    <x v="19"/>
    <x v="93"/>
    <x v="93"/>
    <m/>
    <m/>
    <s v="Break 30 Night"/>
    <d v="1899-12-30T22:00:00"/>
    <d v="1899-12-30T22:30:00"/>
    <n v="0"/>
    <x v="1"/>
  </r>
  <r>
    <x v="0"/>
    <s v="Egypt"/>
    <x v="19"/>
    <x v="93"/>
    <x v="93"/>
    <d v="2025-06-13T00:00:00"/>
    <m/>
    <s v="Day Off"/>
    <m/>
    <m/>
    <n v="0"/>
    <x v="1"/>
  </r>
  <r>
    <x v="0"/>
    <s v="Egypt"/>
    <x v="19"/>
    <x v="93"/>
    <x v="93"/>
    <d v="2025-06-14T00:00:00"/>
    <m/>
    <s v="Day Off"/>
    <m/>
    <m/>
    <n v="0"/>
    <x v="1"/>
  </r>
  <r>
    <x v="0"/>
    <s v="Egypt"/>
    <x v="19"/>
    <x v="93"/>
    <x v="93"/>
    <d v="2025-06-15T00:00:00"/>
    <d v="1899-12-30T08:15:00"/>
    <s v="Annual"/>
    <m/>
    <m/>
    <n v="29700"/>
    <x v="1"/>
  </r>
  <r>
    <x v="0"/>
    <s v="Egypt"/>
    <x v="19"/>
    <x v="93"/>
    <x v="93"/>
    <d v="2025-06-16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9:00:00"/>
    <d v="1899-12-30T19:15:00"/>
    <n v="0"/>
    <x v="1"/>
  </r>
  <r>
    <x v="0"/>
    <s v="Egypt"/>
    <x v="19"/>
    <x v="93"/>
    <x v="93"/>
    <m/>
    <m/>
    <s v="Break 30 Night"/>
    <d v="1899-12-30T22:00:00"/>
    <d v="1899-12-30T22:30:00"/>
    <n v="0"/>
    <x v="1"/>
  </r>
  <r>
    <x v="0"/>
    <s v="Egypt"/>
    <x v="19"/>
    <x v="93"/>
    <x v="93"/>
    <d v="2025-06-17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8:45:00"/>
    <d v="1899-12-30T19:00:00"/>
    <n v="0"/>
    <x v="1"/>
  </r>
  <r>
    <x v="0"/>
    <s v="Egypt"/>
    <x v="19"/>
    <x v="93"/>
    <x v="93"/>
    <m/>
    <m/>
    <s v="Break 30 Night"/>
    <d v="1899-12-30T22:00:00"/>
    <d v="1899-12-30T22:30:00"/>
    <n v="0"/>
    <x v="1"/>
  </r>
  <r>
    <x v="0"/>
    <s v="Egypt"/>
    <x v="19"/>
    <x v="93"/>
    <x v="93"/>
    <d v="2025-06-18T00:00:00"/>
    <d v="1899-12-30T08:15:00"/>
    <s v="Annual Exception"/>
    <m/>
    <m/>
    <n v="29700"/>
    <x v="1"/>
  </r>
  <r>
    <x v="0"/>
    <s v="Egypt"/>
    <x v="19"/>
    <x v="93"/>
    <x v="93"/>
    <d v="2025-06-19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9:00:00"/>
    <d v="1899-12-30T19:15:00"/>
    <n v="0"/>
    <x v="1"/>
  </r>
  <r>
    <x v="0"/>
    <s v="Egypt"/>
    <x v="19"/>
    <x v="93"/>
    <x v="93"/>
    <m/>
    <m/>
    <s v="Break 30 Night"/>
    <d v="1899-12-30T21:45:00"/>
    <d v="1899-12-30T22:15:00"/>
    <n v="0"/>
    <x v="1"/>
  </r>
  <r>
    <x v="0"/>
    <s v="Egypt"/>
    <x v="19"/>
    <x v="93"/>
    <x v="93"/>
    <d v="2025-06-20T00:00:00"/>
    <m/>
    <s v="Day Off"/>
    <m/>
    <m/>
    <n v="0"/>
    <x v="1"/>
  </r>
  <r>
    <x v="0"/>
    <s v="Egypt"/>
    <x v="19"/>
    <x v="93"/>
    <x v="93"/>
    <d v="2025-06-21T00:00:00"/>
    <m/>
    <s v="Day Off"/>
    <m/>
    <m/>
    <n v="0"/>
    <x v="1"/>
  </r>
  <r>
    <x v="0"/>
    <s v="Egypt"/>
    <x v="19"/>
    <x v="93"/>
    <x v="93"/>
    <d v="2025-06-22T00:00:00"/>
    <d v="1899-12-30T11:15:00"/>
    <s v="Non Telecom"/>
    <d v="1899-12-30T16:15:00"/>
    <s v="+3:30 AM"/>
    <n v="40500"/>
    <x v="0"/>
  </r>
  <r>
    <x v="0"/>
    <s v="Egypt"/>
    <x v="19"/>
    <x v="93"/>
    <x v="93"/>
    <m/>
    <m/>
    <s v="Break 15 Night"/>
    <d v="1899-12-30T19:00:00"/>
    <d v="1899-12-30T19:15:00"/>
    <n v="0"/>
    <x v="1"/>
  </r>
  <r>
    <x v="0"/>
    <s v="Egypt"/>
    <x v="19"/>
    <x v="93"/>
    <x v="93"/>
    <m/>
    <m/>
    <s v="Break 30 Night"/>
    <d v="1899-12-30T22:15:00"/>
    <d v="1899-12-30T22:45:00"/>
    <n v="0"/>
    <x v="1"/>
  </r>
  <r>
    <x v="0"/>
    <s v="Egypt"/>
    <x v="19"/>
    <x v="93"/>
    <x v="93"/>
    <m/>
    <m/>
    <s v="Shift Move"/>
    <s v="+12:30 AM"/>
    <s v="+3:30 AM"/>
    <n v="0"/>
    <x v="1"/>
  </r>
  <r>
    <x v="0"/>
    <s v="Egypt"/>
    <x v="19"/>
    <x v="93"/>
    <x v="93"/>
    <d v="2025-06-23T00:00:00"/>
    <d v="1899-12-30T08:15:00"/>
    <s v="Non Telecom"/>
    <d v="1899-12-30T19:15:00"/>
    <s v="+3:30 AM"/>
    <n v="29700"/>
    <x v="0"/>
  </r>
  <r>
    <x v="0"/>
    <s v="Egypt"/>
    <x v="19"/>
    <x v="93"/>
    <x v="93"/>
    <m/>
    <m/>
    <s v="Break 15 Night"/>
    <d v="1899-12-30T22:00:00"/>
    <d v="1899-12-30T22:15:00"/>
    <n v="0"/>
    <x v="1"/>
  </r>
  <r>
    <x v="0"/>
    <s v="Egypt"/>
    <x v="19"/>
    <x v="93"/>
    <x v="93"/>
    <m/>
    <m/>
    <s v="Break 30 Night"/>
    <s v="+12:45 AM"/>
    <s v="+1:15 AM"/>
    <n v="0"/>
    <x v="1"/>
  </r>
  <r>
    <x v="0"/>
    <s v="Egypt"/>
    <x v="19"/>
    <x v="93"/>
    <x v="93"/>
    <d v="2025-06-24T00:00:00"/>
    <d v="1899-12-30T08:15:00"/>
    <s v="Non Telecom"/>
    <d v="1899-12-30T19:15:00"/>
    <s v="+3:30 AM"/>
    <n v="29700"/>
    <x v="0"/>
  </r>
  <r>
    <x v="0"/>
    <s v="Egypt"/>
    <x v="19"/>
    <x v="93"/>
    <x v="93"/>
    <m/>
    <m/>
    <s v="Break 15 Night"/>
    <d v="1899-12-30T22:30:00"/>
    <d v="1899-12-30T22:45:00"/>
    <n v="0"/>
    <x v="1"/>
  </r>
  <r>
    <x v="0"/>
    <s v="Egypt"/>
    <x v="19"/>
    <x v="93"/>
    <x v="93"/>
    <m/>
    <m/>
    <s v="Break 30 Night"/>
    <s v="+1:00 AM"/>
    <s v="+1:30 AM"/>
    <n v="0"/>
    <x v="1"/>
  </r>
  <r>
    <x v="0"/>
    <s v="Egypt"/>
    <x v="19"/>
    <x v="93"/>
    <x v="93"/>
    <m/>
    <m/>
    <s v="Leave Early"/>
    <s v="+1:30 AM"/>
    <s v="+3:30 AM"/>
    <n v="0"/>
    <x v="1"/>
  </r>
  <r>
    <x v="0"/>
    <s v="Egypt"/>
    <x v="19"/>
    <x v="93"/>
    <x v="93"/>
    <d v="2025-06-25T00:00:00"/>
    <m/>
    <s v="Day Off"/>
    <m/>
    <m/>
    <n v="0"/>
    <x v="1"/>
  </r>
  <r>
    <x v="0"/>
    <s v="Egypt"/>
    <x v="19"/>
    <x v="93"/>
    <x v="93"/>
    <d v="2025-06-26T00:00:00"/>
    <m/>
    <s v="Day Off"/>
    <m/>
    <m/>
    <n v="0"/>
    <x v="1"/>
  </r>
  <r>
    <x v="0"/>
    <s v="Egypt"/>
    <x v="19"/>
    <x v="93"/>
    <x v="93"/>
    <d v="2025-06-27T00:00:00"/>
    <d v="1899-12-30T08:15:00"/>
    <s v="Annual Exception"/>
    <m/>
    <m/>
    <n v="29700"/>
    <x v="1"/>
  </r>
  <r>
    <x v="0"/>
    <s v="Egypt"/>
    <x v="19"/>
    <x v="93"/>
    <x v="93"/>
    <d v="2025-06-28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9:00:00"/>
    <d v="1899-12-30T19:15:00"/>
    <n v="0"/>
    <x v="1"/>
  </r>
  <r>
    <x v="0"/>
    <s v="Egypt"/>
    <x v="19"/>
    <x v="93"/>
    <x v="93"/>
    <m/>
    <m/>
    <s v="Break 30 Night"/>
    <d v="1899-12-30T22:00:00"/>
    <d v="1899-12-30T22:30:00"/>
    <n v="0"/>
    <x v="1"/>
  </r>
  <r>
    <x v="0"/>
    <s v="Egypt"/>
    <x v="19"/>
    <x v="93"/>
    <x v="93"/>
    <d v="2025-06-29T00:00:00"/>
    <d v="1899-12-30T11:30:00"/>
    <s v="Non Telecom"/>
    <d v="1899-12-30T13:00:00"/>
    <s v="+12:30 AM"/>
    <n v="41400"/>
    <x v="0"/>
  </r>
  <r>
    <x v="0"/>
    <s v="Egypt"/>
    <x v="19"/>
    <x v="93"/>
    <x v="93"/>
    <m/>
    <m/>
    <s v="Break 15 Night"/>
    <d v="1899-12-30T15:30:00"/>
    <d v="1899-12-30T15:45:00"/>
    <n v="0"/>
    <x v="1"/>
  </r>
  <r>
    <x v="0"/>
    <s v="Egypt"/>
    <x v="19"/>
    <x v="93"/>
    <x v="93"/>
    <m/>
    <m/>
    <s v="Break 30 Night"/>
    <d v="1899-12-30T18:15:00"/>
    <d v="1899-12-30T18:45:00"/>
    <n v="0"/>
    <x v="1"/>
  </r>
  <r>
    <x v="0"/>
    <s v="Egypt"/>
    <x v="19"/>
    <x v="93"/>
    <x v="93"/>
    <m/>
    <m/>
    <s v="Shift Move"/>
    <d v="1899-12-30T21:15:00"/>
    <s v="+12:30 AM"/>
    <n v="0"/>
    <x v="1"/>
  </r>
  <r>
    <x v="0"/>
    <s v="Egypt"/>
    <x v="19"/>
    <x v="93"/>
    <x v="93"/>
    <d v="2025-06-30T00:00:00"/>
    <d v="1899-12-30T08:15:00"/>
    <s v="Non Telecom"/>
    <d v="1899-12-30T16:15:00"/>
    <s v="+12:30 AM"/>
    <n v="29700"/>
    <x v="0"/>
  </r>
  <r>
    <x v="0"/>
    <s v="Egypt"/>
    <x v="19"/>
    <x v="93"/>
    <x v="93"/>
    <m/>
    <m/>
    <s v="Break 15 Night"/>
    <d v="1899-12-30T19:15:00"/>
    <d v="1899-12-30T19:30:00"/>
    <n v="0"/>
    <x v="1"/>
  </r>
  <r>
    <x v="0"/>
    <s v="Egypt"/>
    <x v="19"/>
    <x v="93"/>
    <x v="93"/>
    <m/>
    <m/>
    <s v="Break 30 Night"/>
    <d v="1899-12-30T22:30:00"/>
    <d v="1899-12-30T23:00:00"/>
    <n v="0"/>
    <x v="1"/>
  </r>
  <r>
    <x v="0"/>
    <s v="Egypt"/>
    <x v="19"/>
    <x v="94"/>
    <x v="94"/>
    <d v="2025-06-01T00:00:00"/>
    <d v="1899-12-30T08:15:00"/>
    <s v="Annual Exception"/>
    <m/>
    <m/>
    <n v="29700"/>
    <x v="1"/>
  </r>
  <r>
    <x v="0"/>
    <s v="Egypt"/>
    <x v="19"/>
    <x v="94"/>
    <x v="94"/>
    <d v="2025-06-02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1:45:00"/>
    <d v="1899-12-30T22:00:00"/>
    <n v="0"/>
    <x v="1"/>
  </r>
  <r>
    <x v="0"/>
    <s v="Egypt"/>
    <x v="19"/>
    <x v="94"/>
    <x v="94"/>
    <m/>
    <m/>
    <s v="Break 30 Night"/>
    <s v="+1:15 AM"/>
    <s v="+1:45 AM"/>
    <n v="0"/>
    <x v="1"/>
  </r>
  <r>
    <x v="0"/>
    <s v="Egypt"/>
    <x v="19"/>
    <x v="94"/>
    <x v="94"/>
    <d v="2025-06-03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30:00"/>
    <d v="1899-12-30T22:45:00"/>
    <n v="0"/>
    <x v="1"/>
  </r>
  <r>
    <x v="0"/>
    <s v="Egypt"/>
    <x v="19"/>
    <x v="94"/>
    <x v="94"/>
    <m/>
    <m/>
    <s v="Break 30 Night"/>
    <s v="+1:45 AM"/>
    <s v="+2:15 AM"/>
    <n v="0"/>
    <x v="1"/>
  </r>
  <r>
    <x v="0"/>
    <s v="Egypt"/>
    <x v="19"/>
    <x v="94"/>
    <x v="94"/>
    <d v="2025-06-04T00:00:00"/>
    <m/>
    <s v="Day Off"/>
    <m/>
    <m/>
    <n v="0"/>
    <x v="1"/>
  </r>
  <r>
    <x v="0"/>
    <s v="Egypt"/>
    <x v="19"/>
    <x v="94"/>
    <x v="94"/>
    <d v="2025-06-05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45:00"/>
    <d v="1899-12-30T23:00:00"/>
    <n v="0"/>
    <x v="1"/>
  </r>
  <r>
    <x v="0"/>
    <s v="Egypt"/>
    <x v="19"/>
    <x v="94"/>
    <x v="94"/>
    <m/>
    <m/>
    <s v="Break 30 Night"/>
    <s v="+1:45 AM"/>
    <s v="+2:15 AM"/>
    <n v="0"/>
    <x v="1"/>
  </r>
  <r>
    <x v="0"/>
    <s v="Egypt"/>
    <x v="19"/>
    <x v="94"/>
    <x v="94"/>
    <d v="2025-06-06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1:30:00"/>
    <d v="1899-12-30T21:45:00"/>
    <n v="0"/>
    <x v="1"/>
  </r>
  <r>
    <x v="0"/>
    <s v="Egypt"/>
    <x v="19"/>
    <x v="94"/>
    <x v="94"/>
    <m/>
    <m/>
    <s v="Break 30 Night"/>
    <s v="+12:15 AM"/>
    <s v="+12:45 AM"/>
    <n v="0"/>
    <x v="1"/>
  </r>
  <r>
    <x v="0"/>
    <s v="Egypt"/>
    <x v="19"/>
    <x v="94"/>
    <x v="94"/>
    <d v="2025-06-07T00:00:00"/>
    <m/>
    <s v="Day Off"/>
    <m/>
    <m/>
    <n v="0"/>
    <x v="1"/>
  </r>
  <r>
    <x v="0"/>
    <s v="Egypt"/>
    <x v="19"/>
    <x v="94"/>
    <x v="94"/>
    <d v="2025-06-08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8:30:00"/>
    <d v="1899-12-30T18:45:00"/>
    <n v="0"/>
    <x v="1"/>
  </r>
  <r>
    <x v="0"/>
    <s v="Egypt"/>
    <x v="19"/>
    <x v="94"/>
    <x v="94"/>
    <m/>
    <m/>
    <s v="Break 30 Night"/>
    <d v="1899-12-30T21:45:00"/>
    <d v="1899-12-30T22:15:00"/>
    <n v="0"/>
    <x v="1"/>
  </r>
  <r>
    <x v="0"/>
    <s v="Egypt"/>
    <x v="19"/>
    <x v="94"/>
    <x v="94"/>
    <d v="2025-06-09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8:30:00"/>
    <d v="1899-12-30T18:45:00"/>
    <n v="0"/>
    <x v="1"/>
  </r>
  <r>
    <x v="0"/>
    <s v="Egypt"/>
    <x v="19"/>
    <x v="94"/>
    <x v="94"/>
    <m/>
    <m/>
    <s v="Break 30 Night"/>
    <d v="1899-12-30T21:30:00"/>
    <d v="1899-12-30T22:00:00"/>
    <n v="0"/>
    <x v="1"/>
  </r>
  <r>
    <x v="0"/>
    <s v="Egypt"/>
    <x v="19"/>
    <x v="94"/>
    <x v="94"/>
    <d v="2025-06-10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8:30:00"/>
    <d v="1899-12-30T18:45:00"/>
    <n v="0"/>
    <x v="1"/>
  </r>
  <r>
    <x v="0"/>
    <s v="Egypt"/>
    <x v="19"/>
    <x v="94"/>
    <x v="94"/>
    <m/>
    <m/>
    <s v="Break 30 Night"/>
    <d v="1899-12-30T21:30:00"/>
    <d v="1899-12-30T22:00:00"/>
    <n v="0"/>
    <x v="1"/>
  </r>
  <r>
    <x v="0"/>
    <s v="Egypt"/>
    <x v="19"/>
    <x v="94"/>
    <x v="94"/>
    <d v="2025-06-11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8:45:00"/>
    <d v="1899-12-30T19:00:00"/>
    <n v="0"/>
    <x v="1"/>
  </r>
  <r>
    <x v="0"/>
    <s v="Egypt"/>
    <x v="19"/>
    <x v="94"/>
    <x v="94"/>
    <m/>
    <m/>
    <s v="Break 30 Night"/>
    <d v="1899-12-30T22:00:00"/>
    <d v="1899-12-30T22:30:00"/>
    <n v="0"/>
    <x v="1"/>
  </r>
  <r>
    <x v="0"/>
    <s v="Egypt"/>
    <x v="19"/>
    <x v="94"/>
    <x v="94"/>
    <d v="2025-06-12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9:15:00"/>
    <d v="1899-12-30T19:30:00"/>
    <n v="0"/>
    <x v="1"/>
  </r>
  <r>
    <x v="0"/>
    <s v="Egypt"/>
    <x v="19"/>
    <x v="94"/>
    <x v="94"/>
    <m/>
    <m/>
    <s v="Break 30 Night"/>
    <d v="1899-12-30T22:00:00"/>
    <d v="1899-12-30T22:30:00"/>
    <n v="0"/>
    <x v="1"/>
  </r>
  <r>
    <x v="0"/>
    <s v="Egypt"/>
    <x v="19"/>
    <x v="94"/>
    <x v="94"/>
    <d v="2025-06-13T00:00:00"/>
    <m/>
    <s v="Day Off"/>
    <m/>
    <m/>
    <n v="0"/>
    <x v="1"/>
  </r>
  <r>
    <x v="0"/>
    <s v="Egypt"/>
    <x v="19"/>
    <x v="94"/>
    <x v="94"/>
    <d v="2025-06-14T00:00:00"/>
    <m/>
    <s v="Day Off"/>
    <m/>
    <m/>
    <n v="0"/>
    <x v="1"/>
  </r>
  <r>
    <x v="0"/>
    <s v="Egypt"/>
    <x v="19"/>
    <x v="94"/>
    <x v="94"/>
    <d v="2025-06-15T00:00:00"/>
    <d v="1899-12-30T08:15:00"/>
    <s v="Annual Exception"/>
    <m/>
    <m/>
    <n v="29700"/>
    <x v="1"/>
  </r>
  <r>
    <x v="0"/>
    <s v="Egypt"/>
    <x v="19"/>
    <x v="94"/>
    <x v="94"/>
    <d v="2025-06-16T00:00:00"/>
    <d v="1899-12-30T08:15:00"/>
    <s v="Non Telecom"/>
    <d v="1899-12-30T17:15:00"/>
    <s v="+1:30 AM"/>
    <n v="29700"/>
    <x v="0"/>
  </r>
  <r>
    <x v="0"/>
    <s v="Egypt"/>
    <x v="19"/>
    <x v="94"/>
    <x v="94"/>
    <m/>
    <m/>
    <s v="Break 15 Night"/>
    <d v="1899-12-30T20:45:00"/>
    <d v="1899-12-30T21:00:00"/>
    <n v="0"/>
    <x v="1"/>
  </r>
  <r>
    <x v="0"/>
    <s v="Egypt"/>
    <x v="19"/>
    <x v="94"/>
    <x v="94"/>
    <m/>
    <m/>
    <s v="Break 30 Night"/>
    <d v="1899-12-30T23:30:00"/>
    <s v="+12:00 AM"/>
    <n v="0"/>
    <x v="1"/>
  </r>
  <r>
    <x v="0"/>
    <s v="Egypt"/>
    <x v="19"/>
    <x v="94"/>
    <x v="94"/>
    <d v="2025-06-17T00:00:00"/>
    <d v="1899-12-30T08:15:00"/>
    <s v="Non Telecom"/>
    <d v="1899-12-30T17:15:00"/>
    <s v="+1:30 AM"/>
    <n v="29700"/>
    <x v="0"/>
  </r>
  <r>
    <x v="0"/>
    <s v="Egypt"/>
    <x v="19"/>
    <x v="94"/>
    <x v="94"/>
    <m/>
    <m/>
    <s v="Break 15 Night"/>
    <d v="1899-12-30T20:45:00"/>
    <d v="1899-12-30T21:00:00"/>
    <n v="0"/>
    <x v="1"/>
  </r>
  <r>
    <x v="0"/>
    <s v="Egypt"/>
    <x v="19"/>
    <x v="94"/>
    <x v="94"/>
    <m/>
    <m/>
    <s v="Break 30 Night"/>
    <d v="1899-12-30T23:30:00"/>
    <s v="+12:00 AM"/>
    <n v="0"/>
    <x v="1"/>
  </r>
  <r>
    <x v="0"/>
    <s v="Egypt"/>
    <x v="19"/>
    <x v="94"/>
    <x v="94"/>
    <d v="2025-06-18T00:00:00"/>
    <d v="1899-12-30T08:15:00"/>
    <s v="Annual Exception"/>
    <m/>
    <m/>
    <n v="29700"/>
    <x v="1"/>
  </r>
  <r>
    <x v="0"/>
    <s v="Egypt"/>
    <x v="19"/>
    <x v="94"/>
    <x v="94"/>
    <d v="2025-06-19T00:00:00"/>
    <d v="1899-12-30T08:15:00"/>
    <s v="Annual Exception"/>
    <m/>
    <m/>
    <n v="29700"/>
    <x v="1"/>
  </r>
  <r>
    <x v="0"/>
    <s v="Egypt"/>
    <x v="19"/>
    <x v="94"/>
    <x v="94"/>
    <d v="2025-06-20T00:00:00"/>
    <m/>
    <s v="Day Off"/>
    <m/>
    <m/>
    <n v="0"/>
    <x v="1"/>
  </r>
  <r>
    <x v="0"/>
    <s v="Egypt"/>
    <x v="19"/>
    <x v="94"/>
    <x v="94"/>
    <d v="2025-06-21T00:00:00"/>
    <m/>
    <s v="Day Off"/>
    <m/>
    <m/>
    <n v="0"/>
    <x v="1"/>
  </r>
  <r>
    <x v="0"/>
    <s v="Egypt"/>
    <x v="19"/>
    <x v="94"/>
    <x v="94"/>
    <d v="2025-06-22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15:00"/>
    <d v="1899-12-30T22:30:00"/>
    <n v="0"/>
    <x v="1"/>
  </r>
  <r>
    <x v="0"/>
    <s v="Egypt"/>
    <x v="19"/>
    <x v="94"/>
    <x v="94"/>
    <m/>
    <m/>
    <s v="Break 30 Night"/>
    <s v="+12:45 AM"/>
    <s v="+1:15 AM"/>
    <n v="0"/>
    <x v="1"/>
  </r>
  <r>
    <x v="0"/>
    <s v="Egypt"/>
    <x v="19"/>
    <x v="94"/>
    <x v="94"/>
    <d v="2025-06-23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15:00"/>
    <d v="1899-12-30T22:30:00"/>
    <n v="0"/>
    <x v="1"/>
  </r>
  <r>
    <x v="0"/>
    <s v="Egypt"/>
    <x v="19"/>
    <x v="94"/>
    <x v="94"/>
    <m/>
    <m/>
    <s v="Break 30 Night"/>
    <s v="+1:15 AM"/>
    <s v="+1:45 AM"/>
    <n v="0"/>
    <x v="1"/>
  </r>
  <r>
    <x v="0"/>
    <s v="Egypt"/>
    <x v="19"/>
    <x v="94"/>
    <x v="94"/>
    <d v="2025-06-24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30:00"/>
    <d v="1899-12-30T22:45:00"/>
    <n v="0"/>
    <x v="1"/>
  </r>
  <r>
    <x v="0"/>
    <s v="Egypt"/>
    <x v="19"/>
    <x v="94"/>
    <x v="94"/>
    <m/>
    <m/>
    <s v="Break 30 Night"/>
    <s v="+1:00 AM"/>
    <s v="+1:30 AM"/>
    <n v="0"/>
    <x v="1"/>
  </r>
  <r>
    <x v="0"/>
    <s v="Egypt"/>
    <x v="19"/>
    <x v="94"/>
    <x v="94"/>
    <d v="2025-06-25T00:00:00"/>
    <d v="1899-12-30T08:15:00"/>
    <s v="Non Telecom"/>
    <d v="1899-12-30T19:15:00"/>
    <s v="+3:30 AM"/>
    <n v="29700"/>
    <x v="0"/>
  </r>
  <r>
    <x v="0"/>
    <s v="Egypt"/>
    <x v="19"/>
    <x v="94"/>
    <x v="94"/>
    <m/>
    <m/>
    <s v="Break 15 Night"/>
    <d v="1899-12-30T22:15:00"/>
    <d v="1899-12-30T22:30:00"/>
    <n v="0"/>
    <x v="1"/>
  </r>
  <r>
    <x v="0"/>
    <s v="Egypt"/>
    <x v="19"/>
    <x v="94"/>
    <x v="94"/>
    <m/>
    <m/>
    <s v="Break 30 Night"/>
    <s v="+1:30 AM"/>
    <s v="+2:00 AM"/>
    <n v="0"/>
    <x v="1"/>
  </r>
  <r>
    <x v="0"/>
    <s v="Egypt"/>
    <x v="19"/>
    <x v="94"/>
    <x v="94"/>
    <d v="2025-06-26T00:00:00"/>
    <m/>
    <s v="Day Off"/>
    <m/>
    <m/>
    <n v="0"/>
    <x v="1"/>
  </r>
  <r>
    <x v="0"/>
    <s v="Egypt"/>
    <x v="19"/>
    <x v="94"/>
    <x v="94"/>
    <d v="2025-06-27T00:00:00"/>
    <m/>
    <s v="Day Off"/>
    <m/>
    <m/>
    <n v="0"/>
    <x v="1"/>
  </r>
  <r>
    <x v="0"/>
    <s v="Egypt"/>
    <x v="19"/>
    <x v="94"/>
    <x v="94"/>
    <d v="2025-06-28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9:15:00"/>
    <d v="1899-12-30T19:30:00"/>
    <n v="0"/>
    <x v="1"/>
  </r>
  <r>
    <x v="0"/>
    <s v="Egypt"/>
    <x v="19"/>
    <x v="94"/>
    <x v="94"/>
    <m/>
    <m/>
    <s v="Break 30 Night"/>
    <d v="1899-12-30T22:30:00"/>
    <d v="1899-12-30T23:00:00"/>
    <n v="0"/>
    <x v="1"/>
  </r>
  <r>
    <x v="0"/>
    <s v="Egypt"/>
    <x v="19"/>
    <x v="94"/>
    <x v="94"/>
    <d v="2025-06-29T00:00:00"/>
    <d v="1899-12-30T08:15:00"/>
    <s v="Non Telecom"/>
    <d v="1899-12-30T16:15:00"/>
    <s v="+12:30 AM"/>
    <n v="29700"/>
    <x v="0"/>
  </r>
  <r>
    <x v="0"/>
    <s v="Egypt"/>
    <x v="19"/>
    <x v="94"/>
    <x v="94"/>
    <m/>
    <m/>
    <s v="Break 15 Night"/>
    <d v="1899-12-30T19:00:00"/>
    <d v="1899-12-30T19:15:00"/>
    <n v="0"/>
    <x v="1"/>
  </r>
  <r>
    <x v="0"/>
    <s v="Egypt"/>
    <x v="19"/>
    <x v="94"/>
    <x v="94"/>
    <m/>
    <m/>
    <s v="Break 30 Night"/>
    <d v="1899-12-30T22:00:00"/>
    <d v="1899-12-30T22:30:00"/>
    <n v="0"/>
    <x v="1"/>
  </r>
  <r>
    <x v="0"/>
    <s v="Egypt"/>
    <x v="19"/>
    <x v="94"/>
    <x v="94"/>
    <d v="2025-06-30T00:00:00"/>
    <d v="1899-12-30T08:15:00"/>
    <s v="Annual Exception"/>
    <m/>
    <m/>
    <n v="29700"/>
    <x v="1"/>
  </r>
  <r>
    <x v="0"/>
    <s v="Egypt"/>
    <x v="20"/>
    <x v="95"/>
    <x v="95"/>
    <d v="2025-06-01T00:00:00"/>
    <m/>
    <s v="Day Off"/>
    <m/>
    <m/>
    <n v="0"/>
    <x v="1"/>
  </r>
  <r>
    <x v="0"/>
    <s v="Egypt"/>
    <x v="20"/>
    <x v="95"/>
    <x v="95"/>
    <d v="2025-06-02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03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00:00"/>
    <d v="1899-12-30T02:30:00"/>
    <n v="0"/>
    <x v="1"/>
  </r>
  <r>
    <x v="0"/>
    <s v="Egypt"/>
    <x v="20"/>
    <x v="95"/>
    <x v="95"/>
    <m/>
    <m/>
    <s v="Break 15 Night"/>
    <d v="1899-12-30T05:00:00"/>
    <d v="1899-12-30T05:15:00"/>
    <n v="0"/>
    <x v="1"/>
  </r>
  <r>
    <x v="0"/>
    <s v="Egypt"/>
    <x v="20"/>
    <x v="95"/>
    <x v="95"/>
    <d v="2025-06-04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15 Night"/>
    <d v="1899-12-30T01:00:00"/>
    <d v="1899-12-30T01:15:00"/>
    <n v="0"/>
    <x v="1"/>
  </r>
  <r>
    <x v="0"/>
    <s v="Egypt"/>
    <x v="20"/>
    <x v="95"/>
    <x v="95"/>
    <m/>
    <m/>
    <s v="Break 30 Night"/>
    <d v="1899-12-30T04:15:00"/>
    <d v="1899-12-30T04:45:00"/>
    <n v="0"/>
    <x v="1"/>
  </r>
  <r>
    <x v="0"/>
    <s v="Egypt"/>
    <x v="20"/>
    <x v="95"/>
    <x v="95"/>
    <d v="2025-06-05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3:00:00"/>
    <d v="1899-12-30T03:30:00"/>
    <n v="0"/>
    <x v="1"/>
  </r>
  <r>
    <x v="0"/>
    <s v="Egypt"/>
    <x v="20"/>
    <x v="95"/>
    <x v="95"/>
    <m/>
    <m/>
    <s v="Break 15 Night"/>
    <d v="1899-12-30T05:45:00"/>
    <d v="1899-12-30T06:00:00"/>
    <n v="0"/>
    <x v="1"/>
  </r>
  <r>
    <x v="0"/>
    <s v="Egypt"/>
    <x v="20"/>
    <x v="95"/>
    <x v="95"/>
    <d v="2025-06-06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07T00:00:00"/>
    <m/>
    <s v="Day Off"/>
    <m/>
    <m/>
    <n v="0"/>
    <x v="1"/>
  </r>
  <r>
    <x v="0"/>
    <s v="Egypt"/>
    <x v="20"/>
    <x v="95"/>
    <x v="95"/>
    <d v="2025-06-08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09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10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15:00"/>
    <d v="1899-12-30T02:45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11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12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5:00:00"/>
    <d v="1899-12-30T05:15:00"/>
    <n v="0"/>
    <x v="1"/>
  </r>
  <r>
    <x v="0"/>
    <s v="Egypt"/>
    <x v="20"/>
    <x v="95"/>
    <x v="95"/>
    <d v="2025-06-13T00:00:00"/>
    <m/>
    <s v="Day Off"/>
    <m/>
    <m/>
    <n v="0"/>
    <x v="1"/>
  </r>
  <r>
    <x v="0"/>
    <s v="Egypt"/>
    <x v="20"/>
    <x v="95"/>
    <x v="95"/>
    <d v="2025-06-14T00:00:00"/>
    <m/>
    <s v="Day Off"/>
    <m/>
    <m/>
    <n v="0"/>
    <x v="1"/>
  </r>
  <r>
    <x v="0"/>
    <s v="Egypt"/>
    <x v="20"/>
    <x v="95"/>
    <x v="95"/>
    <d v="2025-06-15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6:00:00"/>
    <d v="1899-12-30T06:15:00"/>
    <n v="0"/>
    <x v="1"/>
  </r>
  <r>
    <x v="0"/>
    <s v="Egypt"/>
    <x v="20"/>
    <x v="95"/>
    <x v="95"/>
    <d v="2025-06-16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17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45:00"/>
    <d v="1899-12-30T03:15:00"/>
    <n v="0"/>
    <x v="1"/>
  </r>
  <r>
    <x v="0"/>
    <s v="Egypt"/>
    <x v="20"/>
    <x v="95"/>
    <x v="95"/>
    <m/>
    <m/>
    <s v="Break 15 Night"/>
    <d v="1899-12-30T05:00:00"/>
    <d v="1899-12-30T05:15:00"/>
    <n v="0"/>
    <x v="1"/>
  </r>
  <r>
    <x v="0"/>
    <s v="Egypt"/>
    <x v="20"/>
    <x v="95"/>
    <x v="95"/>
    <d v="2025-06-18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00:00"/>
    <d v="1899-12-30T02:30:00"/>
    <n v="0"/>
    <x v="1"/>
  </r>
  <r>
    <x v="0"/>
    <s v="Egypt"/>
    <x v="20"/>
    <x v="95"/>
    <x v="95"/>
    <m/>
    <m/>
    <s v="Break 15 Night"/>
    <d v="1899-12-30T04:30:00"/>
    <d v="1899-12-30T04:45:00"/>
    <n v="0"/>
    <x v="1"/>
  </r>
  <r>
    <x v="0"/>
    <s v="Egypt"/>
    <x v="20"/>
    <x v="95"/>
    <x v="95"/>
    <d v="2025-06-19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5:30:00"/>
    <d v="1899-12-30T05:45:00"/>
    <n v="0"/>
    <x v="1"/>
  </r>
  <r>
    <x v="0"/>
    <s v="Egypt"/>
    <x v="20"/>
    <x v="95"/>
    <x v="95"/>
    <d v="2025-06-20T00:00:00"/>
    <m/>
    <s v="Day Off"/>
    <m/>
    <m/>
    <n v="0"/>
    <x v="1"/>
  </r>
  <r>
    <x v="0"/>
    <s v="Egypt"/>
    <x v="20"/>
    <x v="95"/>
    <x v="95"/>
    <d v="2025-06-21T00:00:00"/>
    <m/>
    <s v="Day Off"/>
    <m/>
    <m/>
    <n v="0"/>
    <x v="1"/>
  </r>
  <r>
    <x v="0"/>
    <s v="Egypt"/>
    <x v="20"/>
    <x v="95"/>
    <x v="95"/>
    <d v="2025-06-22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30:00"/>
    <d v="1899-12-30T04:45:00"/>
    <n v="0"/>
    <x v="1"/>
  </r>
  <r>
    <x v="0"/>
    <s v="Egypt"/>
    <x v="20"/>
    <x v="95"/>
    <x v="95"/>
    <d v="2025-06-23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30:00"/>
    <d v="1899-12-30T04:45:00"/>
    <n v="0"/>
    <x v="1"/>
  </r>
  <r>
    <x v="0"/>
    <s v="Egypt"/>
    <x v="20"/>
    <x v="95"/>
    <x v="95"/>
    <d v="2025-06-24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5"/>
    <x v="95"/>
    <d v="2025-06-25T00:00:00"/>
    <m/>
    <s v="Day Off"/>
    <m/>
    <m/>
    <n v="0"/>
    <x v="1"/>
  </r>
  <r>
    <x v="0"/>
    <s v="Egypt"/>
    <x v="20"/>
    <x v="95"/>
    <x v="95"/>
    <d v="2025-06-26T00:00:00"/>
    <m/>
    <s v="Day Off"/>
    <m/>
    <m/>
    <n v="0"/>
    <x v="1"/>
  </r>
  <r>
    <x v="0"/>
    <s v="Egypt"/>
    <x v="20"/>
    <x v="95"/>
    <x v="95"/>
    <d v="2025-06-27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3:00:00"/>
    <d v="1899-12-30T03:30:00"/>
    <n v="0"/>
    <x v="1"/>
  </r>
  <r>
    <x v="0"/>
    <s v="Egypt"/>
    <x v="20"/>
    <x v="95"/>
    <x v="95"/>
    <m/>
    <m/>
    <s v="Break 15 Night"/>
    <d v="1899-12-30T05:00:00"/>
    <d v="1899-12-30T05:15:00"/>
    <n v="0"/>
    <x v="1"/>
  </r>
  <r>
    <x v="0"/>
    <s v="Egypt"/>
    <x v="20"/>
    <x v="95"/>
    <x v="95"/>
    <d v="2025-06-28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5:15:00"/>
    <d v="1899-12-30T05:30:00"/>
    <n v="0"/>
    <x v="1"/>
  </r>
  <r>
    <x v="0"/>
    <s v="Egypt"/>
    <x v="20"/>
    <x v="95"/>
    <x v="95"/>
    <d v="2025-06-29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5:45:00"/>
    <d v="1899-12-30T06:00:00"/>
    <n v="0"/>
    <x v="1"/>
  </r>
  <r>
    <x v="0"/>
    <s v="Egypt"/>
    <x v="20"/>
    <x v="95"/>
    <x v="95"/>
    <d v="2025-06-30T00:00:00"/>
    <d v="1899-12-30T08:15:00"/>
    <s v="Non Telecom"/>
    <d v="1899-12-30T00:00:00"/>
    <d v="1899-12-30T08:15:00"/>
    <n v="29700"/>
    <x v="0"/>
  </r>
  <r>
    <x v="0"/>
    <s v="Egypt"/>
    <x v="20"/>
    <x v="95"/>
    <x v="95"/>
    <m/>
    <m/>
    <s v="Break 30 Night"/>
    <d v="1899-12-30T02:30:00"/>
    <d v="1899-12-30T03:00:00"/>
    <n v="0"/>
    <x v="1"/>
  </r>
  <r>
    <x v="0"/>
    <s v="Egypt"/>
    <x v="20"/>
    <x v="95"/>
    <x v="95"/>
    <m/>
    <m/>
    <s v="Break 15 Night"/>
    <d v="1899-12-30T04:45:00"/>
    <d v="1899-12-30T05:00:00"/>
    <n v="0"/>
    <x v="1"/>
  </r>
  <r>
    <x v="0"/>
    <s v="Egypt"/>
    <x v="20"/>
    <x v="96"/>
    <x v="96"/>
    <d v="2025-06-01T00:00:00"/>
    <d v="1899-12-30T08:15:00"/>
    <s v="Annual Exception"/>
    <m/>
    <m/>
    <n v="29700"/>
    <x v="1"/>
  </r>
  <r>
    <x v="0"/>
    <s v="Egypt"/>
    <x v="20"/>
    <x v="96"/>
    <x v="96"/>
    <d v="2025-06-02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03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00:00"/>
    <d v="1899-12-30T02:30:00"/>
    <n v="0"/>
    <x v="1"/>
  </r>
  <r>
    <x v="0"/>
    <s v="Egypt"/>
    <x v="20"/>
    <x v="96"/>
    <x v="96"/>
    <m/>
    <m/>
    <s v="Break 15 Night"/>
    <d v="1899-12-30T04:45:00"/>
    <d v="1899-12-30T05:00:00"/>
    <n v="0"/>
    <x v="1"/>
  </r>
  <r>
    <x v="0"/>
    <s v="Egypt"/>
    <x v="20"/>
    <x v="96"/>
    <x v="96"/>
    <d v="2025-06-04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15 Night"/>
    <d v="1899-12-30T01:00:00"/>
    <d v="1899-12-30T01:15:00"/>
    <n v="0"/>
    <x v="1"/>
  </r>
  <r>
    <x v="0"/>
    <s v="Egypt"/>
    <x v="20"/>
    <x v="96"/>
    <x v="96"/>
    <m/>
    <m/>
    <s v="Break 30 Night"/>
    <d v="1899-12-30T04:00:00"/>
    <d v="1899-12-30T04:30:00"/>
    <n v="0"/>
    <x v="1"/>
  </r>
  <r>
    <x v="0"/>
    <s v="Egypt"/>
    <x v="20"/>
    <x v="96"/>
    <x v="96"/>
    <d v="2025-06-05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30:00"/>
    <d v="1899-12-30T03:00:00"/>
    <n v="0"/>
    <x v="1"/>
  </r>
  <r>
    <x v="0"/>
    <s v="Egypt"/>
    <x v="20"/>
    <x v="96"/>
    <x v="96"/>
    <m/>
    <m/>
    <s v="Break 15 Night"/>
    <d v="1899-12-30T06:00:00"/>
    <d v="1899-12-30T06:15:00"/>
    <n v="0"/>
    <x v="1"/>
  </r>
  <r>
    <x v="0"/>
    <s v="Egypt"/>
    <x v="20"/>
    <x v="96"/>
    <x v="96"/>
    <d v="2025-06-06T00:00:00"/>
    <m/>
    <s v="Day Off"/>
    <m/>
    <m/>
    <n v="0"/>
    <x v="1"/>
  </r>
  <r>
    <x v="0"/>
    <s v="Egypt"/>
    <x v="20"/>
    <x v="96"/>
    <x v="96"/>
    <d v="2025-06-07T00:00:00"/>
    <m/>
    <s v="Day Off"/>
    <m/>
    <m/>
    <n v="0"/>
    <x v="1"/>
  </r>
  <r>
    <x v="0"/>
    <s v="Egypt"/>
    <x v="20"/>
    <x v="96"/>
    <x v="96"/>
    <d v="2025-06-08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4:45:00"/>
    <d v="1899-12-30T05:00:00"/>
    <n v="0"/>
    <x v="1"/>
  </r>
  <r>
    <x v="0"/>
    <s v="Egypt"/>
    <x v="20"/>
    <x v="96"/>
    <x v="96"/>
    <d v="2025-06-09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10T00:00:00"/>
    <m/>
    <s v="Day Off"/>
    <m/>
    <m/>
    <n v="0"/>
    <x v="1"/>
  </r>
  <r>
    <x v="0"/>
    <s v="Egypt"/>
    <x v="20"/>
    <x v="96"/>
    <x v="96"/>
    <d v="2025-06-11T00:00:00"/>
    <m/>
    <s v="Day Off"/>
    <m/>
    <m/>
    <n v="0"/>
    <x v="1"/>
  </r>
  <r>
    <x v="0"/>
    <s v="Egypt"/>
    <x v="20"/>
    <x v="96"/>
    <x v="96"/>
    <d v="2025-06-12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13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30:00"/>
    <d v="1899-12-30T03:0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14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4:45:00"/>
    <d v="1899-12-30T05:00:00"/>
    <n v="0"/>
    <x v="1"/>
  </r>
  <r>
    <x v="0"/>
    <s v="Egypt"/>
    <x v="20"/>
    <x v="96"/>
    <x v="96"/>
    <d v="2025-06-15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45:00"/>
    <d v="1899-12-30T06:00:00"/>
    <n v="0"/>
    <x v="1"/>
  </r>
  <r>
    <x v="0"/>
    <s v="Egypt"/>
    <x v="20"/>
    <x v="96"/>
    <x v="96"/>
    <d v="2025-06-16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17T00:00:00"/>
    <m/>
    <s v="Day Off"/>
    <m/>
    <m/>
    <n v="0"/>
    <x v="1"/>
  </r>
  <r>
    <x v="0"/>
    <s v="Egypt"/>
    <x v="20"/>
    <x v="96"/>
    <x v="96"/>
    <d v="2025-06-18T00:00:00"/>
    <m/>
    <s v="Day Off"/>
    <m/>
    <m/>
    <n v="0"/>
    <x v="1"/>
  </r>
  <r>
    <x v="0"/>
    <s v="Egypt"/>
    <x v="20"/>
    <x v="96"/>
    <x v="96"/>
    <d v="2025-06-19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6:00:00"/>
    <d v="1899-12-30T06:15:00"/>
    <n v="0"/>
    <x v="1"/>
  </r>
  <r>
    <x v="0"/>
    <s v="Egypt"/>
    <x v="20"/>
    <x v="96"/>
    <x v="96"/>
    <d v="2025-06-20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30:00"/>
    <d v="1899-12-30T03:00:00"/>
    <n v="0"/>
    <x v="1"/>
  </r>
  <r>
    <x v="0"/>
    <s v="Egypt"/>
    <x v="20"/>
    <x v="96"/>
    <x v="96"/>
    <m/>
    <m/>
    <s v="Break 15 Night"/>
    <d v="1899-12-30T06:00:00"/>
    <d v="1899-12-30T06:15:00"/>
    <n v="0"/>
    <x v="1"/>
  </r>
  <r>
    <x v="0"/>
    <s v="Egypt"/>
    <x v="20"/>
    <x v="96"/>
    <x v="96"/>
    <d v="2025-06-21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00:00"/>
    <d v="1899-12-30T02:30:00"/>
    <n v="0"/>
    <x v="1"/>
  </r>
  <r>
    <x v="0"/>
    <s v="Egypt"/>
    <x v="20"/>
    <x v="96"/>
    <x v="96"/>
    <m/>
    <m/>
    <s v="Break 15 Night"/>
    <d v="1899-12-30T04:45:00"/>
    <d v="1899-12-30T05:00:00"/>
    <n v="0"/>
    <x v="1"/>
  </r>
  <r>
    <x v="0"/>
    <s v="Egypt"/>
    <x v="20"/>
    <x v="96"/>
    <x v="96"/>
    <d v="2025-06-22T00:00:00"/>
    <d v="1899-12-30T08:15:00"/>
    <s v="Annual"/>
    <m/>
    <m/>
    <n v="29700"/>
    <x v="1"/>
  </r>
  <r>
    <x v="0"/>
    <s v="Egypt"/>
    <x v="20"/>
    <x v="96"/>
    <x v="96"/>
    <d v="2025-06-23T00:00:00"/>
    <d v="1899-12-30T08:15:00"/>
    <s v="Annual"/>
    <m/>
    <m/>
    <n v="29700"/>
    <x v="1"/>
  </r>
  <r>
    <x v="0"/>
    <s v="Egypt"/>
    <x v="20"/>
    <x v="96"/>
    <x v="96"/>
    <d v="2025-06-24T00:00:00"/>
    <d v="1899-12-30T08:15:00"/>
    <s v="Annual"/>
    <m/>
    <m/>
    <n v="29700"/>
    <x v="1"/>
  </r>
  <r>
    <x v="0"/>
    <s v="Egypt"/>
    <x v="20"/>
    <x v="96"/>
    <x v="96"/>
    <d v="2025-06-25T00:00:00"/>
    <m/>
    <s v="Day Off"/>
    <m/>
    <m/>
    <n v="0"/>
    <x v="1"/>
  </r>
  <r>
    <x v="0"/>
    <s v="Egypt"/>
    <x v="20"/>
    <x v="96"/>
    <x v="96"/>
    <d v="2025-06-26T00:00:00"/>
    <m/>
    <s v="Day Off"/>
    <m/>
    <m/>
    <n v="0"/>
    <x v="1"/>
  </r>
  <r>
    <x v="0"/>
    <s v="Egypt"/>
    <x v="20"/>
    <x v="96"/>
    <x v="96"/>
    <d v="2025-06-27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28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6:00:00"/>
    <d v="1899-12-30T06:15:00"/>
    <n v="0"/>
    <x v="1"/>
  </r>
  <r>
    <x v="0"/>
    <s v="Egypt"/>
    <x v="20"/>
    <x v="96"/>
    <x v="96"/>
    <d v="2025-06-29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2:30:00"/>
    <d v="1899-12-30T03:0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0"/>
    <x v="96"/>
    <x v="96"/>
    <d v="2025-06-30T00:00:00"/>
    <d v="1899-12-30T08:15:00"/>
    <s v="Non Telecom"/>
    <d v="1899-12-30T00:00:00"/>
    <d v="1899-12-30T08:15:00"/>
    <n v="29700"/>
    <x v="0"/>
  </r>
  <r>
    <x v="0"/>
    <s v="Egypt"/>
    <x v="20"/>
    <x v="96"/>
    <x v="96"/>
    <m/>
    <m/>
    <s v="Break 30 Night"/>
    <d v="1899-12-30T03:00:00"/>
    <d v="1899-12-30T03:30:00"/>
    <n v="0"/>
    <x v="1"/>
  </r>
  <r>
    <x v="0"/>
    <s v="Egypt"/>
    <x v="20"/>
    <x v="96"/>
    <x v="96"/>
    <m/>
    <m/>
    <s v="Break 15 Night"/>
    <d v="1899-12-30T05:00:00"/>
    <d v="1899-12-30T05:15:00"/>
    <n v="0"/>
    <x v="1"/>
  </r>
  <r>
    <x v="0"/>
    <s v="Egypt"/>
    <x v="21"/>
    <x v="97"/>
    <x v="97"/>
    <d v="2025-06-01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4:45:00"/>
    <d v="1899-12-30T05:00:00"/>
    <n v="0"/>
    <x v="1"/>
  </r>
  <r>
    <x v="0"/>
    <s v="Egypt"/>
    <x v="21"/>
    <x v="97"/>
    <x v="97"/>
    <d v="2025-06-02T00:00:00"/>
    <m/>
    <s v="Day Off"/>
    <m/>
    <m/>
    <n v="0"/>
    <x v="1"/>
  </r>
  <r>
    <x v="0"/>
    <s v="Egypt"/>
    <x v="21"/>
    <x v="97"/>
    <x v="97"/>
    <d v="2025-06-03T00:00:00"/>
    <m/>
    <s v="Day Off"/>
    <m/>
    <m/>
    <n v="0"/>
    <x v="1"/>
  </r>
  <r>
    <x v="0"/>
    <s v="Egypt"/>
    <x v="21"/>
    <x v="97"/>
    <x v="97"/>
    <d v="2025-06-04T00:00:00"/>
    <d v="1899-12-30T08:15:00"/>
    <s v="Sick"/>
    <m/>
    <m/>
    <n v="29700"/>
    <x v="1"/>
  </r>
  <r>
    <x v="0"/>
    <s v="Egypt"/>
    <x v="21"/>
    <x v="97"/>
    <x v="97"/>
    <d v="2025-06-05T00:00:00"/>
    <d v="1899-12-30T08:15:00"/>
    <s v="Sick"/>
    <m/>
    <m/>
    <n v="29700"/>
    <x v="1"/>
  </r>
  <r>
    <x v="0"/>
    <s v="Egypt"/>
    <x v="21"/>
    <x v="97"/>
    <x v="97"/>
    <d v="2025-06-06T00:00:00"/>
    <d v="1899-12-30T08:15:00"/>
    <s v="Sick"/>
    <m/>
    <m/>
    <n v="29700"/>
    <x v="1"/>
  </r>
  <r>
    <x v="0"/>
    <s v="Egypt"/>
    <x v="21"/>
    <x v="97"/>
    <x v="97"/>
    <d v="2025-06-07T00:00:00"/>
    <d v="1899-12-30T08:15:00"/>
    <s v="Sick"/>
    <m/>
    <m/>
    <n v="29700"/>
    <x v="1"/>
  </r>
  <r>
    <x v="0"/>
    <s v="Egypt"/>
    <x v="21"/>
    <x v="97"/>
    <x v="97"/>
    <d v="2025-06-08T00:00:00"/>
    <m/>
    <s v="Day Off"/>
    <m/>
    <m/>
    <n v="0"/>
    <x v="1"/>
  </r>
  <r>
    <x v="0"/>
    <s v="Egypt"/>
    <x v="21"/>
    <x v="97"/>
    <x v="97"/>
    <d v="2025-06-09T00:00:00"/>
    <m/>
    <s v="Day Off"/>
    <m/>
    <m/>
    <n v="0"/>
    <x v="1"/>
  </r>
  <r>
    <x v="0"/>
    <s v="Egypt"/>
    <x v="21"/>
    <x v="97"/>
    <x v="97"/>
    <d v="2025-06-10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15:00"/>
    <d v="1899-12-30T02:45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11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00:00"/>
    <d v="1899-12-30T02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12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30:00"/>
    <d v="1899-12-30T03:0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13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00:00"/>
    <d v="1899-12-30T02:30:00"/>
    <n v="0"/>
    <x v="1"/>
  </r>
  <r>
    <x v="0"/>
    <s v="Egypt"/>
    <x v="21"/>
    <x v="97"/>
    <x v="97"/>
    <m/>
    <m/>
    <s v="Break 15 Night"/>
    <d v="1899-12-30T04:30:00"/>
    <d v="1899-12-30T04:45:00"/>
    <n v="0"/>
    <x v="1"/>
  </r>
  <r>
    <x v="0"/>
    <s v="Egypt"/>
    <x v="21"/>
    <x v="97"/>
    <x v="97"/>
    <d v="2025-06-14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4:45:00"/>
    <d v="1899-12-30T05:00:00"/>
    <n v="0"/>
    <x v="1"/>
  </r>
  <r>
    <x v="0"/>
    <s v="Egypt"/>
    <x v="21"/>
    <x v="97"/>
    <x v="97"/>
    <d v="2025-06-15T00:00:00"/>
    <m/>
    <s v="Day Off"/>
    <m/>
    <m/>
    <n v="0"/>
    <x v="1"/>
  </r>
  <r>
    <x v="0"/>
    <s v="Egypt"/>
    <x v="21"/>
    <x v="97"/>
    <x v="97"/>
    <d v="2025-06-16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17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1:45:00"/>
    <d v="1899-12-30T02:15:00"/>
    <n v="0"/>
    <x v="1"/>
  </r>
  <r>
    <x v="0"/>
    <s v="Egypt"/>
    <x v="21"/>
    <x v="97"/>
    <x v="97"/>
    <m/>
    <m/>
    <s v="Break 15 Night"/>
    <d v="1899-12-30T04:30:00"/>
    <d v="1899-12-30T04:45:00"/>
    <n v="0"/>
    <x v="1"/>
  </r>
  <r>
    <x v="0"/>
    <s v="Egypt"/>
    <x v="21"/>
    <x v="97"/>
    <x v="97"/>
    <d v="2025-06-18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00:00"/>
    <d v="1899-12-30T02:30:00"/>
    <n v="0"/>
    <x v="1"/>
  </r>
  <r>
    <x v="0"/>
    <s v="Egypt"/>
    <x v="21"/>
    <x v="97"/>
    <x v="97"/>
    <m/>
    <m/>
    <s v="Break 15 Night"/>
    <d v="1899-12-30T04:45:00"/>
    <d v="1899-12-30T05:00:00"/>
    <n v="0"/>
    <x v="1"/>
  </r>
  <r>
    <x v="0"/>
    <s v="Egypt"/>
    <x v="21"/>
    <x v="97"/>
    <x v="97"/>
    <d v="2025-06-19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30:00"/>
    <d v="1899-12-30T03:00:00"/>
    <n v="0"/>
    <x v="1"/>
  </r>
  <r>
    <x v="0"/>
    <s v="Egypt"/>
    <x v="21"/>
    <x v="97"/>
    <x v="97"/>
    <m/>
    <m/>
    <s v="Break 15 Night"/>
    <d v="1899-12-30T05:45:00"/>
    <d v="1899-12-30T06:00:00"/>
    <n v="0"/>
    <x v="1"/>
  </r>
  <r>
    <x v="0"/>
    <s v="Egypt"/>
    <x v="21"/>
    <x v="97"/>
    <x v="97"/>
    <d v="2025-06-20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2:30:00"/>
    <d v="1899-12-30T03:00:00"/>
    <n v="0"/>
    <x v="1"/>
  </r>
  <r>
    <x v="0"/>
    <s v="Egypt"/>
    <x v="21"/>
    <x v="97"/>
    <x v="97"/>
    <m/>
    <m/>
    <s v="Break 15 Night"/>
    <d v="1899-12-30T05:15:00"/>
    <d v="1899-12-30T05:30:00"/>
    <n v="0"/>
    <x v="1"/>
  </r>
  <r>
    <x v="0"/>
    <s v="Egypt"/>
    <x v="21"/>
    <x v="97"/>
    <x v="97"/>
    <d v="2025-06-21T00:00:00"/>
    <m/>
    <s v="Day Off"/>
    <m/>
    <m/>
    <n v="0"/>
    <x v="1"/>
  </r>
  <r>
    <x v="0"/>
    <s v="Egypt"/>
    <x v="21"/>
    <x v="97"/>
    <x v="97"/>
    <d v="2025-06-22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23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24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25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6:00:00"/>
    <d v="1899-12-30T06:15:00"/>
    <n v="0"/>
    <x v="1"/>
  </r>
  <r>
    <x v="0"/>
    <s v="Egypt"/>
    <x v="21"/>
    <x v="97"/>
    <x v="97"/>
    <d v="2025-06-26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5:00:00"/>
    <d v="1899-12-30T05:15:00"/>
    <n v="0"/>
    <x v="1"/>
  </r>
  <r>
    <x v="0"/>
    <s v="Egypt"/>
    <x v="21"/>
    <x v="97"/>
    <x v="97"/>
    <d v="2025-06-27T00:00:00"/>
    <m/>
    <s v="Day Off"/>
    <m/>
    <m/>
    <n v="0"/>
    <x v="1"/>
  </r>
  <r>
    <x v="0"/>
    <s v="Egypt"/>
    <x v="21"/>
    <x v="97"/>
    <x v="97"/>
    <d v="2025-06-28T00:00:00"/>
    <m/>
    <s v="Day Off"/>
    <m/>
    <m/>
    <n v="0"/>
    <x v="1"/>
  </r>
  <r>
    <x v="0"/>
    <s v="Egypt"/>
    <x v="21"/>
    <x v="97"/>
    <x v="97"/>
    <d v="2025-06-29T00:00:00"/>
    <d v="1899-12-30T08:15:00"/>
    <s v="Non Telecom"/>
    <d v="1899-12-30T00:00:00"/>
    <d v="1899-12-30T08:15:00"/>
    <n v="29700"/>
    <x v="0"/>
  </r>
  <r>
    <x v="0"/>
    <s v="Egypt"/>
    <x v="21"/>
    <x v="97"/>
    <x v="97"/>
    <m/>
    <m/>
    <s v="Break 30 Night"/>
    <d v="1899-12-30T03:00:00"/>
    <d v="1899-12-30T03:30:00"/>
    <n v="0"/>
    <x v="1"/>
  </r>
  <r>
    <x v="0"/>
    <s v="Egypt"/>
    <x v="21"/>
    <x v="97"/>
    <x v="97"/>
    <m/>
    <m/>
    <s v="Break 15 Night"/>
    <d v="1899-12-30T06:00:00"/>
    <d v="1899-12-30T06:15:00"/>
    <n v="0"/>
    <x v="1"/>
  </r>
  <r>
    <x v="0"/>
    <s v="Egypt"/>
    <x v="21"/>
    <x v="97"/>
    <x v="97"/>
    <d v="2025-06-30T00:00:00"/>
    <d v="1899-12-30T08:15:00"/>
    <s v="Annual Exception"/>
    <m/>
    <m/>
    <n v="29700"/>
    <x v="1"/>
  </r>
  <r>
    <x v="0"/>
    <s v="Egypt"/>
    <x v="21"/>
    <x v="98"/>
    <x v="98"/>
    <d v="2025-06-01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15 Night"/>
    <d v="1899-12-30T03:00:00"/>
    <d v="1899-12-30T03:15:00"/>
    <n v="0"/>
    <x v="1"/>
  </r>
  <r>
    <x v="0"/>
    <s v="Egypt"/>
    <x v="21"/>
    <x v="98"/>
    <x v="98"/>
    <m/>
    <m/>
    <s v="Break 30 Night"/>
    <d v="1899-12-30T06:00:00"/>
    <d v="1899-12-30T06:30:00"/>
    <n v="0"/>
    <x v="1"/>
  </r>
  <r>
    <x v="0"/>
    <s v="Egypt"/>
    <x v="21"/>
    <x v="98"/>
    <x v="98"/>
    <d v="2025-06-02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15 Night"/>
    <d v="1899-12-30T01:00:00"/>
    <d v="1899-12-30T01:15:00"/>
    <n v="0"/>
    <x v="1"/>
  </r>
  <r>
    <x v="0"/>
    <s v="Egypt"/>
    <x v="21"/>
    <x v="98"/>
    <x v="98"/>
    <m/>
    <m/>
    <s v="Break 30 Night"/>
    <d v="1899-12-30T04:45:00"/>
    <d v="1899-12-30T05:15:00"/>
    <n v="0"/>
    <x v="1"/>
  </r>
  <r>
    <x v="0"/>
    <s v="Egypt"/>
    <x v="21"/>
    <x v="98"/>
    <x v="98"/>
    <d v="2025-06-03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00:00"/>
    <d v="1899-12-30T02:30:00"/>
    <n v="0"/>
    <x v="1"/>
  </r>
  <r>
    <x v="0"/>
    <s v="Egypt"/>
    <x v="21"/>
    <x v="98"/>
    <x v="98"/>
    <m/>
    <m/>
    <s v="Break 15 Night"/>
    <d v="1899-12-30T05:00:00"/>
    <d v="1899-12-30T05:15:00"/>
    <n v="0"/>
    <x v="1"/>
  </r>
  <r>
    <x v="0"/>
    <s v="Egypt"/>
    <x v="21"/>
    <x v="98"/>
    <x v="98"/>
    <d v="2025-06-04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15 Night"/>
    <d v="1899-12-30T01:00:00"/>
    <d v="1899-12-30T01:15:00"/>
    <n v="0"/>
    <x v="1"/>
  </r>
  <r>
    <x v="0"/>
    <s v="Egypt"/>
    <x v="21"/>
    <x v="98"/>
    <x v="98"/>
    <m/>
    <m/>
    <s v="Break 30 Night"/>
    <d v="1899-12-30T04:00:00"/>
    <d v="1899-12-30T04:30:00"/>
    <n v="0"/>
    <x v="1"/>
  </r>
  <r>
    <x v="0"/>
    <s v="Egypt"/>
    <x v="21"/>
    <x v="98"/>
    <x v="98"/>
    <d v="2025-06-05T00:00:00"/>
    <m/>
    <s v="Day Off"/>
    <m/>
    <m/>
    <n v="0"/>
    <x v="1"/>
  </r>
  <r>
    <x v="0"/>
    <s v="Egypt"/>
    <x v="21"/>
    <x v="98"/>
    <x v="98"/>
    <d v="2025-06-06T00:00:00"/>
    <m/>
    <s v="Day Off"/>
    <m/>
    <m/>
    <n v="0"/>
    <x v="1"/>
  </r>
  <r>
    <x v="0"/>
    <s v="Egypt"/>
    <x v="21"/>
    <x v="98"/>
    <x v="98"/>
    <d v="2025-06-07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6:00:00"/>
    <d v="1899-12-30T06:15:00"/>
    <n v="0"/>
    <x v="1"/>
  </r>
  <r>
    <x v="0"/>
    <s v="Egypt"/>
    <x v="21"/>
    <x v="98"/>
    <x v="98"/>
    <d v="2025-06-08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5:00:00"/>
    <d v="1899-12-30T05:15:00"/>
    <n v="0"/>
    <x v="1"/>
  </r>
  <r>
    <x v="0"/>
    <s v="Egypt"/>
    <x v="21"/>
    <x v="98"/>
    <x v="98"/>
    <d v="2025-06-09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10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45:00"/>
    <d v="1899-12-30T03:15:00"/>
    <n v="0"/>
    <x v="1"/>
  </r>
  <r>
    <x v="0"/>
    <s v="Egypt"/>
    <x v="21"/>
    <x v="98"/>
    <x v="98"/>
    <m/>
    <m/>
    <s v="Break 15 Night"/>
    <d v="1899-12-30T06:15:00"/>
    <d v="1899-12-30T06:30:00"/>
    <n v="0"/>
    <x v="1"/>
  </r>
  <r>
    <x v="0"/>
    <s v="Egypt"/>
    <x v="21"/>
    <x v="98"/>
    <x v="98"/>
    <d v="2025-06-11T00:00:00"/>
    <m/>
    <s v="Day Off"/>
    <m/>
    <m/>
    <n v="0"/>
    <x v="1"/>
  </r>
  <r>
    <x v="0"/>
    <s v="Egypt"/>
    <x v="21"/>
    <x v="98"/>
    <x v="98"/>
    <d v="2025-06-12T00:00:00"/>
    <m/>
    <s v="Day Off"/>
    <m/>
    <m/>
    <n v="0"/>
    <x v="1"/>
  </r>
  <r>
    <x v="0"/>
    <s v="Egypt"/>
    <x v="21"/>
    <x v="98"/>
    <x v="98"/>
    <d v="2025-06-13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00:00"/>
    <d v="1899-12-30T02:30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14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5:00:00"/>
    <d v="1899-12-30T05:15:00"/>
    <n v="0"/>
    <x v="1"/>
  </r>
  <r>
    <x v="0"/>
    <s v="Egypt"/>
    <x v="21"/>
    <x v="98"/>
    <x v="98"/>
    <d v="2025-06-15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5:00:00"/>
    <d v="1899-12-30T05:15:00"/>
    <n v="0"/>
    <x v="1"/>
  </r>
  <r>
    <x v="0"/>
    <s v="Egypt"/>
    <x v="21"/>
    <x v="98"/>
    <x v="98"/>
    <d v="2025-06-16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17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15:00"/>
    <d v="1899-12-30T02:45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18T00:00:00"/>
    <m/>
    <s v="Day Off"/>
    <m/>
    <m/>
    <n v="0"/>
    <x v="1"/>
  </r>
  <r>
    <x v="0"/>
    <s v="Egypt"/>
    <x v="21"/>
    <x v="98"/>
    <x v="98"/>
    <d v="2025-06-19T00:00:00"/>
    <m/>
    <s v="Day Off"/>
    <m/>
    <m/>
    <n v="0"/>
    <x v="1"/>
  </r>
  <r>
    <x v="0"/>
    <s v="Egypt"/>
    <x v="21"/>
    <x v="98"/>
    <x v="98"/>
    <d v="2025-06-20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5:45:00"/>
    <d v="1899-12-30T06:00:00"/>
    <n v="0"/>
    <x v="1"/>
  </r>
  <r>
    <x v="0"/>
    <s v="Egypt"/>
    <x v="21"/>
    <x v="98"/>
    <x v="98"/>
    <d v="2025-06-21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00:00"/>
    <d v="1899-12-30T02:30:00"/>
    <n v="0"/>
    <x v="1"/>
  </r>
  <r>
    <x v="0"/>
    <s v="Egypt"/>
    <x v="21"/>
    <x v="98"/>
    <x v="98"/>
    <m/>
    <m/>
    <s v="Break 15 Night"/>
    <d v="1899-12-30T04:30:00"/>
    <d v="1899-12-30T04:45:00"/>
    <n v="0"/>
    <x v="1"/>
  </r>
  <r>
    <x v="0"/>
    <s v="Egypt"/>
    <x v="21"/>
    <x v="98"/>
    <x v="98"/>
    <d v="2025-06-22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23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4:45:00"/>
    <d v="1899-12-30T05:00:00"/>
    <n v="0"/>
    <x v="1"/>
  </r>
  <r>
    <x v="0"/>
    <s v="Egypt"/>
    <x v="21"/>
    <x v="98"/>
    <x v="98"/>
    <d v="2025-06-24T00:00:00"/>
    <m/>
    <s v="Day Off"/>
    <m/>
    <m/>
    <n v="0"/>
    <x v="1"/>
  </r>
  <r>
    <x v="0"/>
    <s v="Egypt"/>
    <x v="21"/>
    <x v="98"/>
    <x v="98"/>
    <d v="2025-06-25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5:45:00"/>
    <d v="1899-12-30T06:00:00"/>
    <n v="0"/>
    <x v="1"/>
  </r>
  <r>
    <x v="0"/>
    <s v="Egypt"/>
    <x v="21"/>
    <x v="98"/>
    <x v="98"/>
    <d v="2025-06-26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3:00:00"/>
    <d v="1899-12-30T03:30:00"/>
    <n v="0"/>
    <x v="1"/>
  </r>
  <r>
    <x v="0"/>
    <s v="Egypt"/>
    <x v="21"/>
    <x v="98"/>
    <x v="98"/>
    <m/>
    <m/>
    <s v="Break 15 Night"/>
    <d v="1899-12-30T05:00:00"/>
    <d v="1899-12-30T05:15:00"/>
    <n v="0"/>
    <x v="1"/>
  </r>
  <r>
    <x v="0"/>
    <s v="Egypt"/>
    <x v="21"/>
    <x v="98"/>
    <x v="98"/>
    <d v="2025-06-27T00:00:00"/>
    <m/>
    <s v="Day Off"/>
    <m/>
    <m/>
    <n v="0"/>
    <x v="1"/>
  </r>
  <r>
    <x v="0"/>
    <s v="Egypt"/>
    <x v="21"/>
    <x v="98"/>
    <x v="98"/>
    <d v="2025-06-28T00:00:00"/>
    <d v="1899-12-30T08:15:00"/>
    <s v="Non Telecom"/>
    <d v="1899-12-30T00:00:00"/>
    <d v="1899-12-30T08:15:00"/>
    <n v="29700"/>
    <x v="0"/>
  </r>
  <r>
    <x v="0"/>
    <s v="Egypt"/>
    <x v="21"/>
    <x v="98"/>
    <x v="98"/>
    <m/>
    <m/>
    <s v="Break 30 Night"/>
    <d v="1899-12-30T02:30:00"/>
    <d v="1899-12-30T03:00:00"/>
    <n v="0"/>
    <x v="1"/>
  </r>
  <r>
    <x v="0"/>
    <s v="Egypt"/>
    <x v="21"/>
    <x v="98"/>
    <x v="98"/>
    <m/>
    <m/>
    <s v="Break 15 Night"/>
    <d v="1899-12-30T06:15:00"/>
    <d v="1899-12-30T06:30:00"/>
    <n v="0"/>
    <x v="1"/>
  </r>
  <r>
    <x v="0"/>
    <s v="Egypt"/>
    <x v="21"/>
    <x v="98"/>
    <x v="98"/>
    <d v="2025-06-29T00:00:00"/>
    <m/>
    <s v="Day Off"/>
    <m/>
    <m/>
    <n v="0"/>
    <x v="1"/>
  </r>
  <r>
    <x v="0"/>
    <s v="Egypt"/>
    <x v="21"/>
    <x v="98"/>
    <x v="98"/>
    <d v="2025-06-30T00:00:00"/>
    <m/>
    <s v="Day Off"/>
    <m/>
    <m/>
    <n v="0"/>
    <x v="1"/>
  </r>
  <r>
    <x v="0"/>
    <s v="Egypt"/>
    <x v="21"/>
    <x v="99"/>
    <x v="99"/>
    <d v="2025-06-01T00:00:00"/>
    <m/>
    <s v="Day Off"/>
    <m/>
    <m/>
    <n v="0"/>
    <x v="1"/>
  </r>
  <r>
    <x v="0"/>
    <s v="Egypt"/>
    <x v="21"/>
    <x v="99"/>
    <x v="99"/>
    <d v="2025-06-02T00:00:00"/>
    <d v="1899-12-30T08:15:00"/>
    <s v="No show"/>
    <d v="1899-12-30T19:15:00"/>
    <s v="+3:30 AM"/>
    <n v="29700"/>
    <x v="1"/>
  </r>
  <r>
    <x v="0"/>
    <s v="Egypt"/>
    <x v="21"/>
    <x v="99"/>
    <x v="99"/>
    <d v="2025-06-03T00:00:00"/>
    <d v="1899-12-30T08:15:00"/>
    <s v="Annual"/>
    <m/>
    <m/>
    <n v="29700"/>
    <x v="1"/>
  </r>
  <r>
    <x v="0"/>
    <s v="Egypt"/>
    <x v="21"/>
    <x v="99"/>
    <x v="99"/>
    <d v="2025-06-04T00:00:00"/>
    <d v="1899-12-30T08:15:00"/>
    <s v="HR Investigation"/>
    <m/>
    <m/>
    <n v="29700"/>
    <x v="1"/>
  </r>
  <r>
    <x v="0"/>
    <s v="Egypt"/>
    <x v="21"/>
    <x v="99"/>
    <x v="99"/>
    <d v="2025-06-05T00:00:00"/>
    <d v="1899-12-30T08:15:00"/>
    <s v="HR Investigation"/>
    <m/>
    <m/>
    <n v="29700"/>
    <x v="1"/>
  </r>
  <r>
    <x v="0"/>
    <s v="Egypt"/>
    <x v="21"/>
    <x v="99"/>
    <x v="99"/>
    <d v="2025-06-06T00:00:00"/>
    <d v="1899-12-30T08:15:00"/>
    <s v="HR Investigation"/>
    <m/>
    <m/>
    <n v="29700"/>
    <x v="1"/>
  </r>
  <r>
    <x v="0"/>
    <s v="Egypt"/>
    <x v="21"/>
    <x v="99"/>
    <x v="99"/>
    <d v="2025-06-07T00:00:00"/>
    <m/>
    <s v="Day Off"/>
    <m/>
    <m/>
    <n v="0"/>
    <x v="1"/>
  </r>
  <r>
    <x v="0"/>
    <s v="Egypt"/>
    <x v="21"/>
    <x v="99"/>
    <x v="99"/>
    <d v="2025-06-08T00:00:00"/>
    <d v="1899-12-30T08:15:00"/>
    <s v="HR Investigation"/>
    <m/>
    <m/>
    <n v="29700"/>
    <x v="1"/>
  </r>
  <r>
    <x v="0"/>
    <s v="Egypt"/>
    <x v="21"/>
    <x v="99"/>
    <x v="99"/>
    <d v="2025-06-09T00:00:00"/>
    <d v="1899-12-30T08:15:00"/>
    <s v="HR Investigation"/>
    <m/>
    <m/>
    <n v="29700"/>
    <x v="1"/>
  </r>
  <r>
    <x v="0"/>
    <s v="Egypt"/>
    <x v="21"/>
    <x v="99"/>
    <x v="99"/>
    <d v="2025-06-10T00:00:00"/>
    <d v="1899-12-30T08:15:00"/>
    <s v="HR Investigation"/>
    <m/>
    <m/>
    <n v="29700"/>
    <x v="1"/>
  </r>
  <r>
    <x v="0"/>
    <s v="Egypt"/>
    <x v="21"/>
    <x v="99"/>
    <x v="99"/>
    <d v="2025-06-11T00:00:00"/>
    <d v="1899-12-30T08:15:00"/>
    <s v="HR Investigation"/>
    <m/>
    <m/>
    <n v="29700"/>
    <x v="1"/>
  </r>
  <r>
    <x v="0"/>
    <s v="Egypt"/>
    <x v="21"/>
    <x v="99"/>
    <x v="99"/>
    <d v="2025-06-12T00:00:00"/>
    <d v="1899-12-30T08:15:00"/>
    <s v="HR Investigation"/>
    <m/>
    <m/>
    <n v="29700"/>
    <x v="1"/>
  </r>
  <r>
    <x v="0"/>
    <s v="Egypt"/>
    <x v="21"/>
    <x v="99"/>
    <x v="99"/>
    <d v="2025-06-13T00:00:00"/>
    <m/>
    <s v="Day Off"/>
    <m/>
    <m/>
    <n v="0"/>
    <x v="1"/>
  </r>
  <r>
    <x v="0"/>
    <s v="Egypt"/>
    <x v="21"/>
    <x v="99"/>
    <x v="99"/>
    <d v="2025-06-14T00:00:00"/>
    <m/>
    <s v="Day Off"/>
    <m/>
    <m/>
    <n v="0"/>
    <x v="1"/>
  </r>
  <r>
    <x v="0"/>
    <s v="Egypt"/>
    <x v="21"/>
    <x v="99"/>
    <x v="99"/>
    <d v="2025-06-15T00:00:00"/>
    <d v="1899-12-30T00:00:00"/>
    <s v="Planned Suspended"/>
    <m/>
    <m/>
    <n v="0"/>
    <x v="1"/>
  </r>
  <r>
    <x v="0"/>
    <s v="Egypt"/>
    <x v="21"/>
    <x v="99"/>
    <x v="99"/>
    <d v="2025-06-16T00:00:00"/>
    <d v="1899-12-30T00:00:00"/>
    <s v="Planned Suspended"/>
    <m/>
    <m/>
    <n v="0"/>
    <x v="1"/>
  </r>
  <r>
    <x v="0"/>
    <s v="Egypt"/>
    <x v="21"/>
    <x v="99"/>
    <x v="99"/>
    <d v="2025-06-17T00:00:00"/>
    <d v="1899-12-30T00:00:00"/>
    <s v="Planned Suspended"/>
    <m/>
    <m/>
    <n v="0"/>
    <x v="1"/>
  </r>
  <r>
    <x v="0"/>
    <s v="Egypt"/>
    <x v="21"/>
    <x v="99"/>
    <x v="99"/>
    <d v="2025-06-18T00:00:00"/>
    <d v="1899-12-30T00:00:00"/>
    <s v="Planned Suspended"/>
    <m/>
    <m/>
    <n v="0"/>
    <x v="1"/>
  </r>
  <r>
    <x v="0"/>
    <s v="Egypt"/>
    <x v="21"/>
    <x v="99"/>
    <x v="99"/>
    <d v="2025-06-19T00:00:00"/>
    <d v="1899-12-30T00:00:00"/>
    <s v="Planned Suspended"/>
    <m/>
    <m/>
    <n v="0"/>
    <x v="1"/>
  </r>
  <r>
    <x v="0"/>
    <s v="Egypt"/>
    <x v="21"/>
    <x v="99"/>
    <x v="99"/>
    <d v="2025-06-20T00:00:00"/>
    <d v="1899-12-30T00:00:00"/>
    <s v="Planned Suspended"/>
    <m/>
    <m/>
    <n v="0"/>
    <x v="1"/>
  </r>
  <r>
    <x v="0"/>
    <s v="Egypt"/>
    <x v="21"/>
    <x v="99"/>
    <x v="99"/>
    <d v="2025-06-21T00:00:00"/>
    <d v="1899-12-30T00:00:00"/>
    <s v="Planned Suspended"/>
    <m/>
    <m/>
    <n v="0"/>
    <x v="1"/>
  </r>
  <r>
    <x v="0"/>
    <s v="Egypt"/>
    <x v="21"/>
    <x v="99"/>
    <x v="99"/>
    <d v="2025-06-22T00:00:00"/>
    <d v="1899-12-30T00:00:00"/>
    <s v="Planned Suspended"/>
    <m/>
    <m/>
    <n v="0"/>
    <x v="1"/>
  </r>
  <r>
    <x v="0"/>
    <s v="Egypt"/>
    <x v="21"/>
    <x v="99"/>
    <x v="99"/>
    <d v="2025-06-23T00:00:00"/>
    <d v="1899-12-30T00:00:00"/>
    <s v="Planned Suspended"/>
    <m/>
    <m/>
    <n v="0"/>
    <x v="1"/>
  </r>
  <r>
    <x v="0"/>
    <s v="Egypt"/>
    <x v="21"/>
    <x v="99"/>
    <x v="99"/>
    <d v="2025-06-24T00:00:00"/>
    <d v="1899-12-30T00:00:00"/>
    <s v="Planned Suspended"/>
    <m/>
    <m/>
    <n v="0"/>
    <x v="1"/>
  </r>
  <r>
    <x v="0"/>
    <s v="Egypt"/>
    <x v="21"/>
    <x v="99"/>
    <x v="99"/>
    <d v="2025-06-25T00:00:00"/>
    <d v="1899-12-30T00:00:00"/>
    <s v="Planned Suspended"/>
    <m/>
    <m/>
    <n v="0"/>
    <x v="1"/>
  </r>
  <r>
    <x v="0"/>
    <s v="Egypt"/>
    <x v="21"/>
    <x v="99"/>
    <x v="99"/>
    <d v="2025-06-26T00:00:00"/>
    <d v="1899-12-30T00:00:00"/>
    <s v="Planned Suspended"/>
    <m/>
    <m/>
    <n v="0"/>
    <x v="1"/>
  </r>
  <r>
    <x v="0"/>
    <s v="Egypt"/>
    <x v="21"/>
    <x v="99"/>
    <x v="99"/>
    <d v="2025-06-27T00:00:00"/>
    <d v="1899-12-30T00:00:00"/>
    <s v="Planned Suspended"/>
    <m/>
    <m/>
    <n v="0"/>
    <x v="1"/>
  </r>
  <r>
    <x v="0"/>
    <s v="Egypt"/>
    <x v="21"/>
    <x v="99"/>
    <x v="99"/>
    <d v="2025-06-28T00:00:00"/>
    <d v="1899-12-30T00:00:00"/>
    <s v="Planned Suspended"/>
    <m/>
    <m/>
    <n v="0"/>
    <x v="1"/>
  </r>
  <r>
    <x v="0"/>
    <s v="Egypt"/>
    <x v="21"/>
    <x v="99"/>
    <x v="99"/>
    <d v="2025-06-29T00:00:00"/>
    <d v="1899-12-30T00:00:00"/>
    <s v="Planned Suspended"/>
    <m/>
    <m/>
    <n v="0"/>
    <x v="1"/>
  </r>
  <r>
    <x v="0"/>
    <s v="Egypt"/>
    <x v="21"/>
    <x v="99"/>
    <x v="99"/>
    <d v="2025-06-30T00:00:00"/>
    <d v="1899-12-30T00:00:00"/>
    <s v="Planned Suspended"/>
    <m/>
    <m/>
    <n v="0"/>
    <x v="1"/>
  </r>
  <r>
    <x v="0"/>
    <s v="Egypt"/>
    <x v="22"/>
    <x v="100"/>
    <x v="100"/>
    <d v="2025-06-01T00:00:00"/>
    <d v="1899-12-30T08:15:00"/>
    <s v="Planned Task"/>
    <m/>
    <m/>
    <n v="29700"/>
    <x v="1"/>
  </r>
  <r>
    <x v="0"/>
    <s v="Egypt"/>
    <x v="22"/>
    <x v="100"/>
    <x v="100"/>
    <d v="2025-06-02T00:00:00"/>
    <d v="1899-12-30T08:15:00"/>
    <s v="Planned Task"/>
    <m/>
    <m/>
    <n v="29700"/>
    <x v="1"/>
  </r>
  <r>
    <x v="0"/>
    <s v="Egypt"/>
    <x v="22"/>
    <x v="100"/>
    <x v="100"/>
    <d v="2025-06-03T00:00:00"/>
    <d v="1899-12-30T08:15:00"/>
    <s v="Planned Task"/>
    <m/>
    <m/>
    <n v="29700"/>
    <x v="1"/>
  </r>
  <r>
    <x v="0"/>
    <s v="Egypt"/>
    <x v="22"/>
    <x v="100"/>
    <x v="100"/>
    <d v="2025-06-04T00:00:00"/>
    <d v="1899-12-30T08:15:00"/>
    <s v="Planned Task"/>
    <m/>
    <m/>
    <n v="29700"/>
    <x v="1"/>
  </r>
  <r>
    <x v="0"/>
    <s v="Egypt"/>
    <x v="22"/>
    <x v="100"/>
    <x v="100"/>
    <d v="2025-06-05T00:00:00"/>
    <d v="1899-12-30T08:15:00"/>
    <s v="Planned Task"/>
    <m/>
    <m/>
    <n v="29700"/>
    <x v="1"/>
  </r>
  <r>
    <x v="0"/>
    <s v="Egypt"/>
    <x v="22"/>
    <x v="100"/>
    <x v="100"/>
    <d v="2025-06-06T00:00:00"/>
    <d v="1899-12-30T08:15:00"/>
    <s v="Planned Task"/>
    <m/>
    <m/>
    <n v="29700"/>
    <x v="1"/>
  </r>
  <r>
    <x v="0"/>
    <s v="Egypt"/>
    <x v="22"/>
    <x v="100"/>
    <x v="100"/>
    <d v="2025-06-07T00:00:00"/>
    <d v="1899-12-30T08:15:00"/>
    <s v="Planned Task"/>
    <m/>
    <m/>
    <n v="29700"/>
    <x v="1"/>
  </r>
  <r>
    <x v="0"/>
    <s v="Egypt"/>
    <x v="22"/>
    <x v="100"/>
    <x v="100"/>
    <d v="2025-06-08T00:00:00"/>
    <d v="1899-12-30T08:15:00"/>
    <s v="Planned Task"/>
    <m/>
    <m/>
    <n v="29700"/>
    <x v="1"/>
  </r>
  <r>
    <x v="0"/>
    <s v="Egypt"/>
    <x v="22"/>
    <x v="100"/>
    <x v="100"/>
    <d v="2025-06-09T00:00:00"/>
    <d v="1899-12-30T08:15:00"/>
    <s v="Planned Task"/>
    <m/>
    <m/>
    <n v="29700"/>
    <x v="1"/>
  </r>
  <r>
    <x v="0"/>
    <s v="Egypt"/>
    <x v="22"/>
    <x v="100"/>
    <x v="100"/>
    <d v="2025-06-10T00:00:00"/>
    <d v="1899-12-30T08:15:00"/>
    <s v="Planned Task"/>
    <m/>
    <m/>
    <n v="29700"/>
    <x v="1"/>
  </r>
  <r>
    <x v="0"/>
    <s v="Egypt"/>
    <x v="22"/>
    <x v="100"/>
    <x v="100"/>
    <d v="2025-06-11T00:00:00"/>
    <d v="1899-12-30T08:15:00"/>
    <s v="Planned Task"/>
    <m/>
    <m/>
    <n v="29700"/>
    <x v="1"/>
  </r>
  <r>
    <x v="0"/>
    <s v="Egypt"/>
    <x v="22"/>
    <x v="100"/>
    <x v="100"/>
    <d v="2025-06-12T00:00:00"/>
    <d v="1899-12-30T08:15:00"/>
    <s v="Planned Task"/>
    <m/>
    <m/>
    <n v="29700"/>
    <x v="1"/>
  </r>
  <r>
    <x v="0"/>
    <s v="Egypt"/>
    <x v="22"/>
    <x v="100"/>
    <x v="100"/>
    <d v="2025-06-13T00:00:00"/>
    <d v="1899-12-30T08:15:00"/>
    <s v="Planned Task"/>
    <m/>
    <m/>
    <n v="29700"/>
    <x v="1"/>
  </r>
  <r>
    <x v="0"/>
    <s v="Egypt"/>
    <x v="22"/>
    <x v="100"/>
    <x v="100"/>
    <d v="2025-06-14T00:00:00"/>
    <d v="1899-12-30T08:15:00"/>
    <s v="Planned Task"/>
    <m/>
    <m/>
    <n v="29700"/>
    <x v="1"/>
  </r>
  <r>
    <x v="0"/>
    <s v="Egypt"/>
    <x v="22"/>
    <x v="100"/>
    <x v="100"/>
    <d v="2025-06-15T00:00:00"/>
    <d v="1899-12-30T08:15:00"/>
    <s v="Planned Task"/>
    <m/>
    <m/>
    <n v="29700"/>
    <x v="1"/>
  </r>
  <r>
    <x v="0"/>
    <s v="Egypt"/>
    <x v="22"/>
    <x v="100"/>
    <x v="100"/>
    <d v="2025-06-16T00:00:00"/>
    <d v="1899-12-30T08:15:00"/>
    <s v="Planned Task"/>
    <m/>
    <m/>
    <n v="29700"/>
    <x v="1"/>
  </r>
  <r>
    <x v="0"/>
    <s v="Egypt"/>
    <x v="22"/>
    <x v="100"/>
    <x v="100"/>
    <d v="2025-06-17T00:00:00"/>
    <d v="1899-12-30T08:15:00"/>
    <s v="Planned Task"/>
    <m/>
    <m/>
    <n v="29700"/>
    <x v="1"/>
  </r>
  <r>
    <x v="0"/>
    <s v="Egypt"/>
    <x v="22"/>
    <x v="100"/>
    <x v="100"/>
    <d v="2025-06-18T00:00:00"/>
    <d v="1899-12-30T08:15:00"/>
    <s v="Planned Task"/>
    <m/>
    <m/>
    <n v="29700"/>
    <x v="1"/>
  </r>
  <r>
    <x v="0"/>
    <s v="Egypt"/>
    <x v="22"/>
    <x v="100"/>
    <x v="100"/>
    <d v="2025-06-19T00:00:00"/>
    <d v="1899-12-30T08:15:00"/>
    <s v="Planned Task"/>
    <m/>
    <m/>
    <n v="29700"/>
    <x v="1"/>
  </r>
  <r>
    <x v="0"/>
    <s v="Egypt"/>
    <x v="22"/>
    <x v="100"/>
    <x v="100"/>
    <d v="2025-06-20T00:00:00"/>
    <d v="1899-12-30T08:15:00"/>
    <s v="Planned Task"/>
    <m/>
    <m/>
    <n v="29700"/>
    <x v="1"/>
  </r>
  <r>
    <x v="0"/>
    <s v="Egypt"/>
    <x v="22"/>
    <x v="100"/>
    <x v="100"/>
    <d v="2025-06-21T00:00:00"/>
    <d v="1899-12-30T08:15:00"/>
    <s v="Planned Task"/>
    <m/>
    <m/>
    <n v="29700"/>
    <x v="1"/>
  </r>
  <r>
    <x v="0"/>
    <s v="Egypt"/>
    <x v="22"/>
    <x v="100"/>
    <x v="100"/>
    <d v="2025-06-22T00:00:00"/>
    <d v="1899-12-30T08:15:00"/>
    <s v="Planned Task"/>
    <m/>
    <m/>
    <n v="29700"/>
    <x v="1"/>
  </r>
  <r>
    <x v="0"/>
    <s v="Egypt"/>
    <x v="22"/>
    <x v="100"/>
    <x v="100"/>
    <d v="2025-06-23T00:00:00"/>
    <d v="1899-12-30T08:15:00"/>
    <s v="Planned Task"/>
    <m/>
    <m/>
    <n v="29700"/>
    <x v="1"/>
  </r>
  <r>
    <x v="0"/>
    <s v="Egypt"/>
    <x v="22"/>
    <x v="100"/>
    <x v="100"/>
    <d v="2025-06-24T00:00:00"/>
    <d v="1899-12-30T08:15:00"/>
    <s v="Planned Task"/>
    <m/>
    <m/>
    <n v="29700"/>
    <x v="1"/>
  </r>
  <r>
    <x v="0"/>
    <s v="Egypt"/>
    <x v="22"/>
    <x v="100"/>
    <x v="100"/>
    <d v="2025-06-25T00:00:00"/>
    <d v="1899-12-30T08:15:00"/>
    <s v="Planned Task"/>
    <m/>
    <m/>
    <n v="29700"/>
    <x v="1"/>
  </r>
  <r>
    <x v="0"/>
    <s v="Egypt"/>
    <x v="22"/>
    <x v="100"/>
    <x v="100"/>
    <d v="2025-06-26T00:00:00"/>
    <d v="1899-12-30T08:15:00"/>
    <s v="Planned Task"/>
    <m/>
    <m/>
    <n v="29700"/>
    <x v="1"/>
  </r>
  <r>
    <x v="0"/>
    <s v="Egypt"/>
    <x v="22"/>
    <x v="100"/>
    <x v="100"/>
    <d v="2025-06-27T00:00:00"/>
    <d v="1899-12-30T08:15:00"/>
    <s v="Planned Task"/>
    <m/>
    <m/>
    <n v="29700"/>
    <x v="1"/>
  </r>
  <r>
    <x v="0"/>
    <s v="Egypt"/>
    <x v="22"/>
    <x v="100"/>
    <x v="100"/>
    <d v="2025-06-28T00:00:00"/>
    <d v="1899-12-30T08:15:00"/>
    <s v="Planned Task"/>
    <m/>
    <m/>
    <n v="29700"/>
    <x v="1"/>
  </r>
  <r>
    <x v="0"/>
    <s v="Egypt"/>
    <x v="22"/>
    <x v="100"/>
    <x v="100"/>
    <d v="2025-06-29T00:00:00"/>
    <d v="1899-12-30T08:15:00"/>
    <s v="Planned Task"/>
    <m/>
    <m/>
    <n v="29700"/>
    <x v="1"/>
  </r>
  <r>
    <x v="0"/>
    <s v="Egypt"/>
    <x v="22"/>
    <x v="100"/>
    <x v="100"/>
    <d v="2025-06-30T00:00:00"/>
    <d v="1899-12-30T08:15:00"/>
    <s v="Planned Task"/>
    <m/>
    <m/>
    <n v="29700"/>
    <x v="1"/>
  </r>
  <r>
    <x v="0"/>
    <s v="Egypt"/>
    <x v="22"/>
    <x v="101"/>
    <x v="101"/>
    <d v="2025-06-01T00:00:00"/>
    <d v="1899-12-30T08:15:00"/>
    <s v="Non Telecom"/>
    <d v="1899-12-30T11:00:00"/>
    <d v="1899-12-30T19:15:00"/>
    <n v="29700"/>
    <x v="0"/>
  </r>
  <r>
    <x v="0"/>
    <s v="Egypt"/>
    <x v="22"/>
    <x v="101"/>
    <x v="101"/>
    <m/>
    <m/>
    <s v="Break 15 Morning"/>
    <d v="1899-12-30T14:00:00"/>
    <d v="1899-12-30T14:15:00"/>
    <n v="0"/>
    <x v="1"/>
  </r>
  <r>
    <x v="0"/>
    <s v="Egypt"/>
    <x v="22"/>
    <x v="101"/>
    <x v="101"/>
    <m/>
    <m/>
    <s v="Break 30 Morning"/>
    <d v="1899-12-30T17:30:00"/>
    <d v="1899-12-30T18:00:00"/>
    <n v="0"/>
    <x v="1"/>
  </r>
  <r>
    <x v="0"/>
    <s v="Egypt"/>
    <x v="22"/>
    <x v="101"/>
    <x v="101"/>
    <d v="2025-06-02T00:00:00"/>
    <d v="1899-12-30T08:15:00"/>
    <s v="Annual Exception"/>
    <m/>
    <m/>
    <n v="29700"/>
    <x v="1"/>
  </r>
  <r>
    <x v="0"/>
    <s v="Egypt"/>
    <x v="22"/>
    <x v="101"/>
    <x v="101"/>
    <d v="2025-06-03T00:00:00"/>
    <d v="1899-12-30T08:15:00"/>
    <s v="Non Telecom"/>
    <d v="1899-12-30T13:00:00"/>
    <d v="1899-12-30T21:15:00"/>
    <n v="29700"/>
    <x v="0"/>
  </r>
  <r>
    <x v="0"/>
    <s v="Egypt"/>
    <x v="22"/>
    <x v="101"/>
    <x v="101"/>
    <m/>
    <m/>
    <s v="Break 15 Morning"/>
    <d v="1899-12-30T14:00:00"/>
    <d v="1899-12-30T14:15:00"/>
    <n v="0"/>
    <x v="1"/>
  </r>
  <r>
    <x v="0"/>
    <s v="Egypt"/>
    <x v="22"/>
    <x v="101"/>
    <x v="101"/>
    <m/>
    <m/>
    <s v="Break 30 Morning"/>
    <d v="1899-12-30T16:30:00"/>
    <d v="1899-12-30T17:00:00"/>
    <n v="0"/>
    <x v="1"/>
  </r>
  <r>
    <x v="0"/>
    <s v="Egypt"/>
    <x v="22"/>
    <x v="101"/>
    <x v="101"/>
    <d v="2025-06-04T00:00:00"/>
    <d v="1899-12-30T08:15:00"/>
    <s v="Non Telecom"/>
    <d v="1899-12-30T13:00:00"/>
    <d v="1899-12-30T21:15:00"/>
    <n v="29700"/>
    <x v="0"/>
  </r>
  <r>
    <x v="0"/>
    <s v="Egypt"/>
    <x v="22"/>
    <x v="101"/>
    <x v="101"/>
    <m/>
    <m/>
    <s v="Break 15 Morning"/>
    <d v="1899-12-30T14:00:00"/>
    <d v="1899-12-30T14:15:00"/>
    <n v="0"/>
    <x v="1"/>
  </r>
  <r>
    <x v="0"/>
    <s v="Egypt"/>
    <x v="22"/>
    <x v="101"/>
    <x v="101"/>
    <m/>
    <m/>
    <s v="Break 30 Morning"/>
    <d v="1899-12-30T17:30:00"/>
    <d v="1899-12-30T18:00:00"/>
    <n v="0"/>
    <x v="1"/>
  </r>
  <r>
    <x v="0"/>
    <s v="Egypt"/>
    <x v="22"/>
    <x v="101"/>
    <x v="101"/>
    <d v="2025-06-05T00:00:00"/>
    <d v="1899-12-30T08:15:00"/>
    <s v="Non Telecom"/>
    <d v="1899-12-30T11:00:00"/>
    <d v="1899-12-30T19:15:00"/>
    <n v="29700"/>
    <x v="0"/>
  </r>
  <r>
    <x v="0"/>
    <s v="Egypt"/>
    <x v="22"/>
    <x v="101"/>
    <x v="101"/>
    <m/>
    <m/>
    <s v="Break 15 Morning"/>
    <d v="1899-12-30T13:45:00"/>
    <d v="1899-12-30T14:00:00"/>
    <n v="0"/>
    <x v="1"/>
  </r>
  <r>
    <x v="0"/>
    <s v="Egypt"/>
    <x v="22"/>
    <x v="101"/>
    <x v="101"/>
    <m/>
    <m/>
    <s v="Break 30 Morning"/>
    <d v="1899-12-30T16:45:00"/>
    <d v="1899-12-30T17:15:00"/>
    <n v="0"/>
    <x v="1"/>
  </r>
  <r>
    <x v="0"/>
    <s v="Egypt"/>
    <x v="22"/>
    <x v="101"/>
    <x v="101"/>
    <d v="2025-06-06T00:00:00"/>
    <m/>
    <s v="Day Off"/>
    <m/>
    <m/>
    <n v="0"/>
    <x v="1"/>
  </r>
  <r>
    <x v="0"/>
    <s v="Egypt"/>
    <x v="22"/>
    <x v="101"/>
    <x v="101"/>
    <d v="2025-06-07T00:00:00"/>
    <m/>
    <s v="Day Off"/>
    <m/>
    <m/>
    <n v="0"/>
    <x v="1"/>
  </r>
  <r>
    <x v="0"/>
    <s v="Egypt"/>
    <x v="22"/>
    <x v="101"/>
    <x v="101"/>
    <d v="2025-06-08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1:45:00"/>
    <d v="1899-12-30T12:00:00"/>
    <n v="0"/>
    <x v="1"/>
  </r>
  <r>
    <x v="0"/>
    <s v="Egypt"/>
    <x v="22"/>
    <x v="101"/>
    <x v="101"/>
    <m/>
    <m/>
    <s v="Break 30 Morning"/>
    <d v="1899-12-30T14:45:00"/>
    <d v="1899-12-30T15:15:00"/>
    <n v="0"/>
    <x v="1"/>
  </r>
  <r>
    <x v="0"/>
    <s v="Egypt"/>
    <x v="22"/>
    <x v="101"/>
    <x v="101"/>
    <d v="2025-06-09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1:30:00"/>
    <d v="1899-12-30T11:45:00"/>
    <n v="0"/>
    <x v="1"/>
  </r>
  <r>
    <x v="0"/>
    <s v="Egypt"/>
    <x v="22"/>
    <x v="101"/>
    <x v="101"/>
    <m/>
    <m/>
    <s v="Break 30 Morning"/>
    <d v="1899-12-30T14:45:00"/>
    <d v="1899-12-30T15:15:00"/>
    <n v="0"/>
    <x v="1"/>
  </r>
  <r>
    <x v="0"/>
    <s v="Egypt"/>
    <x v="22"/>
    <x v="101"/>
    <x v="101"/>
    <d v="2025-06-10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1:15:00"/>
    <d v="1899-12-30T11:30:00"/>
    <n v="0"/>
    <x v="1"/>
  </r>
  <r>
    <x v="0"/>
    <s v="Egypt"/>
    <x v="22"/>
    <x v="101"/>
    <x v="101"/>
    <m/>
    <m/>
    <s v="Break 30 Morning"/>
    <d v="1899-12-30T14:15:00"/>
    <d v="1899-12-30T14:45:00"/>
    <n v="0"/>
    <x v="1"/>
  </r>
  <r>
    <x v="0"/>
    <s v="Egypt"/>
    <x v="22"/>
    <x v="101"/>
    <x v="101"/>
    <d v="2025-06-11T00:00:00"/>
    <m/>
    <s v="Day Off"/>
    <m/>
    <m/>
    <n v="0"/>
    <x v="1"/>
  </r>
  <r>
    <x v="0"/>
    <s v="Egypt"/>
    <x v="22"/>
    <x v="101"/>
    <x v="101"/>
    <d v="2025-06-12T00:00:00"/>
    <m/>
    <s v="Day Off"/>
    <m/>
    <m/>
    <n v="0"/>
    <x v="1"/>
  </r>
  <r>
    <x v="0"/>
    <s v="Egypt"/>
    <x v="22"/>
    <x v="101"/>
    <x v="101"/>
    <d v="2025-06-13T00:00:00"/>
    <d v="1899-12-30T08:15:00"/>
    <s v="Non Telecom"/>
    <d v="1899-12-30T11:00:00"/>
    <d v="1899-12-30T19:15:00"/>
    <n v="29700"/>
    <x v="0"/>
  </r>
  <r>
    <x v="0"/>
    <s v="Egypt"/>
    <x v="22"/>
    <x v="101"/>
    <x v="101"/>
    <m/>
    <m/>
    <s v="Break 15 Morning"/>
    <d v="1899-12-30T13:45:00"/>
    <d v="1899-12-30T14:00:00"/>
    <n v="0"/>
    <x v="1"/>
  </r>
  <r>
    <x v="0"/>
    <s v="Egypt"/>
    <x v="22"/>
    <x v="101"/>
    <x v="101"/>
    <m/>
    <m/>
    <s v="Break 30 Morning"/>
    <d v="1899-12-30T17:00:00"/>
    <d v="1899-12-30T17:30:00"/>
    <n v="0"/>
    <x v="1"/>
  </r>
  <r>
    <x v="0"/>
    <s v="Egypt"/>
    <x v="22"/>
    <x v="101"/>
    <x v="101"/>
    <d v="2025-06-14T00:00:00"/>
    <d v="1899-12-30T08:15:00"/>
    <s v="Non Telecom"/>
    <d v="1899-12-30T11:00:00"/>
    <d v="1899-12-30T19:15:00"/>
    <n v="29700"/>
    <x v="0"/>
  </r>
  <r>
    <x v="0"/>
    <s v="Egypt"/>
    <x v="22"/>
    <x v="101"/>
    <x v="101"/>
    <m/>
    <m/>
    <s v="Break 15 Morning"/>
    <d v="1899-12-30T14:00:00"/>
    <d v="1899-12-30T14:15:00"/>
    <n v="0"/>
    <x v="1"/>
  </r>
  <r>
    <x v="0"/>
    <s v="Egypt"/>
    <x v="22"/>
    <x v="101"/>
    <x v="101"/>
    <m/>
    <m/>
    <s v="Break 30 Morning"/>
    <d v="1899-12-30T17:15:00"/>
    <d v="1899-12-30T17:45:00"/>
    <n v="0"/>
    <x v="1"/>
  </r>
  <r>
    <x v="0"/>
    <s v="Egypt"/>
    <x v="22"/>
    <x v="101"/>
    <x v="101"/>
    <d v="2025-06-15T00:00:00"/>
    <d v="1899-12-30T08:15:00"/>
    <s v="Non Telecom"/>
    <d v="1899-12-30T13:00:00"/>
    <d v="1899-12-30T21:15:00"/>
    <n v="29700"/>
    <x v="0"/>
  </r>
  <r>
    <x v="0"/>
    <s v="Egypt"/>
    <x v="22"/>
    <x v="101"/>
    <x v="101"/>
    <m/>
    <m/>
    <s v="Break 15 Morning"/>
    <d v="1899-12-30T15:30:00"/>
    <d v="1899-12-30T15:45:00"/>
    <n v="0"/>
    <x v="1"/>
  </r>
  <r>
    <x v="0"/>
    <s v="Egypt"/>
    <x v="22"/>
    <x v="101"/>
    <x v="101"/>
    <m/>
    <m/>
    <s v="Break 30 Morning"/>
    <d v="1899-12-30T18:45:00"/>
    <d v="1899-12-30T19:15:00"/>
    <n v="0"/>
    <x v="1"/>
  </r>
  <r>
    <x v="0"/>
    <s v="Egypt"/>
    <x v="22"/>
    <x v="101"/>
    <x v="101"/>
    <d v="2025-06-16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2:00:00"/>
    <d v="1899-12-30T12:15:00"/>
    <n v="0"/>
    <x v="1"/>
  </r>
  <r>
    <x v="0"/>
    <s v="Egypt"/>
    <x v="22"/>
    <x v="101"/>
    <x v="101"/>
    <m/>
    <m/>
    <s v="Break 30 Morning"/>
    <d v="1899-12-30T14:15:00"/>
    <d v="1899-12-30T14:45:00"/>
    <n v="0"/>
    <x v="1"/>
  </r>
  <r>
    <x v="0"/>
    <s v="Egypt"/>
    <x v="22"/>
    <x v="101"/>
    <x v="101"/>
    <d v="2025-06-17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1:45:00"/>
    <d v="1899-12-30T12:00:00"/>
    <n v="0"/>
    <x v="1"/>
  </r>
  <r>
    <x v="0"/>
    <s v="Egypt"/>
    <x v="22"/>
    <x v="101"/>
    <x v="101"/>
    <m/>
    <m/>
    <s v="Break 30 Morning"/>
    <d v="1899-12-30T14:45:00"/>
    <d v="1899-12-30T15:15:00"/>
    <n v="0"/>
    <x v="1"/>
  </r>
  <r>
    <x v="0"/>
    <s v="Egypt"/>
    <x v="22"/>
    <x v="101"/>
    <x v="101"/>
    <d v="2025-06-18T00:00:00"/>
    <m/>
    <s v="Day Off"/>
    <m/>
    <m/>
    <n v="0"/>
    <x v="1"/>
  </r>
  <r>
    <x v="0"/>
    <s v="Egypt"/>
    <x v="22"/>
    <x v="101"/>
    <x v="101"/>
    <d v="2025-06-19T00:00:00"/>
    <m/>
    <s v="Day Off"/>
    <m/>
    <m/>
    <n v="0"/>
    <x v="1"/>
  </r>
  <r>
    <x v="0"/>
    <s v="Egypt"/>
    <x v="22"/>
    <x v="101"/>
    <x v="101"/>
    <d v="2025-06-20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09:30:00"/>
    <d v="1899-12-30T09:45:00"/>
    <n v="0"/>
    <x v="1"/>
  </r>
  <r>
    <x v="0"/>
    <s v="Egypt"/>
    <x v="22"/>
    <x v="101"/>
    <x v="101"/>
    <m/>
    <m/>
    <s v="Break 30 Morning"/>
    <d v="1899-12-30T12:15:00"/>
    <d v="1899-12-30T12:45:00"/>
    <n v="0"/>
    <x v="1"/>
  </r>
  <r>
    <x v="0"/>
    <s v="Egypt"/>
    <x v="22"/>
    <x v="101"/>
    <x v="101"/>
    <d v="2025-06-21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09:45:00"/>
    <d v="1899-12-30T10:00:00"/>
    <n v="0"/>
    <x v="1"/>
  </r>
  <r>
    <x v="0"/>
    <s v="Egypt"/>
    <x v="22"/>
    <x v="101"/>
    <x v="101"/>
    <m/>
    <m/>
    <s v="Break 30 Morning"/>
    <d v="1899-12-30T12:45:00"/>
    <d v="1899-12-30T13:15:00"/>
    <n v="0"/>
    <x v="1"/>
  </r>
  <r>
    <x v="0"/>
    <s v="Egypt"/>
    <x v="22"/>
    <x v="101"/>
    <x v="101"/>
    <d v="2025-06-22T00:00:00"/>
    <d v="1899-12-30T08:15:00"/>
    <s v="Annual Exception"/>
    <m/>
    <m/>
    <n v="29700"/>
    <x v="1"/>
  </r>
  <r>
    <x v="0"/>
    <s v="Egypt"/>
    <x v="22"/>
    <x v="101"/>
    <x v="101"/>
    <d v="2025-06-23T00:00:00"/>
    <d v="1899-12-30T08:15:00"/>
    <s v="Non Telecom"/>
    <d v="1899-12-30T09:00:00"/>
    <d v="1899-12-30T17:15:00"/>
    <n v="29700"/>
    <x v="0"/>
  </r>
  <r>
    <x v="0"/>
    <s v="Egypt"/>
    <x v="22"/>
    <x v="101"/>
    <x v="101"/>
    <m/>
    <m/>
    <s v="Break 15 Morning"/>
    <d v="1899-12-30T11:45:00"/>
    <d v="1899-12-30T12:00:00"/>
    <n v="0"/>
    <x v="1"/>
  </r>
  <r>
    <x v="0"/>
    <s v="Egypt"/>
    <x v="22"/>
    <x v="101"/>
    <x v="101"/>
    <m/>
    <m/>
    <s v="Break 30 Morning"/>
    <d v="1899-12-30T14:15:00"/>
    <d v="1899-12-30T14:45:00"/>
    <n v="0"/>
    <x v="1"/>
  </r>
  <r>
    <x v="0"/>
    <s v="Egypt"/>
    <x v="22"/>
    <x v="101"/>
    <x v="101"/>
    <d v="2025-06-24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09:45:00"/>
    <d v="1899-12-30T10:00:00"/>
    <n v="0"/>
    <x v="1"/>
  </r>
  <r>
    <x v="0"/>
    <s v="Egypt"/>
    <x v="22"/>
    <x v="101"/>
    <x v="101"/>
    <m/>
    <m/>
    <s v="Break 30 Morning"/>
    <d v="1899-12-30T12:45:00"/>
    <d v="1899-12-30T13:15:00"/>
    <n v="0"/>
    <x v="1"/>
  </r>
  <r>
    <x v="0"/>
    <s v="Egypt"/>
    <x v="22"/>
    <x v="101"/>
    <x v="101"/>
    <d v="2025-06-25T00:00:00"/>
    <m/>
    <s v="Day Off"/>
    <m/>
    <m/>
    <n v="0"/>
    <x v="1"/>
  </r>
  <r>
    <x v="0"/>
    <s v="Egypt"/>
    <x v="22"/>
    <x v="101"/>
    <x v="101"/>
    <d v="2025-06-26T00:00:00"/>
    <m/>
    <s v="Day Off"/>
    <m/>
    <m/>
    <n v="0"/>
    <x v="1"/>
  </r>
  <r>
    <x v="0"/>
    <s v="Egypt"/>
    <x v="22"/>
    <x v="101"/>
    <x v="101"/>
    <d v="2025-06-27T00:00:00"/>
    <d v="1899-12-30T08:15:00"/>
    <s v="Compensation"/>
    <m/>
    <m/>
    <n v="29700"/>
    <x v="1"/>
  </r>
  <r>
    <x v="0"/>
    <s v="Egypt"/>
    <x v="22"/>
    <x v="101"/>
    <x v="101"/>
    <d v="2025-06-28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09:45:00"/>
    <d v="1899-12-30T10:00:00"/>
    <n v="0"/>
    <x v="1"/>
  </r>
  <r>
    <x v="0"/>
    <s v="Egypt"/>
    <x v="22"/>
    <x v="101"/>
    <x v="101"/>
    <m/>
    <m/>
    <s v="Break 30 Morning"/>
    <d v="1899-12-30T12:45:00"/>
    <d v="1899-12-30T13:15:00"/>
    <n v="0"/>
    <x v="1"/>
  </r>
  <r>
    <x v="0"/>
    <s v="Egypt"/>
    <x v="22"/>
    <x v="101"/>
    <x v="101"/>
    <d v="2025-06-29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10:30:00"/>
    <d v="1899-12-30T10:45:00"/>
    <n v="0"/>
    <x v="1"/>
  </r>
  <r>
    <x v="0"/>
    <s v="Egypt"/>
    <x v="22"/>
    <x v="101"/>
    <x v="101"/>
    <m/>
    <m/>
    <s v="Break 30 Morning"/>
    <d v="1899-12-30T13:45:00"/>
    <d v="1899-12-30T14:15:00"/>
    <n v="0"/>
    <x v="1"/>
  </r>
  <r>
    <x v="0"/>
    <s v="Egypt"/>
    <x v="22"/>
    <x v="101"/>
    <x v="101"/>
    <d v="2025-06-30T00:00:00"/>
    <d v="1899-12-30T08:15:00"/>
    <s v="Non Telecom"/>
    <d v="1899-12-30T08:00:00"/>
    <d v="1899-12-30T16:15:00"/>
    <n v="29700"/>
    <x v="0"/>
  </r>
  <r>
    <x v="0"/>
    <s v="Egypt"/>
    <x v="22"/>
    <x v="101"/>
    <x v="101"/>
    <m/>
    <m/>
    <s v="Break 15 Morning"/>
    <d v="1899-12-30T10:45:00"/>
    <d v="1899-12-30T11:00:00"/>
    <n v="0"/>
    <x v="1"/>
  </r>
  <r>
    <x v="0"/>
    <s v="Egypt"/>
    <x v="22"/>
    <x v="101"/>
    <x v="101"/>
    <m/>
    <m/>
    <s v="Break 30 Morning"/>
    <d v="1899-12-30T13:15:00"/>
    <d v="1899-12-30T13:45:00"/>
    <n v="0"/>
    <x v="1"/>
  </r>
  <r>
    <x v="0"/>
    <s v="Egypt"/>
    <x v="23"/>
    <x v="102"/>
    <x v="102"/>
    <d v="2025-06-01T00:00:00"/>
    <m/>
    <s v="Day Off"/>
    <m/>
    <m/>
    <n v="0"/>
    <x v="1"/>
  </r>
  <r>
    <x v="0"/>
    <s v="Egypt"/>
    <x v="23"/>
    <x v="102"/>
    <x v="102"/>
    <d v="2025-06-02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03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04T00:00:00"/>
    <d v="1899-12-30T09:15:00"/>
    <s v="Non Telecom"/>
    <d v="1899-12-30T08:00:00"/>
    <d v="1899-12-30T17:15:00"/>
    <n v="33300"/>
    <x v="0"/>
  </r>
  <r>
    <x v="0"/>
    <s v="Egypt"/>
    <x v="23"/>
    <x v="102"/>
    <x v="102"/>
    <m/>
    <m/>
    <s v="Shift Move"/>
    <d v="1899-12-30T08:00:00"/>
    <d v="1899-12-30T09:00:00"/>
    <n v="0"/>
    <x v="1"/>
  </r>
  <r>
    <x v="0"/>
    <s v="Egypt"/>
    <x v="23"/>
    <x v="102"/>
    <x v="102"/>
    <m/>
    <m/>
    <s v="Break 15 Morning"/>
    <d v="1899-12-30T11:30:00"/>
    <d v="1899-12-30T11:45:00"/>
    <n v="0"/>
    <x v="1"/>
  </r>
  <r>
    <x v="0"/>
    <s v="Egypt"/>
    <x v="23"/>
    <x v="102"/>
    <x v="102"/>
    <m/>
    <m/>
    <s v="Break 30 Morning"/>
    <d v="1899-12-30T14:00:00"/>
    <d v="1899-12-30T14:30:00"/>
    <n v="0"/>
    <x v="1"/>
  </r>
  <r>
    <x v="0"/>
    <s v="Egypt"/>
    <x v="23"/>
    <x v="102"/>
    <x v="102"/>
    <d v="2025-06-05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30:00"/>
    <d v="1899-12-30T09:45:00"/>
    <n v="0"/>
    <x v="1"/>
  </r>
  <r>
    <x v="0"/>
    <s v="Egypt"/>
    <x v="23"/>
    <x v="102"/>
    <x v="102"/>
    <m/>
    <m/>
    <s v="Break 30 Morning"/>
    <d v="1899-12-30T12:45:00"/>
    <d v="1899-12-30T13:15:00"/>
    <n v="0"/>
    <x v="1"/>
  </r>
  <r>
    <x v="0"/>
    <s v="Egypt"/>
    <x v="23"/>
    <x v="102"/>
    <x v="102"/>
    <d v="2025-06-06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30:00"/>
    <d v="1899-12-30T09:45:00"/>
    <n v="0"/>
    <x v="1"/>
  </r>
  <r>
    <x v="0"/>
    <s v="Egypt"/>
    <x v="23"/>
    <x v="102"/>
    <x v="102"/>
    <m/>
    <m/>
    <s v="Break 30 Morning"/>
    <d v="1899-12-30T12:45:00"/>
    <d v="1899-12-30T13:15:00"/>
    <n v="0"/>
    <x v="1"/>
  </r>
  <r>
    <x v="0"/>
    <s v="Egypt"/>
    <x v="23"/>
    <x v="102"/>
    <x v="102"/>
    <d v="2025-06-07T00:00:00"/>
    <m/>
    <s v="Day Off"/>
    <m/>
    <m/>
    <n v="0"/>
    <x v="1"/>
  </r>
  <r>
    <x v="0"/>
    <s v="Egypt"/>
    <x v="23"/>
    <x v="102"/>
    <x v="102"/>
    <d v="2025-06-08T00:00:00"/>
    <d v="1899-12-30T11:15:00"/>
    <s v="Non Telecom"/>
    <d v="1899-12-30T08:00:00"/>
    <d v="1899-12-30T19:15:00"/>
    <n v="40500"/>
    <x v="0"/>
  </r>
  <r>
    <x v="0"/>
    <s v="Egypt"/>
    <x v="23"/>
    <x v="102"/>
    <x v="102"/>
    <m/>
    <m/>
    <s v="Shift Move"/>
    <d v="1899-12-30T08:00:00"/>
    <d v="1899-12-30T11:00:00"/>
    <n v="0"/>
    <x v="1"/>
  </r>
  <r>
    <x v="0"/>
    <s v="Egypt"/>
    <x v="23"/>
    <x v="102"/>
    <x v="102"/>
    <m/>
    <m/>
    <s v="Break 15 Morning"/>
    <d v="1899-12-30T12:30:00"/>
    <d v="1899-12-30T12:45:00"/>
    <n v="0"/>
    <x v="1"/>
  </r>
  <r>
    <x v="0"/>
    <s v="Egypt"/>
    <x v="23"/>
    <x v="102"/>
    <x v="102"/>
    <m/>
    <m/>
    <s v="Break 30 Morning"/>
    <d v="1899-12-30T15:00:00"/>
    <d v="1899-12-30T15:30:00"/>
    <n v="0"/>
    <x v="1"/>
  </r>
  <r>
    <x v="0"/>
    <s v="Egypt"/>
    <x v="23"/>
    <x v="102"/>
    <x v="102"/>
    <d v="2025-06-09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0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00:00"/>
    <d v="1899-12-30T09:15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1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30:00"/>
    <d v="1899-12-30T09:45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2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30:00"/>
    <d v="1899-12-30T09:45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3T00:00:00"/>
    <m/>
    <s v="Day Off"/>
    <m/>
    <m/>
    <n v="0"/>
    <x v="1"/>
  </r>
  <r>
    <x v="0"/>
    <s v="Egypt"/>
    <x v="23"/>
    <x v="102"/>
    <x v="102"/>
    <d v="2025-06-14T00:00:00"/>
    <m/>
    <s v="Day Off"/>
    <m/>
    <m/>
    <n v="0"/>
    <x v="1"/>
  </r>
  <r>
    <x v="0"/>
    <s v="Egypt"/>
    <x v="23"/>
    <x v="102"/>
    <x v="102"/>
    <d v="2025-06-15T00:00:00"/>
    <d v="1899-12-30T08:15:00"/>
    <s v="Annual Exception"/>
    <m/>
    <m/>
    <n v="29700"/>
    <x v="1"/>
  </r>
  <r>
    <x v="0"/>
    <s v="Egypt"/>
    <x v="23"/>
    <x v="102"/>
    <x v="102"/>
    <d v="2025-06-16T00:00:00"/>
    <d v="1899-12-30T08:15:00"/>
    <s v="Annual Exception"/>
    <m/>
    <m/>
    <n v="29700"/>
    <x v="1"/>
  </r>
  <r>
    <x v="0"/>
    <s v="Egypt"/>
    <x v="23"/>
    <x v="102"/>
    <x v="102"/>
    <d v="2025-06-17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8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19T00:00:00"/>
    <d v="1899-12-30T08:15:00"/>
    <s v="Annual Exception"/>
    <m/>
    <m/>
    <n v="29700"/>
    <x v="1"/>
  </r>
  <r>
    <x v="0"/>
    <s v="Egypt"/>
    <x v="23"/>
    <x v="102"/>
    <x v="102"/>
    <d v="2025-06-20T00:00:00"/>
    <m/>
    <s v="Day Off"/>
    <m/>
    <m/>
    <n v="0"/>
    <x v="1"/>
  </r>
  <r>
    <x v="0"/>
    <s v="Egypt"/>
    <x v="23"/>
    <x v="102"/>
    <x v="102"/>
    <d v="2025-06-21T00:00:00"/>
    <m/>
    <s v="Day Off"/>
    <m/>
    <m/>
    <n v="0"/>
    <x v="1"/>
  </r>
  <r>
    <x v="0"/>
    <s v="Egypt"/>
    <x v="23"/>
    <x v="102"/>
    <x v="102"/>
    <d v="2025-06-22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23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24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2"/>
    <x v="102"/>
    <d v="2025-06-25T00:00:00"/>
    <m/>
    <s v="Day Off"/>
    <m/>
    <m/>
    <n v="0"/>
    <x v="1"/>
  </r>
  <r>
    <x v="0"/>
    <s v="Egypt"/>
    <x v="23"/>
    <x v="102"/>
    <x v="102"/>
    <d v="2025-06-26T00:00:00"/>
    <m/>
    <s v="Day Off"/>
    <m/>
    <m/>
    <n v="0"/>
    <x v="1"/>
  </r>
  <r>
    <x v="0"/>
    <s v="Egypt"/>
    <x v="23"/>
    <x v="102"/>
    <x v="102"/>
    <d v="2025-06-27T00:00:00"/>
    <d v="1899-12-30T09:15:00"/>
    <s v="Non Telecom"/>
    <d v="1899-12-30T08:00:00"/>
    <d v="1899-12-30T17:15:00"/>
    <n v="33300"/>
    <x v="0"/>
  </r>
  <r>
    <x v="0"/>
    <s v="Egypt"/>
    <x v="23"/>
    <x v="102"/>
    <x v="102"/>
    <m/>
    <m/>
    <s v="Shift Move"/>
    <d v="1899-12-30T08:00:00"/>
    <d v="1899-12-30T09:00:00"/>
    <n v="0"/>
    <x v="1"/>
  </r>
  <r>
    <x v="0"/>
    <s v="Egypt"/>
    <x v="23"/>
    <x v="102"/>
    <x v="102"/>
    <m/>
    <m/>
    <s v="Break 15 Morning"/>
    <d v="1899-12-30T11:30:00"/>
    <d v="1899-12-30T11:45:00"/>
    <n v="0"/>
    <x v="1"/>
  </r>
  <r>
    <x v="0"/>
    <s v="Egypt"/>
    <x v="23"/>
    <x v="102"/>
    <x v="102"/>
    <m/>
    <m/>
    <s v="Break 30 Morning"/>
    <d v="1899-12-30T13:30:00"/>
    <d v="1899-12-30T14:00:00"/>
    <n v="0"/>
    <x v="1"/>
  </r>
  <r>
    <x v="0"/>
    <s v="Egypt"/>
    <x v="23"/>
    <x v="102"/>
    <x v="102"/>
    <d v="2025-06-28T00:00:00"/>
    <d v="1899-12-30T08:15:00"/>
    <s v="Non Telecom"/>
    <d v="1899-12-30T09:00:00"/>
    <d v="1899-12-30T17:15:00"/>
    <n v="29700"/>
    <x v="0"/>
  </r>
  <r>
    <x v="0"/>
    <s v="Egypt"/>
    <x v="23"/>
    <x v="102"/>
    <x v="102"/>
    <m/>
    <m/>
    <s v="Break 15 Morning"/>
    <d v="1899-12-30T11:00:00"/>
    <d v="1899-12-30T11:15:00"/>
    <n v="0"/>
    <x v="1"/>
  </r>
  <r>
    <x v="0"/>
    <s v="Egypt"/>
    <x v="23"/>
    <x v="102"/>
    <x v="102"/>
    <m/>
    <m/>
    <s v="Break 30 Morning"/>
    <d v="1899-12-30T13:45:00"/>
    <d v="1899-12-30T14:15:00"/>
    <n v="0"/>
    <x v="1"/>
  </r>
  <r>
    <x v="0"/>
    <s v="Egypt"/>
    <x v="23"/>
    <x v="102"/>
    <x v="102"/>
    <d v="2025-06-29T00:00:00"/>
    <d v="1899-12-30T08:15:00"/>
    <s v="Non Telecom"/>
    <d v="1899-12-30T09:00:00"/>
    <d v="1899-12-30T17:15:00"/>
    <n v="29700"/>
    <x v="0"/>
  </r>
  <r>
    <x v="0"/>
    <s v="Egypt"/>
    <x v="23"/>
    <x v="102"/>
    <x v="102"/>
    <m/>
    <m/>
    <s v="Break 15 Morning"/>
    <d v="1899-12-30T11:45:00"/>
    <d v="1899-12-30T12:00:00"/>
    <n v="0"/>
    <x v="1"/>
  </r>
  <r>
    <x v="0"/>
    <s v="Egypt"/>
    <x v="23"/>
    <x v="102"/>
    <x v="102"/>
    <m/>
    <m/>
    <s v="Break 30 Morning"/>
    <d v="1899-12-30T14:00:00"/>
    <d v="1899-12-30T14:30:00"/>
    <n v="0"/>
    <x v="1"/>
  </r>
  <r>
    <x v="0"/>
    <s v="Egypt"/>
    <x v="23"/>
    <x v="102"/>
    <x v="102"/>
    <d v="2025-06-30T00:00:00"/>
    <d v="1899-12-30T08:15:00"/>
    <s v="Non Telecom"/>
    <d v="1899-12-30T08:00:00"/>
    <d v="1899-12-30T16:15:00"/>
    <n v="29700"/>
    <x v="0"/>
  </r>
  <r>
    <x v="0"/>
    <s v="Egypt"/>
    <x v="23"/>
    <x v="102"/>
    <x v="102"/>
    <m/>
    <m/>
    <s v="Break 15 Morning"/>
    <d v="1899-12-30T09:15:00"/>
    <d v="1899-12-30T09:30:00"/>
    <n v="0"/>
    <x v="1"/>
  </r>
  <r>
    <x v="0"/>
    <s v="Egypt"/>
    <x v="23"/>
    <x v="102"/>
    <x v="102"/>
    <m/>
    <m/>
    <s v="Break 30 Morning"/>
    <d v="1899-12-30T12:15:00"/>
    <d v="1899-12-30T12:45:00"/>
    <n v="0"/>
    <x v="1"/>
  </r>
  <r>
    <x v="0"/>
    <s v="Egypt"/>
    <x v="23"/>
    <x v="103"/>
    <x v="103"/>
    <d v="2025-06-01T00:00:00"/>
    <m/>
    <s v="Day Off"/>
    <m/>
    <m/>
    <n v="0"/>
    <x v="1"/>
  </r>
  <r>
    <x v="0"/>
    <s v="Egypt"/>
    <x v="23"/>
    <x v="103"/>
    <x v="103"/>
    <d v="2025-06-02T00:00:00"/>
    <d v="1899-12-30T00:00:00"/>
    <s v="&lt;Exception&gt; -1"/>
    <m/>
    <m/>
    <n v="0"/>
    <x v="1"/>
  </r>
  <r>
    <x v="0"/>
    <s v="Egypt"/>
    <x v="23"/>
    <x v="103"/>
    <x v="103"/>
    <d v="2025-06-03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3:15:00"/>
    <d v="1899-12-30T13:45:00"/>
    <n v="0"/>
    <x v="1"/>
  </r>
  <r>
    <x v="0"/>
    <s v="Egypt"/>
    <x v="23"/>
    <x v="103"/>
    <x v="103"/>
    <d v="2025-06-04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3:15:00"/>
    <d v="1899-12-30T13:45:00"/>
    <n v="0"/>
    <x v="1"/>
  </r>
  <r>
    <x v="0"/>
    <s v="Egypt"/>
    <x v="23"/>
    <x v="103"/>
    <x v="103"/>
    <d v="2025-06-05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30:00"/>
    <d v="1899-12-30T10:45:00"/>
    <n v="0"/>
    <x v="1"/>
  </r>
  <r>
    <x v="0"/>
    <s v="Egypt"/>
    <x v="23"/>
    <x v="103"/>
    <x v="103"/>
    <m/>
    <m/>
    <s v="Break 30 Morning"/>
    <d v="1899-12-30T13:45:00"/>
    <d v="1899-12-30T14:15:00"/>
    <n v="0"/>
    <x v="1"/>
  </r>
  <r>
    <x v="0"/>
    <s v="Egypt"/>
    <x v="23"/>
    <x v="103"/>
    <x v="103"/>
    <d v="2025-06-06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15:00"/>
    <d v="1899-12-30T10:30:00"/>
    <n v="0"/>
    <x v="1"/>
  </r>
  <r>
    <x v="0"/>
    <s v="Egypt"/>
    <x v="23"/>
    <x v="103"/>
    <x v="103"/>
    <m/>
    <m/>
    <s v="Break 30 Morning"/>
    <d v="1899-12-30T13:15:00"/>
    <d v="1899-12-30T13:45:00"/>
    <n v="0"/>
    <x v="1"/>
  </r>
  <r>
    <x v="0"/>
    <s v="Egypt"/>
    <x v="23"/>
    <x v="103"/>
    <x v="103"/>
    <d v="2025-06-07T00:00:00"/>
    <m/>
    <s v="Day Off"/>
    <m/>
    <m/>
    <n v="0"/>
    <x v="1"/>
  </r>
  <r>
    <x v="0"/>
    <s v="Egypt"/>
    <x v="23"/>
    <x v="103"/>
    <x v="103"/>
    <d v="2025-06-08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3:15:00"/>
    <d v="1899-12-30T13:45:00"/>
    <n v="0"/>
    <x v="1"/>
  </r>
  <r>
    <x v="0"/>
    <s v="Egypt"/>
    <x v="23"/>
    <x v="103"/>
    <x v="103"/>
    <d v="2025-06-09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3:15:00"/>
    <d v="1899-12-30T13:45:00"/>
    <n v="0"/>
    <x v="1"/>
  </r>
  <r>
    <x v="0"/>
    <s v="Egypt"/>
    <x v="23"/>
    <x v="103"/>
    <x v="103"/>
    <d v="2025-06-10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09:45:00"/>
    <d v="1899-12-30T10:00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11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12T00:00:00"/>
    <m/>
    <s v="Day Off"/>
    <m/>
    <m/>
    <n v="0"/>
    <x v="1"/>
  </r>
  <r>
    <x v="0"/>
    <s v="Egypt"/>
    <x v="23"/>
    <x v="103"/>
    <x v="103"/>
    <d v="2025-06-13T00:00:00"/>
    <m/>
    <s v="Day Off"/>
    <m/>
    <m/>
    <n v="0"/>
    <x v="1"/>
  </r>
  <r>
    <x v="0"/>
    <s v="Egypt"/>
    <x v="23"/>
    <x v="103"/>
    <x v="103"/>
    <d v="2025-06-14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15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09:15:00"/>
    <d v="1899-12-30T09:30:00"/>
    <n v="0"/>
    <x v="1"/>
  </r>
  <r>
    <x v="0"/>
    <s v="Egypt"/>
    <x v="23"/>
    <x v="103"/>
    <x v="103"/>
    <m/>
    <m/>
    <s v="Break 30 Morning"/>
    <d v="1899-12-30T12:15:00"/>
    <d v="1899-12-30T12:45:00"/>
    <n v="0"/>
    <x v="1"/>
  </r>
  <r>
    <x v="0"/>
    <s v="Egypt"/>
    <x v="23"/>
    <x v="103"/>
    <x v="103"/>
    <d v="2025-06-16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09:45:00"/>
    <d v="1899-12-30T10:00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17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18T00:00:00"/>
    <d v="1899-12-30T08:15:00"/>
    <s v="Annual Exception"/>
    <m/>
    <m/>
    <n v="29700"/>
    <x v="1"/>
  </r>
  <r>
    <x v="0"/>
    <s v="Egypt"/>
    <x v="23"/>
    <x v="103"/>
    <x v="103"/>
    <d v="2025-06-19T00:00:00"/>
    <m/>
    <s v="Day Off"/>
    <m/>
    <m/>
    <n v="0"/>
    <x v="1"/>
  </r>
  <r>
    <x v="0"/>
    <s v="Egypt"/>
    <x v="23"/>
    <x v="103"/>
    <x v="103"/>
    <d v="2025-06-20T00:00:00"/>
    <m/>
    <s v="Day Off"/>
    <m/>
    <m/>
    <n v="0"/>
    <x v="1"/>
  </r>
  <r>
    <x v="0"/>
    <s v="Egypt"/>
    <x v="23"/>
    <x v="103"/>
    <x v="103"/>
    <d v="2025-06-21T00:00:00"/>
    <d v="1899-12-30T08:15:00"/>
    <s v="Non Telecom"/>
    <d v="1899-12-30T08:00:00"/>
    <d v="1899-12-30T16:15:00"/>
    <n v="29700"/>
    <x v="0"/>
  </r>
  <r>
    <x v="0"/>
    <s v="Egypt"/>
    <x v="23"/>
    <x v="103"/>
    <x v="103"/>
    <m/>
    <m/>
    <s v="Break 15 Morning"/>
    <d v="1899-12-30T10:00:00"/>
    <d v="1899-12-30T10:15:00"/>
    <n v="0"/>
    <x v="1"/>
  </r>
  <r>
    <x v="0"/>
    <s v="Egypt"/>
    <x v="23"/>
    <x v="103"/>
    <x v="103"/>
    <m/>
    <m/>
    <s v="Break 30 Morning"/>
    <d v="1899-12-30T12:45:00"/>
    <d v="1899-12-30T13:15:00"/>
    <n v="0"/>
    <x v="1"/>
  </r>
  <r>
    <x v="0"/>
    <s v="Egypt"/>
    <x v="23"/>
    <x v="103"/>
    <x v="103"/>
    <d v="2025-06-22T00:00:00"/>
    <d v="1899-12-30T08:15:00"/>
    <s v="Annual Exception"/>
    <m/>
    <m/>
    <n v="29700"/>
    <x v="1"/>
  </r>
  <r>
    <x v="0"/>
    <s v="Egypt"/>
    <x v="23"/>
    <x v="103"/>
    <x v="103"/>
    <d v="2025-06-23T00:00:00"/>
    <d v="1899-12-30T08:15:00"/>
    <s v="Annual Exception"/>
    <m/>
    <m/>
    <n v="29700"/>
    <x v="1"/>
  </r>
  <r>
    <x v="0"/>
    <s v="Egypt"/>
    <x v="23"/>
    <x v="103"/>
    <x v="103"/>
    <d v="2025-06-24T00:00:00"/>
    <d v="1899-12-30T00:00:00"/>
    <s v="Loan"/>
    <m/>
    <m/>
    <n v="0"/>
    <x v="1"/>
  </r>
  <r>
    <x v="0"/>
    <s v="Egypt"/>
    <x v="23"/>
    <x v="103"/>
    <x v="103"/>
    <d v="2025-06-25T00:00:00"/>
    <m/>
    <s v="Day Off"/>
    <m/>
    <m/>
    <n v="0"/>
    <x v="1"/>
  </r>
  <r>
    <x v="0"/>
    <s v="Egypt"/>
    <x v="23"/>
    <x v="103"/>
    <x v="103"/>
    <d v="2025-06-26T00:00:00"/>
    <m/>
    <s v="Day Off"/>
    <m/>
    <m/>
    <n v="0"/>
    <x v="1"/>
  </r>
  <r>
    <x v="0"/>
    <s v="Egypt"/>
    <x v="23"/>
    <x v="103"/>
    <x v="103"/>
    <d v="2025-06-27T00:00:00"/>
    <d v="1899-12-30T00:00:00"/>
    <s v="Loan"/>
    <m/>
    <m/>
    <n v="0"/>
    <x v="1"/>
  </r>
  <r>
    <x v="0"/>
    <s v="Egypt"/>
    <x v="23"/>
    <x v="103"/>
    <x v="103"/>
    <d v="2025-06-28T00:00:00"/>
    <d v="1899-12-30T00:00:00"/>
    <s v="Loan"/>
    <m/>
    <m/>
    <n v="0"/>
    <x v="1"/>
  </r>
  <r>
    <x v="0"/>
    <s v="Egypt"/>
    <x v="23"/>
    <x v="103"/>
    <x v="103"/>
    <d v="2025-06-29T00:00:00"/>
    <d v="1899-12-30T00:00:00"/>
    <s v="Loan"/>
    <m/>
    <m/>
    <n v="0"/>
    <x v="1"/>
  </r>
  <r>
    <x v="0"/>
    <s v="Egypt"/>
    <x v="23"/>
    <x v="103"/>
    <x v="103"/>
    <d v="2025-06-30T00:00:00"/>
    <d v="1899-12-30T00:00:00"/>
    <s v="Loan"/>
    <m/>
    <m/>
    <n v="0"/>
    <x v="1"/>
  </r>
  <r>
    <x v="0"/>
    <s v="Egypt"/>
    <x v="23"/>
    <x v="104"/>
    <x v="104"/>
    <d v="2025-06-01T00:00:00"/>
    <d v="1899-12-30T08:15:00"/>
    <s v="Non Telecom"/>
    <d v="1899-12-30T09:00:00"/>
    <d v="1899-12-30T17:15:00"/>
    <n v="29700"/>
    <x v="0"/>
  </r>
  <r>
    <x v="0"/>
    <s v="Egypt"/>
    <x v="23"/>
    <x v="104"/>
    <x v="104"/>
    <m/>
    <m/>
    <s v="Break 15 Morning"/>
    <d v="1899-12-30T12:00:00"/>
    <d v="1899-12-30T12:15:00"/>
    <n v="0"/>
    <x v="1"/>
  </r>
  <r>
    <x v="0"/>
    <s v="Egypt"/>
    <x v="23"/>
    <x v="104"/>
    <x v="104"/>
    <m/>
    <m/>
    <s v="Break 30 Morning"/>
    <d v="1899-12-30T15:15:00"/>
    <d v="1899-12-30T15:45:00"/>
    <n v="0"/>
    <x v="1"/>
  </r>
  <r>
    <x v="0"/>
    <s v="Egypt"/>
    <x v="23"/>
    <x v="104"/>
    <x v="104"/>
    <d v="2025-06-02T00:00:00"/>
    <d v="1899-12-30T08:15:00"/>
    <s v="Non Telecom"/>
    <d v="1899-12-30T09:00:00"/>
    <d v="1899-12-30T17:15:00"/>
    <n v="29700"/>
    <x v="0"/>
  </r>
  <r>
    <x v="0"/>
    <s v="Egypt"/>
    <x v="23"/>
    <x v="104"/>
    <x v="104"/>
    <m/>
    <m/>
    <s v="Break 15 Morning"/>
    <d v="1899-12-30T12:30:00"/>
    <d v="1899-12-30T12:45:00"/>
    <n v="0"/>
    <x v="1"/>
  </r>
  <r>
    <x v="0"/>
    <s v="Egypt"/>
    <x v="23"/>
    <x v="104"/>
    <x v="104"/>
    <m/>
    <m/>
    <s v="Break 30 Morning"/>
    <d v="1899-12-30T15:45:00"/>
    <d v="1899-12-30T16:15:00"/>
    <n v="0"/>
    <x v="1"/>
  </r>
  <r>
    <x v="0"/>
    <s v="Egypt"/>
    <x v="23"/>
    <x v="104"/>
    <x v="104"/>
    <d v="2025-06-03T00:00:00"/>
    <d v="1899-12-30T08:15:00"/>
    <s v="Non Telecom"/>
    <d v="1899-12-30T09:00:00"/>
    <d v="1899-12-30T17:15:00"/>
    <n v="29700"/>
    <x v="0"/>
  </r>
  <r>
    <x v="0"/>
    <s v="Egypt"/>
    <x v="23"/>
    <x v="104"/>
    <x v="104"/>
    <m/>
    <m/>
    <s v="Break 15 Morning"/>
    <d v="1899-12-30T12:30:00"/>
    <d v="1899-12-30T12:45:00"/>
    <n v="0"/>
    <x v="1"/>
  </r>
  <r>
    <x v="0"/>
    <s v="Egypt"/>
    <x v="23"/>
    <x v="104"/>
    <x v="104"/>
    <m/>
    <m/>
    <s v="Break 30 Morning"/>
    <d v="1899-12-30T15:45:00"/>
    <d v="1899-12-30T16:15:00"/>
    <n v="0"/>
    <x v="1"/>
  </r>
  <r>
    <x v="0"/>
    <s v="Egypt"/>
    <x v="23"/>
    <x v="104"/>
    <x v="104"/>
    <d v="2025-06-04T00:00:00"/>
    <m/>
    <s v="Day Off"/>
    <m/>
    <m/>
    <n v="0"/>
    <x v="1"/>
  </r>
  <r>
    <x v="0"/>
    <s v="Egypt"/>
    <x v="23"/>
    <x v="104"/>
    <x v="104"/>
    <d v="2025-06-05T00:00:00"/>
    <d v="1899-12-30T08:15:00"/>
    <s v="Non Telecom"/>
    <d v="1899-12-30T09:00:00"/>
    <d v="1899-12-30T17:15:00"/>
    <n v="29700"/>
    <x v="0"/>
  </r>
  <r>
    <x v="0"/>
    <s v="Egypt"/>
    <x v="23"/>
    <x v="104"/>
    <x v="104"/>
    <m/>
    <m/>
    <s v="Break 15 Morning"/>
    <d v="1899-12-30T12:30:00"/>
    <d v="1899-12-30T12:45:00"/>
    <n v="0"/>
    <x v="1"/>
  </r>
  <r>
    <x v="0"/>
    <s v="Egypt"/>
    <x v="23"/>
    <x v="104"/>
    <x v="104"/>
    <m/>
    <m/>
    <s v="Break 30 Morning"/>
    <d v="1899-12-30T15:45:00"/>
    <d v="1899-12-30T16:15:00"/>
    <n v="0"/>
    <x v="1"/>
  </r>
  <r>
    <x v="0"/>
    <s v="Egypt"/>
    <x v="23"/>
    <x v="104"/>
    <x v="104"/>
    <d v="2025-06-06T00:00:00"/>
    <m/>
    <s v="Day Off"/>
    <m/>
    <m/>
    <n v="0"/>
    <x v="1"/>
  </r>
  <r>
    <x v="0"/>
    <s v="Egypt"/>
    <x v="23"/>
    <x v="104"/>
    <x v="104"/>
    <d v="2025-06-07T00:00:00"/>
    <d v="1899-12-30T08:15:00"/>
    <s v="Non Telecom"/>
    <d v="1899-12-30T08:00:00"/>
    <d v="1899-12-30T16:15:00"/>
    <n v="29700"/>
    <x v="0"/>
  </r>
  <r>
    <x v="0"/>
    <s v="Egypt"/>
    <x v="23"/>
    <x v="104"/>
    <x v="104"/>
    <m/>
    <m/>
    <s v="Break 15 Morning"/>
    <d v="1899-12-30T10:00:00"/>
    <d v="1899-12-30T10:15:00"/>
    <n v="0"/>
    <x v="1"/>
  </r>
  <r>
    <x v="0"/>
    <s v="Egypt"/>
    <x v="23"/>
    <x v="104"/>
    <x v="104"/>
    <m/>
    <m/>
    <s v="Break 30 Morning"/>
    <d v="1899-12-30T13:15:00"/>
    <d v="1899-12-30T13:45:00"/>
    <n v="0"/>
    <x v="1"/>
  </r>
  <r>
    <x v="0"/>
    <s v="Egypt"/>
    <x v="23"/>
    <x v="104"/>
    <x v="104"/>
    <d v="2025-06-08T00:00:00"/>
    <d v="1899-12-30T08:15:00"/>
    <s v="Public holiday"/>
    <m/>
    <m/>
    <n v="29700"/>
    <x v="1"/>
  </r>
  <r>
    <x v="0"/>
    <s v="Egypt"/>
    <x v="23"/>
    <x v="104"/>
    <x v="104"/>
    <d v="2025-06-09T00:00:00"/>
    <d v="1899-12-30T08:15:00"/>
    <s v="Public holiday"/>
    <m/>
    <m/>
    <n v="29700"/>
    <x v="1"/>
  </r>
  <r>
    <x v="0"/>
    <s v="Egypt"/>
    <x v="23"/>
    <x v="104"/>
    <x v="104"/>
    <d v="2025-06-10T00:00:00"/>
    <d v="1899-12-30T08:15:00"/>
    <s v="Sick"/>
    <m/>
    <m/>
    <n v="29700"/>
    <x v="1"/>
  </r>
  <r>
    <x v="0"/>
    <s v="Egypt"/>
    <x v="23"/>
    <x v="104"/>
    <x v="104"/>
    <d v="2025-06-11T00:00:00"/>
    <d v="1899-12-30T08:15:00"/>
    <s v="Uncertified Sick Leave"/>
    <m/>
    <m/>
    <n v="29700"/>
    <x v="1"/>
  </r>
  <r>
    <x v="0"/>
    <s v="Egypt"/>
    <x v="23"/>
    <x v="104"/>
    <x v="104"/>
    <d v="2025-06-12T00:00:00"/>
    <d v="1899-12-30T08:15:00"/>
    <s v="Sick"/>
    <m/>
    <m/>
    <n v="29700"/>
    <x v="1"/>
  </r>
  <r>
    <x v="0"/>
    <s v="Egypt"/>
    <x v="23"/>
    <x v="104"/>
    <x v="104"/>
    <d v="2025-06-13T00:00:00"/>
    <m/>
    <s v="Day Off"/>
    <m/>
    <m/>
    <n v="0"/>
    <x v="1"/>
  </r>
  <r>
    <x v="0"/>
    <s v="Egypt"/>
    <x v="23"/>
    <x v="104"/>
    <x v="104"/>
    <d v="2025-06-14T00:00:00"/>
    <m/>
    <s v="Day Off"/>
    <m/>
    <m/>
    <n v="0"/>
    <x v="1"/>
  </r>
  <r>
    <x v="0"/>
    <s v="Egypt"/>
    <x v="23"/>
    <x v="104"/>
    <x v="104"/>
    <d v="2025-06-15T00:00:00"/>
    <d v="1899-12-30T08:15:00"/>
    <s v="Annual Exception"/>
    <m/>
    <m/>
    <n v="29700"/>
    <x v="1"/>
  </r>
  <r>
    <x v="0"/>
    <s v="Egypt"/>
    <x v="23"/>
    <x v="104"/>
    <x v="104"/>
    <d v="2025-06-16T00:00:00"/>
    <d v="1899-12-30T00:00:00"/>
    <s v="&lt;Exception&gt; -1"/>
    <m/>
    <m/>
    <n v="0"/>
    <x v="1"/>
  </r>
  <r>
    <x v="0"/>
    <s v="Egypt"/>
    <x v="23"/>
    <x v="104"/>
    <x v="104"/>
    <d v="2025-06-17T00:00:00"/>
    <d v="1899-12-30T00:00:00"/>
    <s v="&lt;Exception&gt; -1"/>
    <m/>
    <m/>
    <n v="0"/>
    <x v="1"/>
  </r>
  <r>
    <x v="0"/>
    <s v="Egypt"/>
    <x v="23"/>
    <x v="104"/>
    <x v="104"/>
    <d v="2025-06-18T00:00:00"/>
    <d v="1899-12-30T08:15:00"/>
    <s v="Sick"/>
    <m/>
    <m/>
    <n v="29700"/>
    <x v="1"/>
  </r>
  <r>
    <x v="0"/>
    <s v="Egypt"/>
    <x v="23"/>
    <x v="104"/>
    <x v="104"/>
    <d v="2025-06-19T00:00:00"/>
    <m/>
    <s v="Day Off"/>
    <m/>
    <m/>
    <n v="0"/>
    <x v="1"/>
  </r>
  <r>
    <x v="0"/>
    <s v="Egypt"/>
    <x v="23"/>
    <x v="104"/>
    <x v="104"/>
    <d v="2025-06-20T00:00:00"/>
    <m/>
    <s v="Day Off"/>
    <m/>
    <m/>
    <n v="0"/>
    <x v="1"/>
  </r>
  <r>
    <x v="0"/>
    <s v="Egypt"/>
    <x v="23"/>
    <x v="104"/>
    <x v="104"/>
    <d v="2025-06-21T00:00:00"/>
    <d v="1899-12-30T08:15:00"/>
    <s v="Uncertified Sick Leave"/>
    <m/>
    <m/>
    <n v="29700"/>
    <x v="1"/>
  </r>
  <r>
    <x v="0"/>
    <s v="Egypt"/>
    <x v="23"/>
    <x v="104"/>
    <x v="104"/>
    <d v="2025-06-22T00:00:00"/>
    <d v="1899-12-30T08:15:00"/>
    <s v="Sick"/>
    <m/>
    <m/>
    <n v="29700"/>
    <x v="1"/>
  </r>
  <r>
    <x v="0"/>
    <s v="Egypt"/>
    <x v="23"/>
    <x v="104"/>
    <x v="104"/>
    <d v="2025-06-23T00:00:00"/>
    <d v="1899-12-30T08:15:00"/>
    <s v="Sick"/>
    <m/>
    <m/>
    <n v="29700"/>
    <x v="1"/>
  </r>
  <r>
    <x v="0"/>
    <s v="Egypt"/>
    <x v="23"/>
    <x v="104"/>
    <x v="104"/>
    <d v="2025-06-24T00:00:00"/>
    <m/>
    <s v="Day Off"/>
    <m/>
    <m/>
    <n v="0"/>
    <x v="1"/>
  </r>
  <r>
    <x v="0"/>
    <s v="Egypt"/>
    <x v="23"/>
    <x v="104"/>
    <x v="104"/>
    <d v="2025-06-25T00:00:00"/>
    <m/>
    <s v="Day Off"/>
    <m/>
    <m/>
    <n v="0"/>
    <x v="1"/>
  </r>
  <r>
    <x v="0"/>
    <s v="Egypt"/>
    <x v="23"/>
    <x v="104"/>
    <x v="104"/>
    <d v="2025-06-26T00:00:00"/>
    <d v="1899-12-30T08:15:00"/>
    <s v="Non Telecom"/>
    <d v="1899-12-30T08:00:00"/>
    <d v="1899-12-30T16:15:00"/>
    <n v="29700"/>
    <x v="0"/>
  </r>
  <r>
    <x v="0"/>
    <s v="Egypt"/>
    <x v="23"/>
    <x v="104"/>
    <x v="104"/>
    <m/>
    <m/>
    <s v="Break 15 Morning"/>
    <d v="1899-12-30T10:15:00"/>
    <d v="1899-12-30T10:30:00"/>
    <n v="0"/>
    <x v="1"/>
  </r>
  <r>
    <x v="0"/>
    <s v="Egypt"/>
    <x v="23"/>
    <x v="104"/>
    <x v="104"/>
    <m/>
    <m/>
    <s v="Break 30 Morning"/>
    <d v="1899-12-30T13:45:00"/>
    <d v="1899-12-30T14:15:00"/>
    <n v="0"/>
    <x v="1"/>
  </r>
  <r>
    <x v="0"/>
    <s v="Egypt"/>
    <x v="23"/>
    <x v="104"/>
    <x v="104"/>
    <d v="2025-06-27T00:00:00"/>
    <d v="1899-12-30T08:15:00"/>
    <s v="Annual Exception"/>
    <m/>
    <m/>
    <n v="29700"/>
    <x v="1"/>
  </r>
  <r>
    <x v="0"/>
    <s v="Egypt"/>
    <x v="23"/>
    <x v="104"/>
    <x v="104"/>
    <d v="2025-06-28T00:00:00"/>
    <d v="1899-12-30T08:15:00"/>
    <s v="Annual Exception"/>
    <m/>
    <m/>
    <n v="29700"/>
    <x v="1"/>
  </r>
  <r>
    <x v="0"/>
    <s v="Egypt"/>
    <x v="23"/>
    <x v="104"/>
    <x v="104"/>
    <d v="2025-06-29T00:00:00"/>
    <d v="1899-12-30T08:15:00"/>
    <s v="Non Telecom"/>
    <d v="1899-12-30T08:00:00"/>
    <d v="1899-12-30T16:15:00"/>
    <n v="29700"/>
    <x v="0"/>
  </r>
  <r>
    <x v="0"/>
    <s v="Egypt"/>
    <x v="23"/>
    <x v="104"/>
    <x v="104"/>
    <m/>
    <m/>
    <s v="Break 15 Morning"/>
    <d v="1899-12-30T10:15:00"/>
    <d v="1899-12-30T10:30:00"/>
    <n v="0"/>
    <x v="1"/>
  </r>
  <r>
    <x v="0"/>
    <s v="Egypt"/>
    <x v="23"/>
    <x v="104"/>
    <x v="104"/>
    <m/>
    <m/>
    <s v="Break 30 Morning"/>
    <d v="1899-12-30T13:15:00"/>
    <d v="1899-12-30T13:45:00"/>
    <n v="0"/>
    <x v="1"/>
  </r>
  <r>
    <x v="0"/>
    <s v="Egypt"/>
    <x v="23"/>
    <x v="104"/>
    <x v="104"/>
    <d v="2025-06-30T00:00:00"/>
    <m/>
    <s v="Day Off"/>
    <m/>
    <m/>
    <n v="0"/>
    <x v="1"/>
  </r>
  <r>
    <x v="0"/>
    <s v="Egypt"/>
    <x v="24"/>
    <x v="105"/>
    <x v="105"/>
    <d v="2025-06-01T00:00:00"/>
    <m/>
    <s v="Day Off"/>
    <m/>
    <m/>
    <n v="0"/>
    <x v="1"/>
  </r>
  <r>
    <x v="0"/>
    <s v="Egypt"/>
    <x v="24"/>
    <x v="105"/>
    <x v="105"/>
    <d v="2025-06-02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00:00"/>
    <d v="1899-12-30T22:15:00"/>
    <n v="0"/>
    <x v="1"/>
  </r>
  <r>
    <x v="0"/>
    <s v="Egypt"/>
    <x v="24"/>
    <x v="105"/>
    <x v="105"/>
    <m/>
    <m/>
    <s v="Break 30 Night"/>
    <s v="+1:15 AM"/>
    <s v="+1:45 AM"/>
    <n v="0"/>
    <x v="1"/>
  </r>
  <r>
    <x v="0"/>
    <s v="Egypt"/>
    <x v="24"/>
    <x v="105"/>
    <x v="105"/>
    <d v="2025-06-03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45:00"/>
    <d v="1899-12-30T23:00:00"/>
    <n v="0"/>
    <x v="1"/>
  </r>
  <r>
    <x v="0"/>
    <s v="Egypt"/>
    <x v="24"/>
    <x v="105"/>
    <x v="105"/>
    <m/>
    <m/>
    <s v="Break 30 Night"/>
    <s v="+1:45 AM"/>
    <s v="+2:15 AM"/>
    <n v="0"/>
    <x v="1"/>
  </r>
  <r>
    <x v="0"/>
    <s v="Egypt"/>
    <x v="24"/>
    <x v="105"/>
    <x v="105"/>
    <d v="2025-06-04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15:00"/>
    <d v="1899-12-30T22:30:00"/>
    <n v="0"/>
    <x v="1"/>
  </r>
  <r>
    <x v="0"/>
    <s v="Egypt"/>
    <x v="24"/>
    <x v="105"/>
    <x v="105"/>
    <m/>
    <m/>
    <s v="Break 30 Night"/>
    <s v="+1:30 AM"/>
    <s v="+2:00 AM"/>
    <n v="0"/>
    <x v="1"/>
  </r>
  <r>
    <x v="0"/>
    <s v="Egypt"/>
    <x v="24"/>
    <x v="105"/>
    <x v="105"/>
    <d v="2025-06-05T00:00:00"/>
    <d v="1899-12-30T08:15:00"/>
    <s v="Non Telecom"/>
    <d v="1899-12-30T18:00:00"/>
    <s v="+2:15 AM"/>
    <n v="29700"/>
    <x v="0"/>
  </r>
  <r>
    <x v="0"/>
    <s v="Egypt"/>
    <x v="24"/>
    <x v="105"/>
    <x v="105"/>
    <m/>
    <m/>
    <s v="Break 15 Night"/>
    <d v="1899-12-30T21:00:00"/>
    <d v="1899-12-30T21:15:00"/>
    <n v="0"/>
    <x v="1"/>
  </r>
  <r>
    <x v="0"/>
    <s v="Egypt"/>
    <x v="24"/>
    <x v="105"/>
    <x v="105"/>
    <m/>
    <m/>
    <s v="Break 30 Night"/>
    <s v="+12:15 AM"/>
    <s v="+12:45 AM"/>
    <n v="0"/>
    <x v="1"/>
  </r>
  <r>
    <x v="0"/>
    <s v="Egypt"/>
    <x v="24"/>
    <x v="105"/>
    <x v="105"/>
    <d v="2025-06-06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00:00"/>
    <d v="1899-12-30T22:15:00"/>
    <n v="0"/>
    <x v="1"/>
  </r>
  <r>
    <x v="0"/>
    <s v="Egypt"/>
    <x v="24"/>
    <x v="105"/>
    <x v="105"/>
    <m/>
    <m/>
    <s v="Break 30 Night"/>
    <s v="+1:00 AM"/>
    <s v="+1:30 AM"/>
    <n v="0"/>
    <x v="1"/>
  </r>
  <r>
    <x v="0"/>
    <s v="Egypt"/>
    <x v="24"/>
    <x v="105"/>
    <x v="105"/>
    <d v="2025-06-07T00:00:00"/>
    <m/>
    <s v="Day Off"/>
    <m/>
    <m/>
    <n v="0"/>
    <x v="1"/>
  </r>
  <r>
    <x v="0"/>
    <s v="Egypt"/>
    <x v="24"/>
    <x v="105"/>
    <x v="105"/>
    <d v="2025-06-08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15:00"/>
    <d v="1899-12-30T22:30:00"/>
    <n v="0"/>
    <x v="1"/>
  </r>
  <r>
    <x v="0"/>
    <s v="Egypt"/>
    <x v="24"/>
    <x v="105"/>
    <x v="105"/>
    <m/>
    <m/>
    <s v="Break 30 Night"/>
    <s v="+1:15 AM"/>
    <s v="+1:45 AM"/>
    <n v="0"/>
    <x v="1"/>
  </r>
  <r>
    <x v="0"/>
    <s v="Egypt"/>
    <x v="24"/>
    <x v="105"/>
    <x v="105"/>
    <d v="2025-06-09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00:00"/>
    <d v="1899-12-30T22:15:00"/>
    <n v="0"/>
    <x v="1"/>
  </r>
  <r>
    <x v="0"/>
    <s v="Egypt"/>
    <x v="24"/>
    <x v="105"/>
    <x v="105"/>
    <m/>
    <m/>
    <s v="Break 30 Night"/>
    <s v="+1:15 AM"/>
    <s v="+1:45 AM"/>
    <n v="0"/>
    <x v="1"/>
  </r>
  <r>
    <x v="0"/>
    <s v="Egypt"/>
    <x v="24"/>
    <x v="105"/>
    <x v="105"/>
    <d v="2025-06-10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15:00"/>
    <d v="1899-12-30T22:30:00"/>
    <n v="0"/>
    <x v="1"/>
  </r>
  <r>
    <x v="0"/>
    <s v="Egypt"/>
    <x v="24"/>
    <x v="105"/>
    <x v="105"/>
    <m/>
    <m/>
    <s v="Break 30 Night"/>
    <s v="+1:30 AM"/>
    <s v="+2:00 AM"/>
    <n v="0"/>
    <x v="1"/>
  </r>
  <r>
    <x v="0"/>
    <s v="Egypt"/>
    <x v="24"/>
    <x v="105"/>
    <x v="105"/>
    <d v="2025-06-11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30:00"/>
    <d v="1899-12-30T22:45:00"/>
    <n v="0"/>
    <x v="1"/>
  </r>
  <r>
    <x v="0"/>
    <s v="Egypt"/>
    <x v="24"/>
    <x v="105"/>
    <x v="105"/>
    <m/>
    <m/>
    <s v="Break 30 Night"/>
    <s v="+1:30 AM"/>
    <s v="+2:00 AM"/>
    <n v="0"/>
    <x v="1"/>
  </r>
  <r>
    <x v="0"/>
    <s v="Egypt"/>
    <x v="24"/>
    <x v="105"/>
    <x v="105"/>
    <d v="2025-06-12T00:00:00"/>
    <d v="1899-12-30T08:15:00"/>
    <s v="Non Telecom"/>
    <d v="1899-12-30T21:00:00"/>
    <s v="+5:15 AM"/>
    <n v="29700"/>
    <x v="0"/>
  </r>
  <r>
    <x v="0"/>
    <s v="Egypt"/>
    <x v="24"/>
    <x v="105"/>
    <x v="105"/>
    <m/>
    <m/>
    <s v="Break 15 Night"/>
    <d v="1899-12-30T22:45:00"/>
    <d v="1899-12-30T23:00:00"/>
    <n v="0"/>
    <x v="1"/>
  </r>
  <r>
    <x v="0"/>
    <s v="Egypt"/>
    <x v="24"/>
    <x v="105"/>
    <x v="105"/>
    <m/>
    <m/>
    <s v="Break 30 Night"/>
    <s v="+2:00 AM"/>
    <s v="+2:30 AM"/>
    <n v="0"/>
    <x v="1"/>
  </r>
  <r>
    <x v="0"/>
    <s v="Egypt"/>
    <x v="24"/>
    <x v="105"/>
    <x v="105"/>
    <d v="2025-06-13T00:00:00"/>
    <m/>
    <s v="Day Off"/>
    <m/>
    <m/>
    <n v="0"/>
    <x v="1"/>
  </r>
  <r>
    <x v="0"/>
    <s v="Egypt"/>
    <x v="24"/>
    <x v="105"/>
    <x v="105"/>
    <d v="2025-06-14T00:00:00"/>
    <m/>
    <s v="Day Off"/>
    <m/>
    <m/>
    <n v="0"/>
    <x v="1"/>
  </r>
  <r>
    <x v="0"/>
    <s v="Egypt"/>
    <x v="24"/>
    <x v="105"/>
    <x v="105"/>
    <d v="2025-06-15T00:00:00"/>
    <d v="1899-12-30T09:00:00"/>
    <s v="Non Telecom"/>
    <d v="1899-12-30T17:15:00"/>
    <s v="+2:15 AM"/>
    <n v="32400"/>
    <x v="0"/>
  </r>
  <r>
    <x v="0"/>
    <s v="Egypt"/>
    <x v="24"/>
    <x v="105"/>
    <x v="105"/>
    <m/>
    <m/>
    <s v="Break 15 Night"/>
    <d v="1899-12-30T18:15:00"/>
    <d v="1899-12-30T18:30:00"/>
    <n v="0"/>
    <x v="1"/>
  </r>
  <r>
    <x v="0"/>
    <s v="Egypt"/>
    <x v="24"/>
    <x v="105"/>
    <x v="105"/>
    <m/>
    <m/>
    <s v="Break 30 Night"/>
    <d v="1899-12-30T21:30:00"/>
    <d v="1899-12-30T22:00:00"/>
    <n v="0"/>
    <x v="1"/>
  </r>
  <r>
    <x v="0"/>
    <s v="Egypt"/>
    <x v="24"/>
    <x v="105"/>
    <x v="105"/>
    <m/>
    <m/>
    <s v="Shift Move"/>
    <s v="+1:30 AM"/>
    <s v="+2:15 AM"/>
    <n v="0"/>
    <x v="1"/>
  </r>
  <r>
    <x v="0"/>
    <s v="Egypt"/>
    <x v="24"/>
    <x v="105"/>
    <x v="105"/>
    <d v="2025-06-16T00:00:00"/>
    <d v="1899-12-30T09:00:00"/>
    <s v="Non Telecom"/>
    <d v="1899-12-30T17:15:00"/>
    <s v="+2:15 AM"/>
    <n v="32400"/>
    <x v="0"/>
  </r>
  <r>
    <x v="0"/>
    <s v="Egypt"/>
    <x v="24"/>
    <x v="105"/>
    <x v="105"/>
    <m/>
    <m/>
    <s v="Break 15 Night"/>
    <d v="1899-12-30T20:00:00"/>
    <d v="1899-12-30T20:15:00"/>
    <n v="0"/>
    <x v="1"/>
  </r>
  <r>
    <x v="0"/>
    <s v="Egypt"/>
    <x v="24"/>
    <x v="105"/>
    <x v="105"/>
    <m/>
    <m/>
    <s v="Break 30 Night"/>
    <d v="1899-12-30T22:30:00"/>
    <d v="1899-12-30T23:00:00"/>
    <n v="0"/>
    <x v="1"/>
  </r>
  <r>
    <x v="0"/>
    <s v="Egypt"/>
    <x v="24"/>
    <x v="105"/>
    <x v="105"/>
    <m/>
    <m/>
    <s v="Shift Move"/>
    <s v="+1:30 AM"/>
    <s v="+2:15 AM"/>
    <n v="0"/>
    <x v="1"/>
  </r>
  <r>
    <x v="0"/>
    <s v="Egypt"/>
    <x v="24"/>
    <x v="105"/>
    <x v="105"/>
    <d v="2025-06-17T00:00:00"/>
    <d v="1899-12-30T08:15:00"/>
    <s v="Non Telecom"/>
    <d v="1899-12-30T18:00:00"/>
    <s v="+2:15 AM"/>
    <n v="29700"/>
    <x v="0"/>
  </r>
  <r>
    <x v="0"/>
    <s v="Egypt"/>
    <x v="24"/>
    <x v="105"/>
    <x v="105"/>
    <m/>
    <m/>
    <s v="Break 15 Night"/>
    <d v="1899-12-30T21:00:00"/>
    <d v="1899-12-30T21:15:00"/>
    <n v="0"/>
    <x v="1"/>
  </r>
  <r>
    <x v="0"/>
    <s v="Egypt"/>
    <x v="24"/>
    <x v="105"/>
    <x v="105"/>
    <m/>
    <m/>
    <s v="Break 30 Night"/>
    <s v="+12:00 AM"/>
    <s v="+12:30 AM"/>
    <n v="0"/>
    <x v="1"/>
  </r>
  <r>
    <x v="0"/>
    <s v="Egypt"/>
    <x v="24"/>
    <x v="105"/>
    <x v="105"/>
    <d v="2025-06-18T00:00:00"/>
    <d v="1899-12-30T08:15:00"/>
    <s v="Non Telecom"/>
    <d v="1899-12-30T13:00:00"/>
    <d v="1899-12-30T21:15:00"/>
    <n v="29700"/>
    <x v="0"/>
  </r>
  <r>
    <x v="0"/>
    <s v="Egypt"/>
    <x v="24"/>
    <x v="105"/>
    <x v="105"/>
    <m/>
    <m/>
    <s v="Break 15 Morning"/>
    <d v="1899-12-30T14:45:00"/>
    <d v="1899-12-30T15:00:00"/>
    <n v="0"/>
    <x v="1"/>
  </r>
  <r>
    <x v="0"/>
    <s v="Egypt"/>
    <x v="24"/>
    <x v="105"/>
    <x v="105"/>
    <m/>
    <m/>
    <s v="Break 30 Morning"/>
    <d v="1899-12-30T17:45:00"/>
    <d v="1899-12-30T18:15:00"/>
    <n v="0"/>
    <x v="1"/>
  </r>
  <r>
    <x v="0"/>
    <s v="Egypt"/>
    <x v="24"/>
    <x v="105"/>
    <x v="105"/>
    <d v="2025-06-19T00:00:00"/>
    <d v="1899-12-30T08:15:00"/>
    <s v="Annual Exception"/>
    <m/>
    <m/>
    <n v="29700"/>
    <x v="1"/>
  </r>
  <r>
    <x v="0"/>
    <s v="Egypt"/>
    <x v="24"/>
    <x v="105"/>
    <x v="105"/>
    <d v="2025-06-20T00:00:00"/>
    <m/>
    <s v="Day Off"/>
    <m/>
    <m/>
    <n v="0"/>
    <x v="1"/>
  </r>
  <r>
    <x v="0"/>
    <s v="Egypt"/>
    <x v="24"/>
    <x v="105"/>
    <x v="105"/>
    <d v="2025-06-21T00:00:00"/>
    <m/>
    <s v="Day Off"/>
    <m/>
    <m/>
    <n v="0"/>
    <x v="1"/>
  </r>
  <r>
    <x v="0"/>
    <s v="Egypt"/>
    <x v="24"/>
    <x v="105"/>
    <x v="105"/>
    <d v="2025-06-22T00:00:00"/>
    <d v="1899-12-30T08:15:00"/>
    <s v="Support Training"/>
    <m/>
    <m/>
    <n v="29700"/>
    <x v="1"/>
  </r>
  <r>
    <x v="0"/>
    <s v="Egypt"/>
    <x v="24"/>
    <x v="105"/>
    <x v="105"/>
    <d v="2025-06-23T00:00:00"/>
    <d v="1899-12-30T08:15:00"/>
    <s v="Support Training"/>
    <m/>
    <m/>
    <n v="29700"/>
    <x v="1"/>
  </r>
  <r>
    <x v="0"/>
    <s v="Egypt"/>
    <x v="24"/>
    <x v="105"/>
    <x v="105"/>
    <d v="2025-06-24T00:00:00"/>
    <d v="1899-12-30T08:15:00"/>
    <s v="Support Training"/>
    <m/>
    <m/>
    <n v="29700"/>
    <x v="1"/>
  </r>
  <r>
    <x v="0"/>
    <s v="Egypt"/>
    <x v="24"/>
    <x v="105"/>
    <x v="105"/>
    <d v="2025-06-25T00:00:00"/>
    <d v="1899-12-30T08:15:00"/>
    <s v="Support Training"/>
    <m/>
    <m/>
    <n v="29700"/>
    <x v="1"/>
  </r>
  <r>
    <x v="0"/>
    <s v="Egypt"/>
    <x v="24"/>
    <x v="105"/>
    <x v="105"/>
    <d v="2025-06-26T00:00:00"/>
    <d v="1899-12-30T08:15:00"/>
    <s v="Support Training"/>
    <m/>
    <m/>
    <n v="29700"/>
    <x v="1"/>
  </r>
  <r>
    <x v="0"/>
    <s v="Egypt"/>
    <x v="24"/>
    <x v="105"/>
    <x v="105"/>
    <d v="2025-06-27T00:00:00"/>
    <m/>
    <s v="Day Off"/>
    <m/>
    <m/>
    <n v="0"/>
    <x v="1"/>
  </r>
  <r>
    <x v="0"/>
    <s v="Egypt"/>
    <x v="24"/>
    <x v="105"/>
    <x v="105"/>
    <d v="2025-06-28T00:00:00"/>
    <m/>
    <s v="Day Off"/>
    <m/>
    <m/>
    <n v="0"/>
    <x v="1"/>
  </r>
  <r>
    <x v="0"/>
    <s v="Egypt"/>
    <x v="24"/>
    <x v="105"/>
    <x v="105"/>
    <d v="2025-06-29T00:00:00"/>
    <d v="1899-12-30T08:15:00"/>
    <s v="Non Telecom"/>
    <d v="1899-12-30T11:00:00"/>
    <d v="1899-12-30T19:15:00"/>
    <n v="29700"/>
    <x v="0"/>
  </r>
  <r>
    <x v="0"/>
    <s v="Egypt"/>
    <x v="24"/>
    <x v="105"/>
    <x v="105"/>
    <m/>
    <m/>
    <s v="Break 15 Morning"/>
    <d v="1899-12-30T12:45:00"/>
    <d v="1899-12-30T13:00:00"/>
    <n v="0"/>
    <x v="1"/>
  </r>
  <r>
    <x v="0"/>
    <s v="Egypt"/>
    <x v="24"/>
    <x v="105"/>
    <x v="105"/>
    <m/>
    <m/>
    <s v="Break 30 Morning"/>
    <d v="1899-12-30T16:15:00"/>
    <d v="1899-12-30T16:45:00"/>
    <n v="0"/>
    <x v="1"/>
  </r>
  <r>
    <x v="0"/>
    <s v="Egypt"/>
    <x v="24"/>
    <x v="105"/>
    <x v="105"/>
    <d v="2025-06-30T00:00:00"/>
    <d v="1899-12-30T08:15:00"/>
    <s v="Non Telecom"/>
    <d v="1899-12-30T11:00:00"/>
    <d v="1899-12-30T19:15:00"/>
    <n v="29700"/>
    <x v="0"/>
  </r>
  <r>
    <x v="0"/>
    <s v="Egypt"/>
    <x v="24"/>
    <x v="105"/>
    <x v="105"/>
    <m/>
    <m/>
    <s v="Break 15 Morning"/>
    <d v="1899-12-30T12:45:00"/>
    <d v="1899-12-30T13:00:00"/>
    <n v="0"/>
    <x v="1"/>
  </r>
  <r>
    <x v="0"/>
    <s v="Egypt"/>
    <x v="24"/>
    <x v="105"/>
    <x v="105"/>
    <m/>
    <m/>
    <s v="Break 30 Morning"/>
    <d v="1899-12-30T16:15:00"/>
    <d v="1899-12-30T16:45:00"/>
    <n v="0"/>
    <x v="1"/>
  </r>
  <r>
    <x v="0"/>
    <s v="Egypt"/>
    <x v="24"/>
    <x v="106"/>
    <x v="106"/>
    <d v="2025-06-01T00:00:00"/>
    <m/>
    <s v="Day Off"/>
    <m/>
    <m/>
    <n v="0"/>
    <x v="1"/>
  </r>
  <r>
    <x v="0"/>
    <s v="Egypt"/>
    <x v="24"/>
    <x v="106"/>
    <x v="106"/>
    <d v="2025-06-02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15:00"/>
    <d v="1899-12-30T22:30:00"/>
    <n v="0"/>
    <x v="1"/>
  </r>
  <r>
    <x v="0"/>
    <s v="Egypt"/>
    <x v="24"/>
    <x v="106"/>
    <x v="106"/>
    <m/>
    <m/>
    <s v="Break 30 Night"/>
    <s v="+1:45 AM"/>
    <s v="+2:15 AM"/>
    <n v="0"/>
    <x v="1"/>
  </r>
  <r>
    <x v="0"/>
    <s v="Egypt"/>
    <x v="24"/>
    <x v="106"/>
    <x v="106"/>
    <d v="2025-06-03T00:00:00"/>
    <d v="1899-12-30T08:15:00"/>
    <s v="Non Telecom"/>
    <d v="1899-12-30T18:00:00"/>
    <s v="+2:15 AM"/>
    <n v="29700"/>
    <x v="0"/>
  </r>
  <r>
    <x v="0"/>
    <s v="Egypt"/>
    <x v="24"/>
    <x v="106"/>
    <x v="106"/>
    <m/>
    <m/>
    <s v="Break 15 Night"/>
    <d v="1899-12-30T21:00:00"/>
    <d v="1899-12-30T21:15:00"/>
    <n v="0"/>
    <x v="1"/>
  </r>
  <r>
    <x v="0"/>
    <s v="Egypt"/>
    <x v="24"/>
    <x v="106"/>
    <x v="106"/>
    <m/>
    <m/>
    <s v="Break 30 Night"/>
    <d v="1899-12-30T23:45:00"/>
    <s v="+12:15 AM"/>
    <n v="0"/>
    <x v="1"/>
  </r>
  <r>
    <x v="0"/>
    <s v="Egypt"/>
    <x v="24"/>
    <x v="106"/>
    <x v="106"/>
    <d v="2025-06-04T00:00:00"/>
    <d v="1899-12-30T08:15:00"/>
    <s v="Non Telecom"/>
    <d v="1899-12-30T18:00:00"/>
    <s v="+2:15 AM"/>
    <n v="29700"/>
    <x v="0"/>
  </r>
  <r>
    <x v="0"/>
    <s v="Egypt"/>
    <x v="24"/>
    <x v="106"/>
    <x v="106"/>
    <m/>
    <m/>
    <s v="Break 15 Night"/>
    <d v="1899-12-30T20:30:00"/>
    <d v="1899-12-30T20:45:00"/>
    <n v="0"/>
    <x v="1"/>
  </r>
  <r>
    <x v="0"/>
    <s v="Egypt"/>
    <x v="24"/>
    <x v="106"/>
    <x v="106"/>
    <m/>
    <m/>
    <s v="Break 30 Night"/>
    <d v="1899-12-30T23:30:00"/>
    <s v="+12:00 AM"/>
    <n v="0"/>
    <x v="1"/>
  </r>
  <r>
    <x v="0"/>
    <s v="Egypt"/>
    <x v="24"/>
    <x v="106"/>
    <x v="106"/>
    <d v="2025-06-05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3:00:00"/>
    <d v="1899-12-30T23:15:00"/>
    <n v="0"/>
    <x v="1"/>
  </r>
  <r>
    <x v="0"/>
    <s v="Egypt"/>
    <x v="24"/>
    <x v="106"/>
    <x v="106"/>
    <m/>
    <m/>
    <s v="Break 30 Night"/>
    <s v="+2:15 AM"/>
    <s v="+2:45 AM"/>
    <n v="0"/>
    <x v="1"/>
  </r>
  <r>
    <x v="0"/>
    <s v="Egypt"/>
    <x v="24"/>
    <x v="106"/>
    <x v="106"/>
    <d v="2025-06-06T00:00:00"/>
    <d v="1899-12-30T08:15:00"/>
    <s v="Non Telecom"/>
    <d v="1899-12-30T18:00:00"/>
    <s v="+2:15 AM"/>
    <n v="29700"/>
    <x v="0"/>
  </r>
  <r>
    <x v="0"/>
    <s v="Egypt"/>
    <x v="24"/>
    <x v="106"/>
    <x v="106"/>
    <m/>
    <m/>
    <s v="Break 15 Night"/>
    <d v="1899-12-30T20:30:00"/>
    <d v="1899-12-30T20:45:00"/>
    <n v="0"/>
    <x v="1"/>
  </r>
  <r>
    <x v="0"/>
    <s v="Egypt"/>
    <x v="24"/>
    <x v="106"/>
    <x v="106"/>
    <m/>
    <m/>
    <s v="Break 30 Night"/>
    <d v="1899-12-30T23:30:00"/>
    <s v="+12:00 AM"/>
    <n v="0"/>
    <x v="1"/>
  </r>
  <r>
    <x v="0"/>
    <s v="Egypt"/>
    <x v="24"/>
    <x v="106"/>
    <x v="106"/>
    <d v="2025-06-07T00:00:00"/>
    <m/>
    <s v="Day Off"/>
    <m/>
    <m/>
    <n v="0"/>
    <x v="1"/>
  </r>
  <r>
    <x v="0"/>
    <s v="Egypt"/>
    <x v="24"/>
    <x v="106"/>
    <x v="106"/>
    <d v="2025-06-08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30:00"/>
    <d v="1899-12-30T22:45:00"/>
    <n v="0"/>
    <x v="1"/>
  </r>
  <r>
    <x v="0"/>
    <s v="Egypt"/>
    <x v="24"/>
    <x v="106"/>
    <x v="106"/>
    <m/>
    <m/>
    <s v="Break 30 Night"/>
    <s v="+1:15 AM"/>
    <s v="+1:45 AM"/>
    <n v="0"/>
    <x v="1"/>
  </r>
  <r>
    <x v="0"/>
    <s v="Egypt"/>
    <x v="24"/>
    <x v="106"/>
    <x v="106"/>
    <d v="2025-06-09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15:00"/>
    <d v="1899-12-30T22:30:00"/>
    <n v="0"/>
    <x v="1"/>
  </r>
  <r>
    <x v="0"/>
    <s v="Egypt"/>
    <x v="24"/>
    <x v="106"/>
    <x v="106"/>
    <m/>
    <m/>
    <s v="Break 30 Night"/>
    <s v="+1:15 AM"/>
    <s v="+1:45 AM"/>
    <n v="0"/>
    <x v="1"/>
  </r>
  <r>
    <x v="0"/>
    <s v="Egypt"/>
    <x v="24"/>
    <x v="106"/>
    <x v="106"/>
    <d v="2025-06-10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15:00"/>
    <d v="1899-12-30T22:30:00"/>
    <n v="0"/>
    <x v="1"/>
  </r>
  <r>
    <x v="0"/>
    <s v="Egypt"/>
    <x v="24"/>
    <x v="106"/>
    <x v="106"/>
    <m/>
    <m/>
    <s v="Break 30 Night"/>
    <s v="+1:30 AM"/>
    <s v="+2:00 AM"/>
    <n v="0"/>
    <x v="1"/>
  </r>
  <r>
    <x v="0"/>
    <s v="Egypt"/>
    <x v="24"/>
    <x v="106"/>
    <x v="106"/>
    <d v="2025-06-11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30:00"/>
    <d v="1899-12-30T22:45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6"/>
    <x v="106"/>
    <d v="2025-06-12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45:00"/>
    <d v="1899-12-30T23:00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6"/>
    <x v="106"/>
    <d v="2025-06-13T00:00:00"/>
    <m/>
    <s v="Day Off"/>
    <m/>
    <m/>
    <n v="0"/>
    <x v="1"/>
  </r>
  <r>
    <x v="0"/>
    <s v="Egypt"/>
    <x v="24"/>
    <x v="106"/>
    <x v="106"/>
    <d v="2025-06-14T00:00:00"/>
    <m/>
    <s v="Day Off"/>
    <m/>
    <m/>
    <n v="0"/>
    <x v="1"/>
  </r>
  <r>
    <x v="0"/>
    <s v="Egypt"/>
    <x v="24"/>
    <x v="106"/>
    <x v="106"/>
    <d v="2025-06-15T00:00:00"/>
    <d v="1899-12-30T08:15:00"/>
    <s v="Non Telecom"/>
    <d v="1899-12-30T20:00:00"/>
    <s v="+4:15 AM"/>
    <n v="29700"/>
    <x v="0"/>
  </r>
  <r>
    <x v="0"/>
    <s v="Egypt"/>
    <x v="24"/>
    <x v="106"/>
    <x v="106"/>
    <m/>
    <m/>
    <s v="Break 15 Night"/>
    <d v="1899-12-30T22:30:00"/>
    <d v="1899-12-30T22:45:00"/>
    <n v="0"/>
    <x v="1"/>
  </r>
  <r>
    <x v="0"/>
    <s v="Egypt"/>
    <x v="24"/>
    <x v="106"/>
    <x v="106"/>
    <m/>
    <m/>
    <s v="Break 30 Night"/>
    <s v="+12:45 AM"/>
    <s v="+1:15 AM"/>
    <n v="0"/>
    <x v="1"/>
  </r>
  <r>
    <x v="0"/>
    <s v="Egypt"/>
    <x v="24"/>
    <x v="106"/>
    <x v="106"/>
    <d v="2025-06-16T00:00:00"/>
    <d v="1899-12-30T08:15:00"/>
    <s v="Non Telecom"/>
    <d v="1899-12-30T20:00:00"/>
    <s v="+4:15 AM"/>
    <n v="29700"/>
    <x v="0"/>
  </r>
  <r>
    <x v="0"/>
    <s v="Egypt"/>
    <x v="24"/>
    <x v="106"/>
    <x v="106"/>
    <m/>
    <m/>
    <s v="Break 15 Night"/>
    <d v="1899-12-30T22:30:00"/>
    <d v="1899-12-30T22:45:00"/>
    <n v="0"/>
    <x v="1"/>
  </r>
  <r>
    <x v="0"/>
    <s v="Egypt"/>
    <x v="24"/>
    <x v="106"/>
    <x v="106"/>
    <m/>
    <m/>
    <s v="Break 30 Night"/>
    <s v="+1:00 AM"/>
    <s v="+1:30 AM"/>
    <n v="0"/>
    <x v="1"/>
  </r>
  <r>
    <x v="0"/>
    <s v="Egypt"/>
    <x v="24"/>
    <x v="106"/>
    <x v="106"/>
    <d v="2025-06-17T00:00:00"/>
    <d v="1899-12-30T08:15:00"/>
    <s v="Non Telecom"/>
    <d v="1899-12-30T20:00:00"/>
    <s v="+4:15 AM"/>
    <n v="29700"/>
    <x v="0"/>
  </r>
  <r>
    <x v="0"/>
    <s v="Egypt"/>
    <x v="24"/>
    <x v="106"/>
    <x v="106"/>
    <m/>
    <m/>
    <s v="Break 15 Night"/>
    <d v="1899-12-30T22:15:00"/>
    <d v="1899-12-30T22:30:00"/>
    <n v="0"/>
    <x v="1"/>
  </r>
  <r>
    <x v="0"/>
    <s v="Egypt"/>
    <x v="24"/>
    <x v="106"/>
    <x v="106"/>
    <m/>
    <m/>
    <s v="Break 30 Night"/>
    <s v="+1:00 AM"/>
    <s v="+1:30 AM"/>
    <n v="0"/>
    <x v="1"/>
  </r>
  <r>
    <x v="0"/>
    <s v="Egypt"/>
    <x v="24"/>
    <x v="106"/>
    <x v="106"/>
    <d v="2025-06-18T00:00:00"/>
    <d v="1899-12-30T08:15:00"/>
    <s v="Non Telecom"/>
    <d v="1899-12-30T13:00:00"/>
    <d v="1899-12-30T21:15:00"/>
    <n v="29700"/>
    <x v="0"/>
  </r>
  <r>
    <x v="0"/>
    <s v="Egypt"/>
    <x v="24"/>
    <x v="106"/>
    <x v="106"/>
    <m/>
    <m/>
    <s v="Break 15 Morning"/>
    <d v="1899-12-30T15:00:00"/>
    <d v="1899-12-30T15:15:00"/>
    <n v="0"/>
    <x v="1"/>
  </r>
  <r>
    <x v="0"/>
    <s v="Egypt"/>
    <x v="24"/>
    <x v="106"/>
    <x v="106"/>
    <m/>
    <m/>
    <s v="Break 30 Morning"/>
    <d v="1899-12-30T17:45:00"/>
    <d v="1899-12-30T18:15:00"/>
    <n v="0"/>
    <x v="1"/>
  </r>
  <r>
    <x v="0"/>
    <s v="Egypt"/>
    <x v="24"/>
    <x v="106"/>
    <x v="106"/>
    <d v="2025-06-19T00:00:00"/>
    <d v="1899-12-30T08:15:00"/>
    <s v="Annual Exception"/>
    <m/>
    <m/>
    <n v="29700"/>
    <x v="1"/>
  </r>
  <r>
    <x v="0"/>
    <s v="Egypt"/>
    <x v="24"/>
    <x v="106"/>
    <x v="106"/>
    <d v="2025-06-20T00:00:00"/>
    <m/>
    <s v="Day Off"/>
    <m/>
    <m/>
    <n v="0"/>
    <x v="1"/>
  </r>
  <r>
    <x v="0"/>
    <s v="Egypt"/>
    <x v="24"/>
    <x v="106"/>
    <x v="106"/>
    <d v="2025-06-21T00:00:00"/>
    <m/>
    <s v="Day Off"/>
    <m/>
    <m/>
    <n v="0"/>
    <x v="1"/>
  </r>
  <r>
    <x v="0"/>
    <s v="Egypt"/>
    <x v="24"/>
    <x v="106"/>
    <x v="106"/>
    <d v="2025-06-22T00:00:00"/>
    <d v="1899-12-30T08:15:00"/>
    <s v="Non Telecom"/>
    <d v="1899-12-30T14:00:00"/>
    <d v="1899-12-30T22:15:00"/>
    <n v="29700"/>
    <x v="0"/>
  </r>
  <r>
    <x v="0"/>
    <s v="Egypt"/>
    <x v="24"/>
    <x v="106"/>
    <x v="106"/>
    <m/>
    <m/>
    <s v="Break 15 Morning"/>
    <d v="1899-12-30T16:30:00"/>
    <d v="1899-12-30T16:45:00"/>
    <n v="0"/>
    <x v="1"/>
  </r>
  <r>
    <x v="0"/>
    <s v="Egypt"/>
    <x v="24"/>
    <x v="106"/>
    <x v="106"/>
    <m/>
    <m/>
    <s v="Break 30 Morning"/>
    <d v="1899-12-30T19:15:00"/>
    <d v="1899-12-30T19:45:00"/>
    <n v="0"/>
    <x v="1"/>
  </r>
  <r>
    <x v="0"/>
    <s v="Egypt"/>
    <x v="24"/>
    <x v="106"/>
    <x v="106"/>
    <d v="2025-06-23T00:00:00"/>
    <d v="1899-12-30T08:15:00"/>
    <s v="Non Telecom"/>
    <d v="1899-12-30T14:00:00"/>
    <d v="1899-12-30T22:15:00"/>
    <n v="29700"/>
    <x v="0"/>
  </r>
  <r>
    <x v="0"/>
    <s v="Egypt"/>
    <x v="24"/>
    <x v="106"/>
    <x v="106"/>
    <m/>
    <m/>
    <s v="Break 15 Morning"/>
    <d v="1899-12-30T16:15:00"/>
    <d v="1899-12-30T16:30:00"/>
    <n v="0"/>
    <x v="1"/>
  </r>
  <r>
    <x v="0"/>
    <s v="Egypt"/>
    <x v="24"/>
    <x v="106"/>
    <x v="106"/>
    <m/>
    <m/>
    <s v="Break 30 Morning"/>
    <d v="1899-12-30T18:30:00"/>
    <d v="1899-12-30T19:00:00"/>
    <n v="0"/>
    <x v="1"/>
  </r>
  <r>
    <x v="0"/>
    <s v="Egypt"/>
    <x v="24"/>
    <x v="106"/>
    <x v="106"/>
    <d v="2025-06-24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3:15:00"/>
    <d v="1899-12-30T23:30:00"/>
    <n v="0"/>
    <x v="1"/>
  </r>
  <r>
    <x v="0"/>
    <s v="Egypt"/>
    <x v="24"/>
    <x v="106"/>
    <x v="106"/>
    <m/>
    <m/>
    <s v="Break 30 Night"/>
    <s v="+1:45 AM"/>
    <s v="+2:15 AM"/>
    <n v="0"/>
    <x v="1"/>
  </r>
  <r>
    <x v="0"/>
    <s v="Egypt"/>
    <x v="24"/>
    <x v="106"/>
    <x v="106"/>
    <d v="2025-06-25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45:00"/>
    <d v="1899-12-30T23:00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6"/>
    <x v="106"/>
    <d v="2025-06-26T00:00:00"/>
    <m/>
    <s v="Day Off"/>
    <m/>
    <m/>
    <n v="0"/>
    <x v="1"/>
  </r>
  <r>
    <x v="0"/>
    <s v="Egypt"/>
    <x v="24"/>
    <x v="106"/>
    <x v="106"/>
    <d v="2025-06-27T00:00:00"/>
    <m/>
    <s v="Day Off"/>
    <m/>
    <m/>
    <n v="0"/>
    <x v="1"/>
  </r>
  <r>
    <x v="0"/>
    <s v="Egypt"/>
    <x v="24"/>
    <x v="106"/>
    <x v="106"/>
    <d v="2025-06-28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45:00"/>
    <d v="1899-12-30T23:00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6"/>
    <x v="106"/>
    <d v="2025-06-29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2:45:00"/>
    <d v="1899-12-30T23:00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6"/>
    <x v="106"/>
    <d v="2025-06-30T00:00:00"/>
    <d v="1899-12-30T08:15:00"/>
    <s v="Non Telecom"/>
    <d v="1899-12-30T21:00:00"/>
    <s v="+5:15 AM"/>
    <n v="29700"/>
    <x v="0"/>
  </r>
  <r>
    <x v="0"/>
    <s v="Egypt"/>
    <x v="24"/>
    <x v="106"/>
    <x v="106"/>
    <m/>
    <m/>
    <s v="Break 15 Night"/>
    <d v="1899-12-30T23:00:00"/>
    <d v="1899-12-30T23:15:00"/>
    <n v="0"/>
    <x v="1"/>
  </r>
  <r>
    <x v="0"/>
    <s v="Egypt"/>
    <x v="24"/>
    <x v="106"/>
    <x v="106"/>
    <m/>
    <m/>
    <s v="Break 30 Night"/>
    <s v="+2:00 AM"/>
    <s v="+2:30 AM"/>
    <n v="0"/>
    <x v="1"/>
  </r>
  <r>
    <x v="0"/>
    <s v="Egypt"/>
    <x v="24"/>
    <x v="107"/>
    <x v="107"/>
    <d v="2025-06-01T00:00:00"/>
    <m/>
    <s v="Day Off"/>
    <m/>
    <m/>
    <n v="0"/>
    <x v="1"/>
  </r>
  <r>
    <x v="0"/>
    <s v="Egypt"/>
    <x v="24"/>
    <x v="107"/>
    <x v="107"/>
    <d v="2025-06-02T00:00:00"/>
    <d v="1899-12-30T08:15:00"/>
    <s v="Non Telecom"/>
    <d v="1899-12-30T18:00:00"/>
    <s v="+2:15 AM"/>
    <n v="29700"/>
    <x v="0"/>
  </r>
  <r>
    <x v="0"/>
    <s v="Egypt"/>
    <x v="24"/>
    <x v="107"/>
    <x v="107"/>
    <m/>
    <m/>
    <s v="Break 15 Night"/>
    <d v="1899-12-30T20:30:00"/>
    <d v="1899-12-30T20:45:00"/>
    <n v="0"/>
    <x v="1"/>
  </r>
  <r>
    <x v="0"/>
    <s v="Egypt"/>
    <x v="24"/>
    <x v="107"/>
    <x v="107"/>
    <m/>
    <m/>
    <s v="Break 30 Night"/>
    <d v="1899-12-30T23:45:00"/>
    <s v="+12:15 AM"/>
    <n v="0"/>
    <x v="1"/>
  </r>
  <r>
    <x v="0"/>
    <s v="Egypt"/>
    <x v="24"/>
    <x v="107"/>
    <x v="107"/>
    <d v="2025-06-03T00:00:00"/>
    <d v="1899-12-30T08:15:00"/>
    <s v="Non Telecom"/>
    <d v="1899-12-30T18:00:00"/>
    <s v="+2:15 AM"/>
    <n v="29700"/>
    <x v="0"/>
  </r>
  <r>
    <x v="0"/>
    <s v="Egypt"/>
    <x v="24"/>
    <x v="107"/>
    <x v="107"/>
    <m/>
    <m/>
    <s v="Break 15 Night"/>
    <d v="1899-12-30T21:00:00"/>
    <d v="1899-12-30T21:15:00"/>
    <n v="0"/>
    <x v="1"/>
  </r>
  <r>
    <x v="0"/>
    <s v="Egypt"/>
    <x v="24"/>
    <x v="107"/>
    <x v="107"/>
    <m/>
    <m/>
    <s v="Break 30 Night"/>
    <s v="+12:15 AM"/>
    <s v="+12:45 AM"/>
    <n v="0"/>
    <x v="1"/>
  </r>
  <r>
    <x v="0"/>
    <s v="Egypt"/>
    <x v="24"/>
    <x v="107"/>
    <x v="107"/>
    <d v="2025-06-04T00:00:00"/>
    <d v="1899-12-30T08:15:00"/>
    <s v="Non Telecom"/>
    <d v="1899-12-30T18:00:00"/>
    <s v="+2:15 AM"/>
    <n v="29700"/>
    <x v="0"/>
  </r>
  <r>
    <x v="0"/>
    <s v="Egypt"/>
    <x v="24"/>
    <x v="107"/>
    <x v="107"/>
    <m/>
    <m/>
    <s v="Break 15 Night"/>
    <d v="1899-12-30T20:45:00"/>
    <d v="1899-12-30T21:00:00"/>
    <n v="0"/>
    <x v="1"/>
  </r>
  <r>
    <x v="0"/>
    <s v="Egypt"/>
    <x v="24"/>
    <x v="107"/>
    <x v="107"/>
    <m/>
    <m/>
    <s v="Break 30 Night"/>
    <s v="+12:00 AM"/>
    <s v="+12:30 AM"/>
    <n v="0"/>
    <x v="1"/>
  </r>
  <r>
    <x v="0"/>
    <s v="Egypt"/>
    <x v="24"/>
    <x v="107"/>
    <x v="107"/>
    <d v="2025-06-05T00:00:00"/>
    <d v="1899-12-30T08:15:00"/>
    <s v="Non Telecom"/>
    <d v="1899-12-30T18:00:00"/>
    <s v="+2:15 AM"/>
    <n v="29700"/>
    <x v="0"/>
  </r>
  <r>
    <x v="0"/>
    <s v="Egypt"/>
    <x v="24"/>
    <x v="107"/>
    <x v="107"/>
    <m/>
    <m/>
    <s v="Break 15 Night"/>
    <d v="1899-12-30T21:15:00"/>
    <d v="1899-12-30T21:30:00"/>
    <n v="0"/>
    <x v="1"/>
  </r>
  <r>
    <x v="0"/>
    <s v="Egypt"/>
    <x v="24"/>
    <x v="107"/>
    <x v="107"/>
    <m/>
    <m/>
    <s v="Break 30 Night"/>
    <s v="+12:45 AM"/>
    <s v="+1:15 AM"/>
    <n v="0"/>
    <x v="1"/>
  </r>
  <r>
    <x v="0"/>
    <s v="Egypt"/>
    <x v="24"/>
    <x v="107"/>
    <x v="107"/>
    <d v="2025-06-06T00:00:00"/>
    <d v="1899-12-30T08:15:00"/>
    <s v="Non Telecom"/>
    <d v="1899-12-30T18:00:00"/>
    <s v="+2:15 AM"/>
    <n v="29700"/>
    <x v="0"/>
  </r>
  <r>
    <x v="0"/>
    <s v="Egypt"/>
    <x v="24"/>
    <x v="107"/>
    <x v="107"/>
    <m/>
    <m/>
    <s v="Break 15 Night"/>
    <d v="1899-12-30T20:45:00"/>
    <d v="1899-12-30T21:00:00"/>
    <n v="0"/>
    <x v="1"/>
  </r>
  <r>
    <x v="0"/>
    <s v="Egypt"/>
    <x v="24"/>
    <x v="107"/>
    <x v="107"/>
    <m/>
    <m/>
    <s v="Break 30 Night"/>
    <s v="+12:00 AM"/>
    <s v="+12:30 AM"/>
    <n v="0"/>
    <x v="1"/>
  </r>
  <r>
    <x v="0"/>
    <s v="Egypt"/>
    <x v="24"/>
    <x v="107"/>
    <x v="107"/>
    <d v="2025-06-07T00:00:00"/>
    <m/>
    <s v="Day Off"/>
    <m/>
    <m/>
    <n v="0"/>
    <x v="1"/>
  </r>
  <r>
    <x v="0"/>
    <s v="Egypt"/>
    <x v="24"/>
    <x v="107"/>
    <x v="107"/>
    <d v="2025-06-08T00:00:00"/>
    <d v="1899-12-30T08:15:00"/>
    <s v="Public holiday"/>
    <m/>
    <m/>
    <n v="29700"/>
    <x v="1"/>
  </r>
  <r>
    <x v="0"/>
    <s v="Egypt"/>
    <x v="24"/>
    <x v="107"/>
    <x v="107"/>
    <d v="2025-06-09T00:00:00"/>
    <d v="1899-12-30T08:15:00"/>
    <s v="Non Telecom"/>
    <d v="1899-12-30T21:00:00"/>
    <s v="+5:15 AM"/>
    <n v="29700"/>
    <x v="0"/>
  </r>
  <r>
    <x v="0"/>
    <s v="Egypt"/>
    <x v="24"/>
    <x v="107"/>
    <x v="107"/>
    <m/>
    <m/>
    <s v="Break 15 Night"/>
    <d v="1899-12-30T22:15:00"/>
    <d v="1899-12-30T22:30:00"/>
    <n v="0"/>
    <x v="1"/>
  </r>
  <r>
    <x v="0"/>
    <s v="Egypt"/>
    <x v="24"/>
    <x v="107"/>
    <x v="107"/>
    <m/>
    <m/>
    <s v="Break 30 Night"/>
    <s v="+1:45 AM"/>
    <s v="+2:15 AM"/>
    <n v="0"/>
    <x v="1"/>
  </r>
  <r>
    <x v="0"/>
    <s v="Egypt"/>
    <x v="24"/>
    <x v="107"/>
    <x v="107"/>
    <d v="2025-06-10T00:00:00"/>
    <d v="1899-12-30T08:15:00"/>
    <s v="Non Telecom"/>
    <d v="1899-12-30T21:00:00"/>
    <s v="+5:15 AM"/>
    <n v="29700"/>
    <x v="0"/>
  </r>
  <r>
    <x v="0"/>
    <s v="Egypt"/>
    <x v="24"/>
    <x v="107"/>
    <x v="107"/>
    <m/>
    <m/>
    <s v="Break 15 Night"/>
    <d v="1899-12-30T22:30:00"/>
    <d v="1899-12-30T22:45:00"/>
    <n v="0"/>
    <x v="1"/>
  </r>
  <r>
    <x v="0"/>
    <s v="Egypt"/>
    <x v="24"/>
    <x v="107"/>
    <x v="107"/>
    <m/>
    <m/>
    <s v="Break 30 Night"/>
    <s v="+1:30 AM"/>
    <s v="+2:00 AM"/>
    <n v="0"/>
    <x v="1"/>
  </r>
  <r>
    <x v="0"/>
    <s v="Egypt"/>
    <x v="24"/>
    <x v="107"/>
    <x v="107"/>
    <d v="2025-06-11T00:00:00"/>
    <d v="1899-12-30T08:15:00"/>
    <s v="Non Telecom"/>
    <d v="1899-12-30T21:00:00"/>
    <s v="+5:15 AM"/>
    <n v="29700"/>
    <x v="0"/>
  </r>
  <r>
    <x v="0"/>
    <s v="Egypt"/>
    <x v="24"/>
    <x v="107"/>
    <x v="107"/>
    <m/>
    <m/>
    <s v="Break 15 Night"/>
    <d v="1899-12-30T22:45:00"/>
    <d v="1899-12-30T23:00:00"/>
    <n v="0"/>
    <x v="1"/>
  </r>
  <r>
    <x v="0"/>
    <s v="Egypt"/>
    <x v="24"/>
    <x v="107"/>
    <x v="107"/>
    <m/>
    <m/>
    <s v="Break 30 Night"/>
    <s v="+2:00 AM"/>
    <s v="+2:30 AM"/>
    <n v="0"/>
    <x v="1"/>
  </r>
  <r>
    <x v="0"/>
    <s v="Egypt"/>
    <x v="24"/>
    <x v="107"/>
    <x v="107"/>
    <d v="2025-06-12T00:00:00"/>
    <d v="1899-12-30T08:15:00"/>
    <s v="Non Telecom"/>
    <d v="1899-12-30T21:00:00"/>
    <s v="+5:15 AM"/>
    <n v="29700"/>
    <x v="0"/>
  </r>
  <r>
    <x v="0"/>
    <s v="Egypt"/>
    <x v="24"/>
    <x v="107"/>
    <x v="107"/>
    <m/>
    <m/>
    <s v="Break 15 Night"/>
    <d v="1899-12-30T23:00:00"/>
    <d v="1899-12-30T23:15:00"/>
    <n v="0"/>
    <x v="1"/>
  </r>
  <r>
    <x v="0"/>
    <s v="Egypt"/>
    <x v="24"/>
    <x v="107"/>
    <x v="107"/>
    <m/>
    <m/>
    <s v="Break 30 Night"/>
    <s v="+2:00 AM"/>
    <s v="+2:30 AM"/>
    <n v="0"/>
    <x v="1"/>
  </r>
  <r>
    <x v="0"/>
    <s v="Egypt"/>
    <x v="24"/>
    <x v="107"/>
    <x v="107"/>
    <d v="2025-06-13T00:00:00"/>
    <m/>
    <s v="Day Off"/>
    <m/>
    <m/>
    <n v="0"/>
    <x v="1"/>
  </r>
  <r>
    <x v="0"/>
    <s v="Egypt"/>
    <x v="24"/>
    <x v="107"/>
    <x v="107"/>
    <d v="2025-06-14T00:00:00"/>
    <m/>
    <s v="Day Off"/>
    <m/>
    <m/>
    <n v="0"/>
    <x v="1"/>
  </r>
  <r>
    <x v="0"/>
    <s v="Egypt"/>
    <x v="24"/>
    <x v="107"/>
    <x v="107"/>
    <d v="2025-06-15T00:00:00"/>
    <d v="1899-12-30T08:15:00"/>
    <s v="Support Training"/>
    <m/>
    <m/>
    <n v="29700"/>
    <x v="1"/>
  </r>
  <r>
    <x v="0"/>
    <s v="Egypt"/>
    <x v="24"/>
    <x v="107"/>
    <x v="107"/>
    <d v="2025-06-16T00:00:00"/>
    <d v="1899-12-30T08:15:00"/>
    <s v="Support Training"/>
    <m/>
    <m/>
    <n v="29700"/>
    <x v="1"/>
  </r>
  <r>
    <x v="0"/>
    <s v="Egypt"/>
    <x v="24"/>
    <x v="107"/>
    <x v="107"/>
    <d v="2025-06-17T00:00:00"/>
    <d v="1899-12-30T08:15:00"/>
    <s v="Support Training"/>
    <m/>
    <m/>
    <n v="29700"/>
    <x v="1"/>
  </r>
  <r>
    <x v="0"/>
    <s v="Egypt"/>
    <x v="24"/>
    <x v="107"/>
    <x v="107"/>
    <d v="2025-06-18T00:00:00"/>
    <d v="1899-12-30T08:15:00"/>
    <s v="Support Training"/>
    <m/>
    <m/>
    <n v="29700"/>
    <x v="1"/>
  </r>
  <r>
    <x v="0"/>
    <s v="Egypt"/>
    <x v="24"/>
    <x v="107"/>
    <x v="107"/>
    <d v="2025-06-19T00:00:00"/>
    <d v="1899-12-30T08:15:00"/>
    <s v="Support Training"/>
    <m/>
    <m/>
    <n v="29700"/>
    <x v="1"/>
  </r>
  <r>
    <x v="0"/>
    <s v="Egypt"/>
    <x v="24"/>
    <x v="107"/>
    <x v="107"/>
    <d v="2025-06-20T00:00:00"/>
    <m/>
    <s v="Day Off"/>
    <m/>
    <m/>
    <n v="0"/>
    <x v="1"/>
  </r>
  <r>
    <x v="0"/>
    <s v="Egypt"/>
    <x v="24"/>
    <x v="107"/>
    <x v="107"/>
    <d v="2025-06-21T00:00:00"/>
    <m/>
    <s v="Day Off"/>
    <m/>
    <m/>
    <n v="0"/>
    <x v="1"/>
  </r>
  <r>
    <x v="0"/>
    <s v="Egypt"/>
    <x v="24"/>
    <x v="107"/>
    <x v="107"/>
    <d v="2025-06-22T00:00:00"/>
    <d v="1899-12-30T08:15:00"/>
    <s v="Non Telecom"/>
    <d v="1899-12-30T14:00:00"/>
    <d v="1899-12-30T22:15:00"/>
    <n v="29700"/>
    <x v="0"/>
  </r>
  <r>
    <x v="0"/>
    <s v="Egypt"/>
    <x v="24"/>
    <x v="107"/>
    <x v="107"/>
    <m/>
    <m/>
    <s v="Break 15 Morning"/>
    <d v="1899-12-30T16:30:00"/>
    <d v="1899-12-30T16:45:00"/>
    <n v="0"/>
    <x v="1"/>
  </r>
  <r>
    <x v="0"/>
    <s v="Egypt"/>
    <x v="24"/>
    <x v="107"/>
    <x v="107"/>
    <m/>
    <m/>
    <s v="Break 30 Morning"/>
    <d v="1899-12-30T19:15:00"/>
    <d v="1899-12-30T19:45:00"/>
    <n v="0"/>
    <x v="1"/>
  </r>
  <r>
    <x v="0"/>
    <s v="Egypt"/>
    <x v="24"/>
    <x v="107"/>
    <x v="107"/>
    <d v="2025-06-23T00:00:00"/>
    <d v="1899-12-30T08:15:00"/>
    <s v="Non Telecom"/>
    <d v="1899-12-30T14:00:00"/>
    <d v="1899-12-30T22:15:00"/>
    <n v="29700"/>
    <x v="0"/>
  </r>
  <r>
    <x v="0"/>
    <s v="Egypt"/>
    <x v="24"/>
    <x v="107"/>
    <x v="107"/>
    <m/>
    <m/>
    <s v="Leave Early"/>
    <d v="1899-12-30T14:00:00"/>
    <d v="1899-12-30T15:00:00"/>
    <n v="0"/>
    <x v="1"/>
  </r>
  <r>
    <x v="0"/>
    <s v="Egypt"/>
    <x v="24"/>
    <x v="107"/>
    <x v="107"/>
    <m/>
    <m/>
    <s v="Break 15 Morning"/>
    <d v="1899-12-30T16:15:00"/>
    <d v="1899-12-30T16:30:00"/>
    <n v="0"/>
    <x v="1"/>
  </r>
  <r>
    <x v="0"/>
    <s v="Egypt"/>
    <x v="24"/>
    <x v="107"/>
    <x v="107"/>
    <m/>
    <m/>
    <s v="Break 30 Morning"/>
    <d v="1899-12-30T18:30:00"/>
    <d v="1899-12-30T19:00:00"/>
    <n v="0"/>
    <x v="1"/>
  </r>
  <r>
    <x v="0"/>
    <s v="Egypt"/>
    <x v="24"/>
    <x v="107"/>
    <x v="107"/>
    <d v="2025-06-24T00:00:00"/>
    <d v="1899-12-30T08:15:00"/>
    <s v="Non Telecom"/>
    <d v="1899-12-30T21:00:00"/>
    <s v="+5:15 AM"/>
    <n v="29700"/>
    <x v="0"/>
  </r>
  <r>
    <x v="0"/>
    <s v="Egypt"/>
    <x v="24"/>
    <x v="107"/>
    <x v="107"/>
    <m/>
    <m/>
    <s v="Break 15 Night"/>
    <d v="1899-12-30T23:30:00"/>
    <d v="1899-12-30T23:45:00"/>
    <n v="0"/>
    <x v="1"/>
  </r>
  <r>
    <x v="0"/>
    <s v="Egypt"/>
    <x v="24"/>
    <x v="107"/>
    <x v="107"/>
    <m/>
    <m/>
    <s v="Break 30 Night"/>
    <s v="+2:00 AM"/>
    <s v="+2:30 AM"/>
    <n v="0"/>
    <x v="1"/>
  </r>
  <r>
    <x v="0"/>
    <s v="Egypt"/>
    <x v="24"/>
    <x v="107"/>
    <x v="107"/>
    <d v="2025-06-25T00:00:00"/>
    <d v="1899-12-30T08:15:00"/>
    <s v="Annual Exception"/>
    <m/>
    <m/>
    <n v="29700"/>
    <x v="1"/>
  </r>
  <r>
    <x v="0"/>
    <s v="Egypt"/>
    <x v="24"/>
    <x v="107"/>
    <x v="107"/>
    <d v="2025-06-26T00:00:00"/>
    <m/>
    <s v="Day Off"/>
    <m/>
    <m/>
    <n v="0"/>
    <x v="1"/>
  </r>
  <r>
    <x v="0"/>
    <s v="Egypt"/>
    <x v="24"/>
    <x v="107"/>
    <x v="107"/>
    <d v="2025-06-27T00:00:00"/>
    <m/>
    <s v="Day Off"/>
    <m/>
    <m/>
    <n v="0"/>
    <x v="1"/>
  </r>
  <r>
    <x v="0"/>
    <s v="Egypt"/>
    <x v="24"/>
    <x v="107"/>
    <x v="107"/>
    <d v="2025-06-28T00:00:00"/>
    <d v="1899-12-30T08:15:00"/>
    <s v="Annual Exception"/>
    <m/>
    <m/>
    <n v="29700"/>
    <x v="1"/>
  </r>
  <r>
    <x v="0"/>
    <s v="Egypt"/>
    <x v="24"/>
    <x v="107"/>
    <x v="107"/>
    <d v="2025-06-29T00:00:00"/>
    <d v="1899-12-30T08:15:00"/>
    <s v="Support Training"/>
    <m/>
    <m/>
    <n v="29700"/>
    <x v="1"/>
  </r>
  <r>
    <x v="0"/>
    <s v="Egypt"/>
    <x v="24"/>
    <x v="107"/>
    <x v="107"/>
    <d v="2025-06-30T00:00:00"/>
    <d v="1899-12-30T08:15:00"/>
    <s v="Support Training"/>
    <m/>
    <m/>
    <n v="29700"/>
    <x v="1"/>
  </r>
  <r>
    <x v="0"/>
    <s v="Egypt"/>
    <x v="24"/>
    <x v="108"/>
    <x v="108"/>
    <d v="2025-06-01T00:00:00"/>
    <d v="1899-12-30T08:15:00"/>
    <s v="Support Training"/>
    <m/>
    <m/>
    <n v="29700"/>
    <x v="1"/>
  </r>
  <r>
    <x v="0"/>
    <s v="Egypt"/>
    <x v="24"/>
    <x v="108"/>
    <x v="108"/>
    <d v="2025-06-02T00:00:00"/>
    <d v="1899-12-30T08:15:00"/>
    <s v="Support Training"/>
    <m/>
    <m/>
    <n v="29700"/>
    <x v="1"/>
  </r>
  <r>
    <x v="0"/>
    <s v="Egypt"/>
    <x v="24"/>
    <x v="108"/>
    <x v="108"/>
    <d v="2025-06-03T00:00:00"/>
    <d v="1899-12-30T08:15:00"/>
    <s v="Support Training"/>
    <m/>
    <m/>
    <n v="29700"/>
    <x v="1"/>
  </r>
  <r>
    <x v="0"/>
    <s v="Egypt"/>
    <x v="24"/>
    <x v="108"/>
    <x v="108"/>
    <d v="2025-06-04T00:00:00"/>
    <d v="1899-12-30T08:15:00"/>
    <s v="Support Training"/>
    <m/>
    <m/>
    <n v="29700"/>
    <x v="1"/>
  </r>
  <r>
    <x v="0"/>
    <s v="Egypt"/>
    <x v="24"/>
    <x v="108"/>
    <x v="108"/>
    <d v="2025-06-05T00:00:00"/>
    <d v="1899-12-30T08:15:00"/>
    <s v="Support Training"/>
    <m/>
    <m/>
    <n v="29700"/>
    <x v="1"/>
  </r>
  <r>
    <x v="0"/>
    <s v="Egypt"/>
    <x v="24"/>
    <x v="108"/>
    <x v="108"/>
    <d v="2025-06-06T00:00:00"/>
    <m/>
    <s v="Day Off"/>
    <m/>
    <m/>
    <n v="0"/>
    <x v="1"/>
  </r>
  <r>
    <x v="0"/>
    <s v="Egypt"/>
    <x v="24"/>
    <x v="108"/>
    <x v="108"/>
    <d v="2025-06-07T00:00:00"/>
    <m/>
    <s v="Day Off"/>
    <m/>
    <m/>
    <n v="0"/>
    <x v="1"/>
  </r>
  <r>
    <x v="0"/>
    <s v="Egypt"/>
    <x v="24"/>
    <x v="108"/>
    <x v="108"/>
    <d v="2025-06-08T00:00:00"/>
    <d v="1899-12-30T08:15:00"/>
    <s v="Non Telecom"/>
    <d v="1899-12-30T21:00:00"/>
    <s v="+5:15 AM"/>
    <n v="29700"/>
    <x v="0"/>
  </r>
  <r>
    <x v="0"/>
    <s v="Egypt"/>
    <x v="24"/>
    <x v="108"/>
    <x v="108"/>
    <m/>
    <m/>
    <s v="Break 15 Night"/>
    <d v="1899-12-30T22:45:00"/>
    <d v="1899-12-30T23:00:00"/>
    <n v="0"/>
    <x v="1"/>
  </r>
  <r>
    <x v="0"/>
    <s v="Egypt"/>
    <x v="24"/>
    <x v="108"/>
    <x v="108"/>
    <m/>
    <m/>
    <s v="Break 30 Night"/>
    <s v="+2:15 AM"/>
    <s v="+2:45 AM"/>
    <n v="0"/>
    <x v="1"/>
  </r>
  <r>
    <x v="0"/>
    <s v="Egypt"/>
    <x v="24"/>
    <x v="108"/>
    <x v="108"/>
    <d v="2025-06-09T00:00:00"/>
    <d v="1899-12-30T08:15:00"/>
    <s v="Non Telecom"/>
    <d v="1899-12-30T21:00:00"/>
    <s v="+5:15 AM"/>
    <n v="29700"/>
    <x v="0"/>
  </r>
  <r>
    <x v="0"/>
    <s v="Egypt"/>
    <x v="24"/>
    <x v="108"/>
    <x v="108"/>
    <m/>
    <m/>
    <s v="Break 15 Night"/>
    <d v="1899-12-30T22:30:00"/>
    <d v="1899-12-30T22:45:00"/>
    <n v="0"/>
    <x v="1"/>
  </r>
  <r>
    <x v="0"/>
    <s v="Egypt"/>
    <x v="24"/>
    <x v="108"/>
    <x v="108"/>
    <m/>
    <m/>
    <s v="Break 30 Night"/>
    <s v="+1:45 AM"/>
    <s v="+2:15 AM"/>
    <n v="0"/>
    <x v="1"/>
  </r>
  <r>
    <x v="0"/>
    <s v="Egypt"/>
    <x v="24"/>
    <x v="108"/>
    <x v="108"/>
    <d v="2025-06-10T00:00:00"/>
    <d v="1899-12-30T08:15:00"/>
    <s v="Non Telecom"/>
    <d v="1899-12-30T21:00:00"/>
    <s v="+5:15 AM"/>
    <n v="29700"/>
    <x v="0"/>
  </r>
  <r>
    <x v="0"/>
    <s v="Egypt"/>
    <x v="24"/>
    <x v="108"/>
    <x v="108"/>
    <m/>
    <m/>
    <s v="Break 15 Night"/>
    <d v="1899-12-30T22:45:00"/>
    <d v="1899-12-30T23:00:00"/>
    <n v="0"/>
    <x v="1"/>
  </r>
  <r>
    <x v="0"/>
    <s v="Egypt"/>
    <x v="24"/>
    <x v="108"/>
    <x v="108"/>
    <m/>
    <m/>
    <s v="Break 30 Night"/>
    <s v="+2:00 AM"/>
    <s v="+2:30 AM"/>
    <n v="0"/>
    <x v="1"/>
  </r>
  <r>
    <x v="0"/>
    <s v="Egypt"/>
    <x v="24"/>
    <x v="108"/>
    <x v="108"/>
    <d v="2025-06-11T00:00:00"/>
    <m/>
    <s v="Day Off"/>
    <m/>
    <m/>
    <n v="0"/>
    <x v="1"/>
  </r>
  <r>
    <x v="0"/>
    <s v="Egypt"/>
    <x v="24"/>
    <x v="108"/>
    <x v="108"/>
    <d v="2025-06-12T00:00:00"/>
    <m/>
    <s v="Day Off"/>
    <m/>
    <m/>
    <n v="0"/>
    <x v="1"/>
  </r>
  <r>
    <x v="0"/>
    <s v="Egypt"/>
    <x v="24"/>
    <x v="108"/>
    <x v="108"/>
    <d v="2025-06-13T00:00:00"/>
    <d v="1899-12-30T08:15:00"/>
    <s v="Non Telecom"/>
    <d v="1899-12-30T21:00:00"/>
    <s v="+5:15 AM"/>
    <n v="29700"/>
    <x v="0"/>
  </r>
  <r>
    <x v="0"/>
    <s v="Egypt"/>
    <x v="24"/>
    <x v="108"/>
    <x v="108"/>
    <m/>
    <m/>
    <s v="Break 15 Night"/>
    <d v="1899-12-30T22:30:00"/>
    <d v="1899-12-30T22:45:00"/>
    <n v="0"/>
    <x v="1"/>
  </r>
  <r>
    <x v="0"/>
    <s v="Egypt"/>
    <x v="24"/>
    <x v="108"/>
    <x v="108"/>
    <m/>
    <m/>
    <s v="Break 30 Night"/>
    <s v="+1:30 AM"/>
    <s v="+2:00 AM"/>
    <n v="0"/>
    <x v="1"/>
  </r>
  <r>
    <x v="0"/>
    <s v="Egypt"/>
    <x v="24"/>
    <x v="108"/>
    <x v="108"/>
    <d v="2025-06-14T00:00:00"/>
    <d v="1899-12-30T08:15:00"/>
    <s v="Non Telecom"/>
    <d v="1899-12-30T21:00:00"/>
    <s v="+5:15 AM"/>
    <n v="29700"/>
    <x v="0"/>
  </r>
  <r>
    <x v="0"/>
    <s v="Egypt"/>
    <x v="24"/>
    <x v="108"/>
    <x v="108"/>
    <m/>
    <m/>
    <s v="Break 15 Night"/>
    <d v="1899-12-30T23:00:00"/>
    <d v="1899-12-30T23:15:00"/>
    <n v="0"/>
    <x v="1"/>
  </r>
  <r>
    <x v="0"/>
    <s v="Egypt"/>
    <x v="24"/>
    <x v="108"/>
    <x v="108"/>
    <m/>
    <m/>
    <s v="Break 30 Night"/>
    <s v="+1:45 AM"/>
    <s v="+2:15 AM"/>
    <n v="0"/>
    <x v="1"/>
  </r>
  <r>
    <x v="0"/>
    <s v="Egypt"/>
    <x v="24"/>
    <x v="108"/>
    <x v="108"/>
    <d v="2025-06-15T00:00:00"/>
    <d v="1899-12-30T08:15:00"/>
    <s v="Non Telecom"/>
    <d v="1899-12-30T20:00:00"/>
    <s v="+4:15 AM"/>
    <n v="29700"/>
    <x v="0"/>
  </r>
  <r>
    <x v="0"/>
    <s v="Egypt"/>
    <x v="24"/>
    <x v="108"/>
    <x v="108"/>
    <m/>
    <m/>
    <s v="Break 15 Night"/>
    <d v="1899-12-30T22:30:00"/>
    <d v="1899-12-30T22:45:00"/>
    <n v="0"/>
    <x v="1"/>
  </r>
  <r>
    <x v="0"/>
    <s v="Egypt"/>
    <x v="24"/>
    <x v="108"/>
    <x v="108"/>
    <m/>
    <m/>
    <s v="Break 30 Night"/>
    <s v="+1:15 AM"/>
    <s v="+1:45 AM"/>
    <n v="0"/>
    <x v="1"/>
  </r>
  <r>
    <x v="0"/>
    <s v="Egypt"/>
    <x v="24"/>
    <x v="108"/>
    <x v="108"/>
    <d v="2025-06-16T00:00:00"/>
    <d v="1899-12-30T08:15:00"/>
    <s v="Non Telecom"/>
    <d v="1899-12-30T20:00:00"/>
    <s v="+4:15 AM"/>
    <n v="29700"/>
    <x v="0"/>
  </r>
  <r>
    <x v="0"/>
    <s v="Egypt"/>
    <x v="24"/>
    <x v="108"/>
    <x v="108"/>
    <m/>
    <m/>
    <s v="Break 15 Night"/>
    <d v="1899-12-30T22:30:00"/>
    <d v="1899-12-30T22:45:00"/>
    <n v="0"/>
    <x v="1"/>
  </r>
  <r>
    <x v="0"/>
    <s v="Egypt"/>
    <x v="24"/>
    <x v="108"/>
    <x v="108"/>
    <m/>
    <m/>
    <s v="Break 30 Night"/>
    <s v="+1:00 AM"/>
    <s v="+1:30 AM"/>
    <n v="0"/>
    <x v="1"/>
  </r>
  <r>
    <x v="0"/>
    <s v="Egypt"/>
    <x v="24"/>
    <x v="108"/>
    <x v="108"/>
    <m/>
    <m/>
    <s v="Shift Move"/>
    <s v="+2:15 AM"/>
    <s v="+4:15 AM"/>
    <n v="0"/>
    <x v="1"/>
  </r>
  <r>
    <x v="0"/>
    <s v="Egypt"/>
    <x v="24"/>
    <x v="108"/>
    <x v="108"/>
    <d v="2025-06-17T00:00:00"/>
    <m/>
    <s v="Day Off"/>
    <m/>
    <m/>
    <n v="0"/>
    <x v="1"/>
  </r>
  <r>
    <x v="0"/>
    <s v="Egypt"/>
    <x v="24"/>
    <x v="108"/>
    <x v="108"/>
    <d v="2025-06-18T00:00:00"/>
    <m/>
    <s v="Day Off"/>
    <m/>
    <m/>
    <n v="0"/>
    <x v="1"/>
  </r>
  <r>
    <x v="0"/>
    <s v="Egypt"/>
    <x v="24"/>
    <x v="108"/>
    <x v="108"/>
    <d v="2025-06-19T00:00:00"/>
    <d v="1899-12-30T08:15:00"/>
    <s v="Non Telecom"/>
    <d v="1899-12-30T17:15:00"/>
    <s v="+1:30 AM"/>
    <n v="29700"/>
    <x v="0"/>
  </r>
  <r>
    <x v="0"/>
    <s v="Egypt"/>
    <x v="24"/>
    <x v="108"/>
    <x v="108"/>
    <m/>
    <m/>
    <s v="Break 15 Night"/>
    <d v="1899-12-30T20:45:00"/>
    <d v="1899-12-30T21:00:00"/>
    <n v="0"/>
    <x v="1"/>
  </r>
  <r>
    <x v="0"/>
    <s v="Egypt"/>
    <x v="24"/>
    <x v="108"/>
    <x v="108"/>
    <m/>
    <m/>
    <s v="Break 30 Night"/>
    <s v="+12:00 AM"/>
    <s v="+12:30 AM"/>
    <n v="0"/>
    <x v="1"/>
  </r>
  <r>
    <x v="0"/>
    <s v="Egypt"/>
    <x v="24"/>
    <x v="108"/>
    <x v="108"/>
    <d v="2025-06-20T00:00:00"/>
    <d v="1899-12-30T08:15:00"/>
    <s v="Non Telecom"/>
    <d v="1899-12-30T19:00:00"/>
    <s v="+3:15 AM"/>
    <n v="29700"/>
    <x v="0"/>
  </r>
  <r>
    <x v="0"/>
    <s v="Egypt"/>
    <x v="24"/>
    <x v="108"/>
    <x v="108"/>
    <m/>
    <m/>
    <s v="Break 15 Night"/>
    <d v="1899-12-30T21:15:00"/>
    <d v="1899-12-30T21:30:00"/>
    <n v="0"/>
    <x v="1"/>
  </r>
  <r>
    <x v="0"/>
    <s v="Egypt"/>
    <x v="24"/>
    <x v="108"/>
    <x v="108"/>
    <m/>
    <m/>
    <s v="Break 30 Night"/>
    <s v="+12:15 AM"/>
    <s v="+12:45 AM"/>
    <n v="0"/>
    <x v="1"/>
  </r>
  <r>
    <x v="0"/>
    <s v="Egypt"/>
    <x v="24"/>
    <x v="108"/>
    <x v="108"/>
    <d v="2025-06-21T00:00:00"/>
    <d v="1899-12-30T08:15:00"/>
    <s v="Non Telecom"/>
    <d v="1899-12-30T19:00:00"/>
    <s v="+3:15 AM"/>
    <n v="29700"/>
    <x v="0"/>
  </r>
  <r>
    <x v="0"/>
    <s v="Egypt"/>
    <x v="24"/>
    <x v="108"/>
    <x v="108"/>
    <m/>
    <m/>
    <s v="Break 15 Night"/>
    <d v="1899-12-30T21:15:00"/>
    <d v="1899-12-30T21:30:00"/>
    <n v="0"/>
    <x v="1"/>
  </r>
  <r>
    <x v="0"/>
    <s v="Egypt"/>
    <x v="24"/>
    <x v="108"/>
    <x v="108"/>
    <m/>
    <m/>
    <s v="Break 30 Night"/>
    <s v="+12:30 AM"/>
    <s v="+1:00 AM"/>
    <n v="0"/>
    <x v="1"/>
  </r>
  <r>
    <x v="0"/>
    <s v="Egypt"/>
    <x v="24"/>
    <x v="108"/>
    <x v="108"/>
    <d v="2025-06-22T00:00:00"/>
    <d v="1899-12-30T08:15:00"/>
    <s v="Non Telecom"/>
    <d v="1899-12-30T15:00:00"/>
    <d v="1899-12-30T23:15:00"/>
    <n v="29700"/>
    <x v="0"/>
  </r>
  <r>
    <x v="0"/>
    <s v="Egypt"/>
    <x v="24"/>
    <x v="108"/>
    <x v="108"/>
    <m/>
    <m/>
    <s v="Break 15 Morning"/>
    <d v="1899-12-30T17:45:00"/>
    <d v="1899-12-30T18:00:00"/>
    <n v="0"/>
    <x v="1"/>
  </r>
  <r>
    <x v="0"/>
    <s v="Egypt"/>
    <x v="24"/>
    <x v="108"/>
    <x v="108"/>
    <m/>
    <m/>
    <s v="Break 30 Morning"/>
    <d v="1899-12-30T20:15:00"/>
    <d v="1899-12-30T20:45:00"/>
    <n v="0"/>
    <x v="1"/>
  </r>
  <r>
    <x v="0"/>
    <s v="Egypt"/>
    <x v="24"/>
    <x v="108"/>
    <x v="108"/>
    <d v="2025-06-23T00:00:00"/>
    <d v="1899-12-30T08:15:00"/>
    <s v="Non Telecom"/>
    <d v="1899-12-30T15:00:00"/>
    <d v="1899-12-30T23:15:00"/>
    <n v="29700"/>
    <x v="0"/>
  </r>
  <r>
    <x v="0"/>
    <s v="Egypt"/>
    <x v="24"/>
    <x v="108"/>
    <x v="108"/>
    <m/>
    <m/>
    <s v="Break 15 Morning"/>
    <d v="1899-12-30T17:30:00"/>
    <d v="1899-12-30T17:45:00"/>
    <n v="0"/>
    <x v="1"/>
  </r>
  <r>
    <x v="0"/>
    <s v="Egypt"/>
    <x v="24"/>
    <x v="108"/>
    <x v="108"/>
    <m/>
    <m/>
    <s v="Break 30 Morning"/>
    <d v="1899-12-30T19:45:00"/>
    <d v="1899-12-30T20:15:00"/>
    <n v="0"/>
    <x v="1"/>
  </r>
  <r>
    <x v="0"/>
    <s v="Egypt"/>
    <x v="24"/>
    <x v="108"/>
    <x v="108"/>
    <d v="2025-06-24T00:00:00"/>
    <d v="1899-12-30T08:15:00"/>
    <s v="Non Telecom"/>
    <d v="1899-12-30T14:00:00"/>
    <d v="1899-12-30T22:15:00"/>
    <n v="29700"/>
    <x v="0"/>
  </r>
  <r>
    <x v="0"/>
    <s v="Egypt"/>
    <x v="24"/>
    <x v="108"/>
    <x v="108"/>
    <m/>
    <m/>
    <s v="Break 15 Morning"/>
    <d v="1899-12-30T17:00:00"/>
    <d v="1899-12-30T17:15:00"/>
    <n v="0"/>
    <x v="1"/>
  </r>
  <r>
    <x v="0"/>
    <s v="Egypt"/>
    <x v="24"/>
    <x v="108"/>
    <x v="108"/>
    <m/>
    <m/>
    <s v="Break 30 Morning"/>
    <d v="1899-12-30T19:45:00"/>
    <d v="1899-12-30T20:15:00"/>
    <n v="0"/>
    <x v="1"/>
  </r>
  <r>
    <x v="0"/>
    <s v="Egypt"/>
    <x v="24"/>
    <x v="108"/>
    <x v="108"/>
    <d v="2025-06-25T00:00:00"/>
    <m/>
    <s v="Day Off"/>
    <m/>
    <m/>
    <n v="0"/>
    <x v="1"/>
  </r>
  <r>
    <x v="0"/>
    <s v="Egypt"/>
    <x v="24"/>
    <x v="108"/>
    <x v="108"/>
    <d v="2025-06-26T00:00:00"/>
    <m/>
    <s v="Day Off"/>
    <m/>
    <m/>
    <n v="0"/>
    <x v="1"/>
  </r>
  <r>
    <x v="0"/>
    <s v="Egypt"/>
    <x v="24"/>
    <x v="108"/>
    <x v="108"/>
    <d v="2025-06-27T00:00:00"/>
    <d v="1899-12-30T08:15:00"/>
    <s v="Non Telecom"/>
    <d v="1899-12-30T15:00:00"/>
    <d v="1899-12-30T23:15:00"/>
    <n v="29700"/>
    <x v="0"/>
  </r>
  <r>
    <x v="0"/>
    <s v="Egypt"/>
    <x v="24"/>
    <x v="108"/>
    <x v="108"/>
    <m/>
    <m/>
    <s v="Break 15 Morning"/>
    <d v="1899-12-30T17:15:00"/>
    <d v="1899-12-30T17:30:00"/>
    <n v="0"/>
    <x v="1"/>
  </r>
  <r>
    <x v="0"/>
    <s v="Egypt"/>
    <x v="24"/>
    <x v="108"/>
    <x v="108"/>
    <m/>
    <m/>
    <s v="Break 30 Morning"/>
    <d v="1899-12-30T20:45:00"/>
    <d v="1899-12-30T21:15:00"/>
    <n v="0"/>
    <x v="1"/>
  </r>
  <r>
    <x v="0"/>
    <s v="Egypt"/>
    <x v="24"/>
    <x v="108"/>
    <x v="108"/>
    <d v="2025-06-28T00:00:00"/>
    <d v="1899-12-30T08:15:00"/>
    <s v="Non Telecom"/>
    <d v="1899-12-30T18:00:00"/>
    <s v="+2:15 AM"/>
    <n v="29700"/>
    <x v="0"/>
  </r>
  <r>
    <x v="0"/>
    <s v="Egypt"/>
    <x v="24"/>
    <x v="108"/>
    <x v="108"/>
    <m/>
    <m/>
    <s v="Break 15 Night"/>
    <d v="1899-12-30T20:45:00"/>
    <d v="1899-12-30T21:00:00"/>
    <n v="0"/>
    <x v="1"/>
  </r>
  <r>
    <x v="0"/>
    <s v="Egypt"/>
    <x v="24"/>
    <x v="108"/>
    <x v="108"/>
    <m/>
    <m/>
    <s v="Break 30 Night"/>
    <s v="+12:00 AM"/>
    <s v="+12:30 AM"/>
    <n v="0"/>
    <x v="1"/>
  </r>
  <r>
    <x v="0"/>
    <s v="Egypt"/>
    <x v="24"/>
    <x v="108"/>
    <x v="108"/>
    <d v="2025-06-29T00:00:00"/>
    <d v="1899-12-30T08:15:00"/>
    <s v="Planned Task"/>
    <m/>
    <m/>
    <n v="29700"/>
    <x v="1"/>
  </r>
  <r>
    <x v="0"/>
    <s v="Egypt"/>
    <x v="24"/>
    <x v="108"/>
    <x v="108"/>
    <d v="2025-06-30T00:00:00"/>
    <d v="1899-12-30T08:15:00"/>
    <s v="Planned Task"/>
    <m/>
    <m/>
    <n v="29700"/>
    <x v="1"/>
  </r>
  <r>
    <x v="0"/>
    <s v="Egypt"/>
    <x v="24"/>
    <x v="109"/>
    <x v="109"/>
    <d v="2025-06-01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30:00"/>
    <d v="1899-12-30T22:45:00"/>
    <n v="0"/>
    <x v="1"/>
  </r>
  <r>
    <x v="0"/>
    <s v="Egypt"/>
    <x v="24"/>
    <x v="109"/>
    <x v="109"/>
    <m/>
    <m/>
    <s v="Break 30 Night"/>
    <s v="+1:45 AM"/>
    <s v="+2:15 AM"/>
    <n v="0"/>
    <x v="1"/>
  </r>
  <r>
    <x v="0"/>
    <s v="Egypt"/>
    <x v="24"/>
    <x v="109"/>
    <x v="109"/>
    <d v="2025-06-02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15:00"/>
    <d v="1899-12-30T22:30:00"/>
    <n v="0"/>
    <x v="1"/>
  </r>
  <r>
    <x v="0"/>
    <s v="Egypt"/>
    <x v="24"/>
    <x v="109"/>
    <x v="109"/>
    <m/>
    <m/>
    <s v="Break 30 Night"/>
    <s v="+1:45 AM"/>
    <s v="+2:15 AM"/>
    <n v="0"/>
    <x v="1"/>
  </r>
  <r>
    <x v="0"/>
    <s v="Egypt"/>
    <x v="24"/>
    <x v="109"/>
    <x v="109"/>
    <d v="2025-06-03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15:00"/>
    <d v="1899-12-30T23:30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04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45:00"/>
    <d v="1899-12-30T23:00:00"/>
    <n v="0"/>
    <x v="1"/>
  </r>
  <r>
    <x v="0"/>
    <s v="Egypt"/>
    <x v="24"/>
    <x v="109"/>
    <x v="109"/>
    <m/>
    <m/>
    <s v="Break 30 Night"/>
    <s v="+2:00 AM"/>
    <s v="+2:30 AM"/>
    <n v="0"/>
    <x v="1"/>
  </r>
  <r>
    <x v="0"/>
    <s v="Egypt"/>
    <x v="24"/>
    <x v="109"/>
    <x v="109"/>
    <d v="2025-06-05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45 AM"/>
    <s v="+3:15 AM"/>
    <n v="0"/>
    <x v="1"/>
  </r>
  <r>
    <x v="0"/>
    <s v="Egypt"/>
    <x v="24"/>
    <x v="109"/>
    <x v="109"/>
    <d v="2025-06-06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30:00"/>
    <d v="1899-12-30T22:45:00"/>
    <n v="0"/>
    <x v="1"/>
  </r>
  <r>
    <x v="0"/>
    <s v="Egypt"/>
    <x v="24"/>
    <x v="109"/>
    <x v="109"/>
    <m/>
    <m/>
    <s v="Break 30 Night"/>
    <s v="+1:00 AM"/>
    <s v="+1:30 AM"/>
    <n v="0"/>
    <x v="1"/>
  </r>
  <r>
    <x v="0"/>
    <s v="Egypt"/>
    <x v="24"/>
    <x v="109"/>
    <x v="109"/>
    <d v="2025-06-07T00:00:00"/>
    <m/>
    <s v="Day Off"/>
    <m/>
    <m/>
    <n v="0"/>
    <x v="1"/>
  </r>
  <r>
    <x v="0"/>
    <s v="Egypt"/>
    <x v="24"/>
    <x v="109"/>
    <x v="109"/>
    <d v="2025-06-08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00:00"/>
    <d v="1899-12-30T23:15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09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45:00"/>
    <d v="1899-12-30T23:00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10T00:00:00"/>
    <d v="1899-12-30T08:15:00"/>
    <s v="Annual Exception"/>
    <m/>
    <m/>
    <n v="29700"/>
    <x v="1"/>
  </r>
  <r>
    <x v="0"/>
    <s v="Egypt"/>
    <x v="24"/>
    <x v="109"/>
    <x v="109"/>
    <d v="2025-06-11T00:00:00"/>
    <d v="1899-12-30T08:15:00"/>
    <s v="Annual Exception"/>
    <m/>
    <m/>
    <n v="29700"/>
    <x v="1"/>
  </r>
  <r>
    <x v="0"/>
    <s v="Egypt"/>
    <x v="24"/>
    <x v="109"/>
    <x v="109"/>
    <d v="2025-06-12T00:00:00"/>
    <d v="1899-12-30T08:15:00"/>
    <s v="Annual Exception"/>
    <m/>
    <m/>
    <n v="29700"/>
    <x v="1"/>
  </r>
  <r>
    <x v="0"/>
    <s v="Egypt"/>
    <x v="24"/>
    <x v="109"/>
    <x v="109"/>
    <d v="2025-06-13T00:00:00"/>
    <m/>
    <s v="Day Off"/>
    <m/>
    <m/>
    <n v="0"/>
    <x v="1"/>
  </r>
  <r>
    <x v="0"/>
    <s v="Egypt"/>
    <x v="24"/>
    <x v="109"/>
    <x v="109"/>
    <d v="2025-06-14T00:00:00"/>
    <m/>
    <s v="Day Off"/>
    <m/>
    <m/>
    <n v="0"/>
    <x v="1"/>
  </r>
  <r>
    <x v="0"/>
    <s v="Egypt"/>
    <x v="24"/>
    <x v="109"/>
    <x v="109"/>
    <d v="2025-06-15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45 AM"/>
    <s v="+3:15 AM"/>
    <n v="0"/>
    <x v="1"/>
  </r>
  <r>
    <x v="0"/>
    <s v="Egypt"/>
    <x v="24"/>
    <x v="109"/>
    <x v="109"/>
    <d v="2025-06-16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15:00"/>
    <d v="1899-12-30T23:30:00"/>
    <n v="0"/>
    <x v="1"/>
  </r>
  <r>
    <x v="0"/>
    <s v="Egypt"/>
    <x v="24"/>
    <x v="109"/>
    <x v="109"/>
    <m/>
    <m/>
    <s v="Break 30 Night"/>
    <s v="+2:00 AM"/>
    <s v="+2:30 AM"/>
    <n v="0"/>
    <x v="1"/>
  </r>
  <r>
    <x v="0"/>
    <s v="Egypt"/>
    <x v="24"/>
    <x v="109"/>
    <x v="109"/>
    <d v="2025-06-17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15:00"/>
    <d v="1899-12-30T23:30:00"/>
    <n v="0"/>
    <x v="1"/>
  </r>
  <r>
    <x v="0"/>
    <s v="Egypt"/>
    <x v="24"/>
    <x v="109"/>
    <x v="109"/>
    <m/>
    <m/>
    <s v="Break 30 Night"/>
    <s v="+2:30 AM"/>
    <s v="+3:00 AM"/>
    <n v="0"/>
    <x v="1"/>
  </r>
  <r>
    <x v="0"/>
    <s v="Egypt"/>
    <x v="24"/>
    <x v="109"/>
    <x v="109"/>
    <d v="2025-06-18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15:00"/>
    <d v="1899-12-30T23:30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19T00:00:00"/>
    <m/>
    <s v="Day Off"/>
    <m/>
    <m/>
    <n v="0"/>
    <x v="1"/>
  </r>
  <r>
    <x v="0"/>
    <s v="Egypt"/>
    <x v="24"/>
    <x v="109"/>
    <x v="109"/>
    <d v="2025-06-20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45:00"/>
    <d v="1899-12-30T23:00:00"/>
    <n v="0"/>
    <x v="1"/>
  </r>
  <r>
    <x v="0"/>
    <s v="Egypt"/>
    <x v="24"/>
    <x v="109"/>
    <x v="109"/>
    <m/>
    <m/>
    <s v="Break 30 Night"/>
    <s v="+1:45 AM"/>
    <s v="+2:15 AM"/>
    <n v="0"/>
    <x v="1"/>
  </r>
  <r>
    <x v="0"/>
    <s v="Egypt"/>
    <x v="24"/>
    <x v="109"/>
    <x v="109"/>
    <d v="2025-06-21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2:45:00"/>
    <d v="1899-12-30T23:00:00"/>
    <n v="0"/>
    <x v="1"/>
  </r>
  <r>
    <x v="0"/>
    <s v="Egypt"/>
    <x v="24"/>
    <x v="109"/>
    <x v="109"/>
    <m/>
    <m/>
    <s v="Break 30 Night"/>
    <s v="+2:00 AM"/>
    <s v="+2:30 AM"/>
    <n v="0"/>
    <x v="1"/>
  </r>
  <r>
    <x v="0"/>
    <s v="Egypt"/>
    <x v="24"/>
    <x v="109"/>
    <x v="109"/>
    <d v="2025-06-22T00:00:00"/>
    <m/>
    <s v="Day Off"/>
    <m/>
    <m/>
    <n v="0"/>
    <x v="1"/>
  </r>
  <r>
    <x v="0"/>
    <s v="Egypt"/>
    <x v="24"/>
    <x v="109"/>
    <x v="109"/>
    <d v="2025-06-23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24T00:00:00"/>
    <m/>
    <s v="Day Off"/>
    <m/>
    <m/>
    <n v="0"/>
    <x v="1"/>
  </r>
  <r>
    <x v="0"/>
    <s v="Egypt"/>
    <x v="24"/>
    <x v="109"/>
    <x v="109"/>
    <d v="2025-06-25T00:00:00"/>
    <m/>
    <s v="Day Off"/>
    <m/>
    <m/>
    <n v="0"/>
    <x v="1"/>
  </r>
  <r>
    <x v="0"/>
    <s v="Egypt"/>
    <x v="24"/>
    <x v="109"/>
    <x v="109"/>
    <d v="2025-06-26T00:00:00"/>
    <m/>
    <s v="Day Off"/>
    <m/>
    <m/>
    <n v="0"/>
    <x v="1"/>
  </r>
  <r>
    <x v="0"/>
    <s v="Egypt"/>
    <x v="24"/>
    <x v="109"/>
    <x v="109"/>
    <d v="2025-06-27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15 AM"/>
    <s v="+2:45 AM"/>
    <n v="0"/>
    <x v="1"/>
  </r>
  <r>
    <x v="0"/>
    <s v="Egypt"/>
    <x v="24"/>
    <x v="109"/>
    <x v="109"/>
    <d v="2025-06-28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3:00 AM"/>
    <s v="+3:30 AM"/>
    <n v="0"/>
    <x v="1"/>
  </r>
  <r>
    <x v="0"/>
    <s v="Egypt"/>
    <x v="24"/>
    <x v="109"/>
    <x v="109"/>
    <d v="2025-06-29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30 AM"/>
    <s v="+3:00 AM"/>
    <n v="0"/>
    <x v="1"/>
  </r>
  <r>
    <x v="0"/>
    <s v="Egypt"/>
    <x v="24"/>
    <x v="109"/>
    <x v="109"/>
    <d v="2025-06-30T00:00:00"/>
    <d v="1899-12-30T08:15:00"/>
    <s v="Non Telecom"/>
    <d v="1899-12-30T21:00:00"/>
    <s v="+5:15 AM"/>
    <n v="29700"/>
    <x v="0"/>
  </r>
  <r>
    <x v="0"/>
    <s v="Egypt"/>
    <x v="24"/>
    <x v="109"/>
    <x v="109"/>
    <m/>
    <m/>
    <s v="Break 15 Night"/>
    <d v="1899-12-30T23:30:00"/>
    <d v="1899-12-30T23:45:00"/>
    <n v="0"/>
    <x v="1"/>
  </r>
  <r>
    <x v="0"/>
    <s v="Egypt"/>
    <x v="24"/>
    <x v="109"/>
    <x v="109"/>
    <m/>
    <m/>
    <s v="Break 30 Night"/>
    <s v="+2:30 AM"/>
    <s v="+3:00 AM"/>
    <n v="0"/>
    <x v="1"/>
  </r>
  <r>
    <x v="0"/>
    <s v="Egypt"/>
    <x v="24"/>
    <x v="110"/>
    <x v="110"/>
    <d v="2025-06-01T00:00:00"/>
    <d v="1899-12-30T08:15:00"/>
    <s v="Support Training"/>
    <m/>
    <m/>
    <n v="29700"/>
    <x v="1"/>
  </r>
  <r>
    <x v="0"/>
    <s v="Egypt"/>
    <x v="24"/>
    <x v="110"/>
    <x v="110"/>
    <d v="2025-06-02T00:00:00"/>
    <d v="1899-12-30T08:15:00"/>
    <s v="Support Training"/>
    <m/>
    <m/>
    <n v="29700"/>
    <x v="1"/>
  </r>
  <r>
    <x v="0"/>
    <s v="Egypt"/>
    <x v="24"/>
    <x v="110"/>
    <x v="110"/>
    <d v="2025-06-03T00:00:00"/>
    <d v="1899-12-30T08:15:00"/>
    <s v="Support Training"/>
    <m/>
    <m/>
    <n v="29700"/>
    <x v="1"/>
  </r>
  <r>
    <x v="0"/>
    <s v="Egypt"/>
    <x v="24"/>
    <x v="110"/>
    <x v="110"/>
    <d v="2025-06-04T00:00:00"/>
    <d v="1899-12-30T08:15:00"/>
    <s v="Support Training"/>
    <m/>
    <m/>
    <n v="29700"/>
    <x v="1"/>
  </r>
  <r>
    <x v="0"/>
    <s v="Egypt"/>
    <x v="24"/>
    <x v="110"/>
    <x v="110"/>
    <d v="2025-06-05T00:00:00"/>
    <d v="1899-12-30T08:15:00"/>
    <s v="Support Training"/>
    <m/>
    <m/>
    <n v="29700"/>
    <x v="1"/>
  </r>
  <r>
    <x v="0"/>
    <s v="Egypt"/>
    <x v="24"/>
    <x v="110"/>
    <x v="110"/>
    <d v="2025-06-06T00:00:00"/>
    <m/>
    <s v="Day Off"/>
    <m/>
    <m/>
    <n v="0"/>
    <x v="1"/>
  </r>
  <r>
    <x v="0"/>
    <s v="Egypt"/>
    <x v="24"/>
    <x v="110"/>
    <x v="110"/>
    <d v="2025-06-07T00:00:00"/>
    <m/>
    <s v="Day Off"/>
    <m/>
    <m/>
    <n v="0"/>
    <x v="1"/>
  </r>
  <r>
    <x v="0"/>
    <s v="Egypt"/>
    <x v="24"/>
    <x v="110"/>
    <x v="110"/>
    <d v="2025-06-08T00:00:00"/>
    <d v="1899-12-30T08:15:00"/>
    <s v="Non Telecom"/>
    <d v="1899-12-30T21:00:00"/>
    <s v="+5:15 AM"/>
    <n v="29700"/>
    <x v="0"/>
  </r>
  <r>
    <x v="0"/>
    <s v="Egypt"/>
    <x v="24"/>
    <x v="110"/>
    <x v="110"/>
    <m/>
    <m/>
    <s v="Break 15 Night"/>
    <d v="1899-12-30T23:00:00"/>
    <d v="1899-12-30T23:15:00"/>
    <n v="0"/>
    <x v="1"/>
  </r>
  <r>
    <x v="0"/>
    <s v="Egypt"/>
    <x v="24"/>
    <x v="110"/>
    <x v="110"/>
    <m/>
    <m/>
    <s v="Break 30 Night"/>
    <s v="+2:45 AM"/>
    <s v="+3:15 AM"/>
    <n v="0"/>
    <x v="1"/>
  </r>
  <r>
    <x v="0"/>
    <s v="Egypt"/>
    <x v="24"/>
    <x v="110"/>
    <x v="110"/>
    <d v="2025-06-09T00:00:00"/>
    <d v="1899-12-30T08:15:00"/>
    <s v="Non Telecom"/>
    <d v="1899-12-30T21:00:00"/>
    <s v="+5:15 AM"/>
    <n v="29700"/>
    <x v="0"/>
  </r>
  <r>
    <x v="0"/>
    <s v="Egypt"/>
    <x v="24"/>
    <x v="110"/>
    <x v="110"/>
    <m/>
    <m/>
    <s v="Break 15 Night"/>
    <d v="1899-12-30T22:45:00"/>
    <d v="1899-12-30T23:00:00"/>
    <n v="0"/>
    <x v="1"/>
  </r>
  <r>
    <x v="0"/>
    <s v="Egypt"/>
    <x v="24"/>
    <x v="110"/>
    <x v="110"/>
    <m/>
    <m/>
    <s v="Break 30 Night"/>
    <s v="+2:15 AM"/>
    <s v="+2:45 AM"/>
    <n v="0"/>
    <x v="1"/>
  </r>
  <r>
    <x v="0"/>
    <s v="Egypt"/>
    <x v="24"/>
    <x v="110"/>
    <x v="110"/>
    <d v="2025-06-10T00:00:00"/>
    <d v="1899-12-30T08:15:00"/>
    <s v="Non Telecom"/>
    <d v="1899-12-30T21:00:00"/>
    <s v="+5:15 AM"/>
    <n v="29700"/>
    <x v="0"/>
  </r>
  <r>
    <x v="0"/>
    <s v="Egypt"/>
    <x v="24"/>
    <x v="110"/>
    <x v="110"/>
    <m/>
    <m/>
    <s v="Break 15 Night"/>
    <d v="1899-12-30T22:45:00"/>
    <d v="1899-12-30T23:00:00"/>
    <n v="0"/>
    <x v="1"/>
  </r>
  <r>
    <x v="0"/>
    <s v="Egypt"/>
    <x v="24"/>
    <x v="110"/>
    <x v="110"/>
    <m/>
    <m/>
    <s v="Break 30 Night"/>
    <s v="+2:30 AM"/>
    <s v="+3:00 AM"/>
    <n v="0"/>
    <x v="1"/>
  </r>
  <r>
    <x v="0"/>
    <s v="Egypt"/>
    <x v="24"/>
    <x v="110"/>
    <x v="110"/>
    <d v="2025-06-11T00:00:00"/>
    <m/>
    <s v="Day Off"/>
    <m/>
    <m/>
    <n v="0"/>
    <x v="1"/>
  </r>
  <r>
    <x v="0"/>
    <s v="Egypt"/>
    <x v="24"/>
    <x v="110"/>
    <x v="110"/>
    <d v="2025-06-12T00:00:00"/>
    <m/>
    <s v="Day Off"/>
    <m/>
    <m/>
    <n v="0"/>
    <x v="1"/>
  </r>
  <r>
    <x v="0"/>
    <s v="Egypt"/>
    <x v="24"/>
    <x v="110"/>
    <x v="110"/>
    <d v="2025-06-13T00:00:00"/>
    <d v="1899-12-30T08:15:00"/>
    <s v="Non Telecom"/>
    <d v="1899-12-30T08:00:00"/>
    <d v="1899-12-30T16:15:00"/>
    <n v="29700"/>
    <x v="0"/>
  </r>
  <r>
    <x v="0"/>
    <s v="Egypt"/>
    <x v="24"/>
    <x v="110"/>
    <x v="110"/>
    <m/>
    <m/>
    <s v="Break 15 Morning"/>
    <d v="1899-12-30T09:45:00"/>
    <d v="1899-12-30T10:00:00"/>
    <n v="0"/>
    <x v="1"/>
  </r>
  <r>
    <x v="0"/>
    <s v="Egypt"/>
    <x v="24"/>
    <x v="110"/>
    <x v="110"/>
    <m/>
    <m/>
    <s v="Friday Pray"/>
    <d v="1899-12-30T12:55:00"/>
    <d v="1899-12-30T13:50:00"/>
    <n v="0"/>
    <x v="1"/>
  </r>
  <r>
    <x v="0"/>
    <s v="Egypt"/>
    <x v="24"/>
    <x v="110"/>
    <x v="110"/>
    <m/>
    <m/>
    <s v="Break 30 Morning"/>
    <d v="1899-12-30T14:45:00"/>
    <d v="1899-12-30T15:15:00"/>
    <n v="0"/>
    <x v="1"/>
  </r>
  <r>
    <x v="0"/>
    <s v="Egypt"/>
    <x v="24"/>
    <x v="110"/>
    <x v="110"/>
    <d v="2025-06-14T00:00:00"/>
    <d v="1899-12-30T08:15:00"/>
    <s v="Annual Exception"/>
    <m/>
    <m/>
    <n v="29700"/>
    <x v="1"/>
  </r>
  <r>
    <x v="0"/>
    <s v="Egypt"/>
    <x v="24"/>
    <x v="110"/>
    <x v="110"/>
    <d v="2025-06-15T00:00:00"/>
    <d v="1899-12-30T08:15:00"/>
    <s v="Non Telecom"/>
    <d v="1899-12-30T20:00:00"/>
    <s v="+4:15 AM"/>
    <n v="29700"/>
    <x v="0"/>
  </r>
  <r>
    <x v="0"/>
    <s v="Egypt"/>
    <x v="24"/>
    <x v="110"/>
    <x v="110"/>
    <m/>
    <m/>
    <s v="Break 15 Night"/>
    <d v="1899-12-30T22:45:00"/>
    <d v="1899-12-30T23:00:00"/>
    <n v="0"/>
    <x v="1"/>
  </r>
  <r>
    <x v="0"/>
    <s v="Egypt"/>
    <x v="24"/>
    <x v="110"/>
    <x v="110"/>
    <m/>
    <m/>
    <s v="Break 30 Night"/>
    <s v="+1:15 AM"/>
    <s v="+1:45 AM"/>
    <n v="0"/>
    <x v="1"/>
  </r>
  <r>
    <x v="0"/>
    <s v="Egypt"/>
    <x v="24"/>
    <x v="110"/>
    <x v="110"/>
    <d v="2025-06-16T00:00:00"/>
    <d v="1899-12-30T08:15:00"/>
    <s v="Non Telecom"/>
    <d v="1899-12-30T20:00:00"/>
    <s v="+4:15 AM"/>
    <n v="29700"/>
    <x v="0"/>
  </r>
  <r>
    <x v="0"/>
    <s v="Egypt"/>
    <x v="24"/>
    <x v="110"/>
    <x v="110"/>
    <m/>
    <m/>
    <s v="Break 15 Night"/>
    <d v="1899-12-30T22:45:00"/>
    <d v="1899-12-30T23:00:00"/>
    <n v="0"/>
    <x v="1"/>
  </r>
  <r>
    <x v="0"/>
    <s v="Egypt"/>
    <x v="24"/>
    <x v="110"/>
    <x v="110"/>
    <m/>
    <m/>
    <s v="Break 30 Night"/>
    <s v="+1:30 AM"/>
    <s v="+2:00 AM"/>
    <n v="0"/>
    <x v="1"/>
  </r>
  <r>
    <x v="0"/>
    <s v="Egypt"/>
    <x v="24"/>
    <x v="110"/>
    <x v="110"/>
    <d v="2025-06-17T00:00:00"/>
    <d v="1899-12-30T08:15:00"/>
    <s v="Uncertified Sick Leave"/>
    <m/>
    <m/>
    <n v="29700"/>
    <x v="1"/>
  </r>
  <r>
    <x v="0"/>
    <s v="Egypt"/>
    <x v="24"/>
    <x v="110"/>
    <x v="110"/>
    <d v="2025-06-18T00:00:00"/>
    <m/>
    <s v="Day Off"/>
    <m/>
    <m/>
    <n v="0"/>
    <x v="1"/>
  </r>
  <r>
    <x v="0"/>
    <s v="Egypt"/>
    <x v="24"/>
    <x v="110"/>
    <x v="110"/>
    <d v="2025-06-19T00:00:00"/>
    <m/>
    <s v="Day Off"/>
    <m/>
    <m/>
    <n v="0"/>
    <x v="1"/>
  </r>
  <r>
    <x v="0"/>
    <s v="Egypt"/>
    <x v="24"/>
    <x v="110"/>
    <x v="110"/>
    <d v="2025-06-20T00:00:00"/>
    <d v="1899-12-30T08:15:00"/>
    <s v="Non Telecom"/>
    <d v="1899-12-30T19:00:00"/>
    <s v="+3:15 AM"/>
    <n v="29700"/>
    <x v="0"/>
  </r>
  <r>
    <x v="0"/>
    <s v="Egypt"/>
    <x v="24"/>
    <x v="110"/>
    <x v="110"/>
    <m/>
    <m/>
    <s v="Break 15 Night"/>
    <d v="1899-12-30T21:30:00"/>
    <d v="1899-12-30T21:45:00"/>
    <n v="0"/>
    <x v="1"/>
  </r>
  <r>
    <x v="0"/>
    <s v="Egypt"/>
    <x v="24"/>
    <x v="110"/>
    <x v="110"/>
    <m/>
    <m/>
    <s v="Break 30 Night"/>
    <s v="+12:45 AM"/>
    <s v="+1:15 AM"/>
    <n v="0"/>
    <x v="1"/>
  </r>
  <r>
    <x v="0"/>
    <s v="Egypt"/>
    <x v="24"/>
    <x v="110"/>
    <x v="110"/>
    <d v="2025-06-21T00:00:00"/>
    <d v="1899-12-30T08:15:00"/>
    <s v="Annual Exception"/>
    <m/>
    <m/>
    <n v="29700"/>
    <x v="1"/>
  </r>
  <r>
    <x v="0"/>
    <s v="Egypt"/>
    <x v="24"/>
    <x v="110"/>
    <x v="110"/>
    <d v="2025-06-22T00:00:00"/>
    <d v="1899-12-30T09:15:00"/>
    <s v="Non Telecom"/>
    <d v="1899-12-30T16:15:00"/>
    <s v="+1:30 AM"/>
    <n v="33300"/>
    <x v="0"/>
  </r>
  <r>
    <x v="0"/>
    <s v="Egypt"/>
    <x v="24"/>
    <x v="110"/>
    <x v="110"/>
    <m/>
    <m/>
    <s v="Shift Move"/>
    <d v="1899-12-30T16:15:00"/>
    <d v="1899-12-30T17:15:00"/>
    <n v="0"/>
    <x v="1"/>
  </r>
  <r>
    <x v="0"/>
    <s v="Egypt"/>
    <x v="24"/>
    <x v="110"/>
    <x v="110"/>
    <m/>
    <m/>
    <s v="Break 15 Night"/>
    <d v="1899-12-30T19:30:00"/>
    <d v="1899-12-30T20:00:00"/>
    <n v="0"/>
    <x v="1"/>
  </r>
  <r>
    <x v="0"/>
    <s v="Egypt"/>
    <x v="24"/>
    <x v="110"/>
    <x v="110"/>
    <m/>
    <m/>
    <s v="Break 30 Night"/>
    <d v="1899-12-30T22:30:00"/>
    <d v="1899-12-30T23:00:00"/>
    <n v="0"/>
    <x v="1"/>
  </r>
  <r>
    <x v="0"/>
    <s v="Egypt"/>
    <x v="24"/>
    <x v="110"/>
    <x v="110"/>
    <d v="2025-06-23T00:00:00"/>
    <d v="1899-12-30T08:15:00"/>
    <s v="Annual Exception"/>
    <m/>
    <m/>
    <n v="29700"/>
    <x v="1"/>
  </r>
  <r>
    <x v="0"/>
    <s v="Egypt"/>
    <x v="24"/>
    <x v="110"/>
    <x v="110"/>
    <d v="2025-06-24T00:00:00"/>
    <d v="1899-12-30T08:15:00"/>
    <s v="Non Telecom"/>
    <d v="1899-12-30T14:00:00"/>
    <d v="1899-12-30T22:15:00"/>
    <n v="29700"/>
    <x v="0"/>
  </r>
  <r>
    <x v="0"/>
    <s v="Egypt"/>
    <x v="24"/>
    <x v="110"/>
    <x v="110"/>
    <m/>
    <m/>
    <s v="Break 15 Morning"/>
    <d v="1899-12-30T17:30:00"/>
    <d v="1899-12-30T17:45:00"/>
    <n v="0"/>
    <x v="1"/>
  </r>
  <r>
    <x v="0"/>
    <s v="Egypt"/>
    <x v="24"/>
    <x v="110"/>
    <x v="110"/>
    <m/>
    <m/>
    <s v="Break 30 Morning"/>
    <d v="1899-12-30T20:15:00"/>
    <d v="1899-12-30T20:45:00"/>
    <n v="0"/>
    <x v="1"/>
  </r>
  <r>
    <x v="0"/>
    <s v="Egypt"/>
    <x v="24"/>
    <x v="110"/>
    <x v="110"/>
    <d v="2025-06-25T00:00:00"/>
    <m/>
    <s v="Day Off"/>
    <m/>
    <m/>
    <n v="0"/>
    <x v="1"/>
  </r>
  <r>
    <x v="0"/>
    <s v="Egypt"/>
    <x v="24"/>
    <x v="110"/>
    <x v="110"/>
    <d v="2025-06-26T00:00:00"/>
    <m/>
    <s v="Day Off"/>
    <m/>
    <m/>
    <n v="0"/>
    <x v="1"/>
  </r>
  <r>
    <x v="0"/>
    <s v="Egypt"/>
    <x v="24"/>
    <x v="110"/>
    <x v="110"/>
    <d v="2025-06-27T00:00:00"/>
    <d v="1899-12-30T08:15:00"/>
    <s v="Non Telecom"/>
    <d v="1899-12-30T15:00:00"/>
    <d v="1899-12-30T23:15:00"/>
    <n v="29700"/>
    <x v="0"/>
  </r>
  <r>
    <x v="0"/>
    <s v="Egypt"/>
    <x v="24"/>
    <x v="110"/>
    <x v="110"/>
    <m/>
    <m/>
    <s v="Break 15 Morning"/>
    <d v="1899-12-30T17:15:00"/>
    <d v="1899-12-30T17:30:00"/>
    <n v="0"/>
    <x v="1"/>
  </r>
  <r>
    <x v="0"/>
    <s v="Egypt"/>
    <x v="24"/>
    <x v="110"/>
    <x v="110"/>
    <m/>
    <m/>
    <s v="Break 30 Morning"/>
    <d v="1899-12-30T20:45:00"/>
    <d v="1899-12-30T21:15:00"/>
    <n v="0"/>
    <x v="1"/>
  </r>
  <r>
    <x v="0"/>
    <s v="Egypt"/>
    <x v="24"/>
    <x v="110"/>
    <x v="110"/>
    <d v="2025-06-28T00:00:00"/>
    <d v="1899-12-30T08:15:00"/>
    <s v="Non Telecom"/>
    <d v="1899-12-30T18:00:00"/>
    <s v="+2:15 AM"/>
    <n v="29700"/>
    <x v="0"/>
  </r>
  <r>
    <x v="0"/>
    <s v="Egypt"/>
    <x v="24"/>
    <x v="110"/>
    <x v="110"/>
    <m/>
    <m/>
    <s v="Break 15 Night"/>
    <d v="1899-12-30T20:45:00"/>
    <d v="1899-12-30T21:00:00"/>
    <n v="0"/>
    <x v="1"/>
  </r>
  <r>
    <x v="0"/>
    <s v="Egypt"/>
    <x v="24"/>
    <x v="110"/>
    <x v="110"/>
    <m/>
    <m/>
    <s v="Break 30 Night"/>
    <s v="+12:00 AM"/>
    <s v="+12:30 AM"/>
    <n v="0"/>
    <x v="1"/>
  </r>
  <r>
    <x v="0"/>
    <s v="Egypt"/>
    <x v="24"/>
    <x v="110"/>
    <x v="110"/>
    <d v="2025-06-29T00:00:00"/>
    <d v="1899-12-30T08:15:00"/>
    <s v="Non Telecom"/>
    <d v="1899-12-30T21:00:00"/>
    <s v="+5:15 AM"/>
    <n v="29700"/>
    <x v="0"/>
  </r>
  <r>
    <x v="0"/>
    <s v="Egypt"/>
    <x v="24"/>
    <x v="110"/>
    <x v="110"/>
    <m/>
    <m/>
    <s v="Break 15 Night"/>
    <s v="+12:00 AM"/>
    <s v="+12:15 AM"/>
    <n v="0"/>
    <x v="1"/>
  </r>
  <r>
    <x v="0"/>
    <s v="Egypt"/>
    <x v="24"/>
    <x v="110"/>
    <x v="110"/>
    <m/>
    <m/>
    <s v="Break 30 Night"/>
    <s v="+3:30 AM"/>
    <s v="+4:00 AM"/>
    <n v="0"/>
    <x v="1"/>
  </r>
  <r>
    <x v="0"/>
    <s v="Egypt"/>
    <x v="24"/>
    <x v="110"/>
    <x v="110"/>
    <d v="2025-06-30T00:00:00"/>
    <d v="1899-12-30T08:15:00"/>
    <s v="Non Telecom"/>
    <d v="1899-12-30T15:00:00"/>
    <d v="1899-12-30T23:15:00"/>
    <n v="29700"/>
    <x v="0"/>
  </r>
  <r>
    <x v="0"/>
    <s v="Egypt"/>
    <x v="24"/>
    <x v="110"/>
    <x v="110"/>
    <m/>
    <m/>
    <s v="Break 15 Morning"/>
    <d v="1899-12-30T17:45:00"/>
    <d v="1899-12-30T18:00:00"/>
    <n v="0"/>
    <x v="1"/>
  </r>
  <r>
    <x v="0"/>
    <s v="Egypt"/>
    <x v="24"/>
    <x v="110"/>
    <x v="110"/>
    <m/>
    <m/>
    <s v="Break 30 Morning"/>
    <d v="1899-12-30T20:30:00"/>
    <d v="1899-12-30T21:00:00"/>
    <n v="0"/>
    <x v="1"/>
  </r>
  <r>
    <x v="0"/>
    <s v="Egypt"/>
    <x v="25"/>
    <x v="111"/>
    <x v="111"/>
    <d v="2025-06-01T00:00:00"/>
    <d v="1899-12-30T08:15:00"/>
    <s v="Planned Training"/>
    <m/>
    <m/>
    <n v="29700"/>
    <x v="1"/>
  </r>
  <r>
    <x v="0"/>
    <s v="Egypt"/>
    <x v="25"/>
    <x v="111"/>
    <x v="111"/>
    <d v="2025-06-02T00:00:00"/>
    <d v="1899-12-30T08:15:00"/>
    <s v="Non Telecom"/>
    <d v="1899-12-30T13:00:00"/>
    <d v="1899-12-30T21:15:00"/>
    <n v="29700"/>
    <x v="0"/>
  </r>
  <r>
    <x v="0"/>
    <s v="Egypt"/>
    <x v="25"/>
    <x v="111"/>
    <x v="111"/>
    <m/>
    <m/>
    <s v="Break 15 Morning"/>
    <d v="1899-12-30T14:30:00"/>
    <d v="1899-12-30T14:45:00"/>
    <n v="0"/>
    <x v="1"/>
  </r>
  <r>
    <x v="0"/>
    <s v="Egypt"/>
    <x v="25"/>
    <x v="111"/>
    <x v="111"/>
    <m/>
    <m/>
    <s v="Break 30 Morning"/>
    <d v="1899-12-30T17:45:00"/>
    <d v="1899-12-30T18:15:00"/>
    <n v="0"/>
    <x v="1"/>
  </r>
  <r>
    <x v="0"/>
    <s v="Egypt"/>
    <x v="25"/>
    <x v="111"/>
    <x v="111"/>
    <d v="2025-06-03T00:00:00"/>
    <d v="1899-12-30T08:15:00"/>
    <s v="Non Telecom"/>
    <d v="1899-12-30T17:15:00"/>
    <s v="+1:30 AM"/>
    <n v="29700"/>
    <x v="0"/>
  </r>
  <r>
    <x v="0"/>
    <s v="Egypt"/>
    <x v="25"/>
    <x v="111"/>
    <x v="111"/>
    <m/>
    <m/>
    <s v="Break 15 Night"/>
    <d v="1899-12-30T18:15:00"/>
    <d v="1899-12-30T18:30:00"/>
    <n v="0"/>
    <x v="1"/>
  </r>
  <r>
    <x v="0"/>
    <s v="Egypt"/>
    <x v="25"/>
    <x v="111"/>
    <x v="111"/>
    <m/>
    <m/>
    <s v="Break 30 Night"/>
    <d v="1899-12-30T21:15:00"/>
    <d v="1899-12-30T21:45:00"/>
    <n v="0"/>
    <x v="1"/>
  </r>
  <r>
    <x v="0"/>
    <s v="Egypt"/>
    <x v="25"/>
    <x v="111"/>
    <x v="111"/>
    <d v="2025-06-04T00:00:00"/>
    <d v="1899-12-30T08:15:00"/>
    <s v="Non Telecom"/>
    <d v="1899-12-30T13:00:00"/>
    <d v="1899-12-30T21:15:00"/>
    <n v="29700"/>
    <x v="0"/>
  </r>
  <r>
    <x v="0"/>
    <s v="Egypt"/>
    <x v="25"/>
    <x v="111"/>
    <x v="111"/>
    <m/>
    <m/>
    <s v="Break 15 Morning"/>
    <d v="1899-12-30T14:00:00"/>
    <d v="1899-12-30T14:15:00"/>
    <n v="0"/>
    <x v="1"/>
  </r>
  <r>
    <x v="0"/>
    <s v="Egypt"/>
    <x v="25"/>
    <x v="111"/>
    <x v="111"/>
    <m/>
    <m/>
    <s v="Break 30 Morning"/>
    <d v="1899-12-30T16:30:00"/>
    <d v="1899-12-30T17:00:00"/>
    <n v="0"/>
    <x v="1"/>
  </r>
  <r>
    <x v="0"/>
    <s v="Egypt"/>
    <x v="25"/>
    <x v="111"/>
    <x v="111"/>
    <d v="2025-06-05T00:00:00"/>
    <d v="1899-12-30T08:15:00"/>
    <s v="Non Telecom"/>
    <d v="1899-12-30T13:00:00"/>
    <d v="1899-12-30T21:15:00"/>
    <n v="29700"/>
    <x v="0"/>
  </r>
  <r>
    <x v="0"/>
    <s v="Egypt"/>
    <x v="25"/>
    <x v="111"/>
    <x v="111"/>
    <m/>
    <m/>
    <s v="Break 15 Morning"/>
    <d v="1899-12-30T14:45:00"/>
    <d v="1899-12-30T15:00:00"/>
    <n v="0"/>
    <x v="1"/>
  </r>
  <r>
    <x v="0"/>
    <s v="Egypt"/>
    <x v="25"/>
    <x v="111"/>
    <x v="111"/>
    <m/>
    <m/>
    <s v="Break 30 Morning"/>
    <d v="1899-12-30T18:15:00"/>
    <d v="1899-12-30T18:45:00"/>
    <n v="0"/>
    <x v="1"/>
  </r>
  <r>
    <x v="0"/>
    <s v="Egypt"/>
    <x v="25"/>
    <x v="111"/>
    <x v="111"/>
    <d v="2025-06-06T00:00:00"/>
    <m/>
    <s v="Day Off"/>
    <m/>
    <m/>
    <n v="0"/>
    <x v="1"/>
  </r>
  <r>
    <x v="0"/>
    <s v="Egypt"/>
    <x v="25"/>
    <x v="111"/>
    <x v="111"/>
    <d v="2025-06-07T00:00:00"/>
    <m/>
    <s v="Day Off"/>
    <m/>
    <m/>
    <n v="0"/>
    <x v="1"/>
  </r>
  <r>
    <x v="0"/>
    <s v="Egypt"/>
    <x v="25"/>
    <x v="111"/>
    <x v="111"/>
    <d v="2025-06-08T00:00:00"/>
    <d v="1899-12-30T08:15:00"/>
    <s v="Public holiday"/>
    <m/>
    <m/>
    <n v="29700"/>
    <x v="1"/>
  </r>
  <r>
    <x v="0"/>
    <s v="Egypt"/>
    <x v="25"/>
    <x v="111"/>
    <x v="111"/>
    <d v="2025-06-09T00:00:00"/>
    <d v="1899-12-30T08:15:00"/>
    <s v="Non Telecom"/>
    <d v="1899-12-30T16:15:00"/>
    <s v="+12:30 AM"/>
    <n v="29700"/>
    <x v="0"/>
  </r>
  <r>
    <x v="0"/>
    <s v="Egypt"/>
    <x v="25"/>
    <x v="111"/>
    <x v="111"/>
    <m/>
    <m/>
    <s v="Break 15 Night"/>
    <d v="1899-12-30T17:15:00"/>
    <d v="1899-12-30T17:30:00"/>
    <n v="0"/>
    <x v="1"/>
  </r>
  <r>
    <x v="0"/>
    <s v="Egypt"/>
    <x v="25"/>
    <x v="111"/>
    <x v="111"/>
    <m/>
    <m/>
    <s v="Break 30 Night"/>
    <d v="1899-12-30T20:30:00"/>
    <d v="1899-12-30T21:00:00"/>
    <n v="0"/>
    <x v="1"/>
  </r>
  <r>
    <x v="0"/>
    <s v="Egypt"/>
    <x v="25"/>
    <x v="111"/>
    <x v="111"/>
    <d v="2025-06-10T00:00:00"/>
    <d v="1899-12-30T08:15:00"/>
    <s v="Non Telecom"/>
    <d v="1899-12-30T16:15:00"/>
    <s v="+12:30 AM"/>
    <n v="29700"/>
    <x v="0"/>
  </r>
  <r>
    <x v="0"/>
    <s v="Egypt"/>
    <x v="25"/>
    <x v="111"/>
    <x v="111"/>
    <m/>
    <m/>
    <s v="Break 15 Night"/>
    <d v="1899-12-30T17:15:00"/>
    <d v="1899-12-30T17:30:00"/>
    <n v="0"/>
    <x v="1"/>
  </r>
  <r>
    <x v="0"/>
    <s v="Egypt"/>
    <x v="25"/>
    <x v="111"/>
    <x v="111"/>
    <m/>
    <m/>
    <s v="Break 30 Night"/>
    <d v="1899-12-30T20:30:00"/>
    <d v="1899-12-30T21:00:00"/>
    <n v="0"/>
    <x v="1"/>
  </r>
  <r>
    <x v="0"/>
    <s v="Egypt"/>
    <x v="25"/>
    <x v="111"/>
    <x v="111"/>
    <d v="2025-06-11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45:00"/>
    <d v="1899-12-30T22:00:00"/>
    <n v="0"/>
    <x v="1"/>
  </r>
  <r>
    <x v="0"/>
    <s v="Egypt"/>
    <x v="25"/>
    <x v="111"/>
    <x v="111"/>
    <m/>
    <m/>
    <s v="Break 30 Night"/>
    <s v="+12:30 AM"/>
    <s v="+1:00 AM"/>
    <n v="0"/>
    <x v="1"/>
  </r>
  <r>
    <x v="0"/>
    <s v="Egypt"/>
    <x v="25"/>
    <x v="111"/>
    <x v="111"/>
    <d v="2025-06-12T00:00:00"/>
    <d v="1899-12-30T08:15:00"/>
    <s v="Non Telecom"/>
    <d v="1899-12-30T16:15:00"/>
    <s v="+12:30 AM"/>
    <n v="29700"/>
    <x v="0"/>
  </r>
  <r>
    <x v="0"/>
    <s v="Egypt"/>
    <x v="25"/>
    <x v="111"/>
    <x v="111"/>
    <m/>
    <m/>
    <s v="Break 15 Night"/>
    <d v="1899-12-30T17:45:00"/>
    <d v="1899-12-30T18:00:00"/>
    <n v="0"/>
    <x v="1"/>
  </r>
  <r>
    <x v="0"/>
    <s v="Egypt"/>
    <x v="25"/>
    <x v="111"/>
    <x v="111"/>
    <m/>
    <m/>
    <s v="Break 30 Night"/>
    <d v="1899-12-30T20:30:00"/>
    <d v="1899-12-30T21:00:00"/>
    <n v="0"/>
    <x v="1"/>
  </r>
  <r>
    <x v="0"/>
    <s v="Egypt"/>
    <x v="25"/>
    <x v="111"/>
    <x v="111"/>
    <d v="2025-06-13T00:00:00"/>
    <m/>
    <s v="Day Off"/>
    <m/>
    <m/>
    <n v="0"/>
    <x v="1"/>
  </r>
  <r>
    <x v="0"/>
    <s v="Egypt"/>
    <x v="25"/>
    <x v="111"/>
    <x v="111"/>
    <d v="2025-06-14T00:00:00"/>
    <m/>
    <s v="Day Off"/>
    <m/>
    <m/>
    <n v="0"/>
    <x v="1"/>
  </r>
  <r>
    <x v="0"/>
    <s v="Egypt"/>
    <x v="25"/>
    <x v="111"/>
    <x v="111"/>
    <d v="2025-06-15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15:00"/>
    <d v="1899-12-30T21:30:00"/>
    <n v="0"/>
    <x v="1"/>
  </r>
  <r>
    <x v="0"/>
    <s v="Egypt"/>
    <x v="25"/>
    <x v="111"/>
    <x v="111"/>
    <m/>
    <m/>
    <s v="Break 30 Night"/>
    <d v="1899-12-30T23:45:00"/>
    <s v="+12:15 AM"/>
    <n v="0"/>
    <x v="1"/>
  </r>
  <r>
    <x v="0"/>
    <s v="Egypt"/>
    <x v="25"/>
    <x v="111"/>
    <x v="111"/>
    <d v="2025-06-16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15:00"/>
    <d v="1899-12-30T21:30:00"/>
    <n v="0"/>
    <x v="1"/>
  </r>
  <r>
    <x v="0"/>
    <s v="Egypt"/>
    <x v="25"/>
    <x v="111"/>
    <x v="111"/>
    <m/>
    <m/>
    <s v="Break 30 Night"/>
    <s v="+12:00 AM"/>
    <s v="+12:30 AM"/>
    <n v="0"/>
    <x v="1"/>
  </r>
  <r>
    <x v="0"/>
    <s v="Egypt"/>
    <x v="25"/>
    <x v="111"/>
    <x v="111"/>
    <d v="2025-06-17T00:00:00"/>
    <d v="1899-12-30T08:15:00"/>
    <s v="Annual Exception"/>
    <m/>
    <m/>
    <n v="29700"/>
    <x v="1"/>
  </r>
  <r>
    <x v="0"/>
    <s v="Egypt"/>
    <x v="25"/>
    <x v="111"/>
    <x v="111"/>
    <d v="2025-06-18T00:00:00"/>
    <d v="1899-12-30T08:15:00"/>
    <s v="Annual Exception"/>
    <m/>
    <m/>
    <n v="29700"/>
    <x v="1"/>
  </r>
  <r>
    <x v="0"/>
    <s v="Egypt"/>
    <x v="25"/>
    <x v="111"/>
    <x v="111"/>
    <d v="2025-06-19T00:00:00"/>
    <m/>
    <s v="Day Off"/>
    <m/>
    <m/>
    <n v="0"/>
    <x v="1"/>
  </r>
  <r>
    <x v="0"/>
    <s v="Egypt"/>
    <x v="25"/>
    <x v="111"/>
    <x v="111"/>
    <d v="2025-06-20T00:00:00"/>
    <m/>
    <s v="Day Off"/>
    <m/>
    <m/>
    <n v="0"/>
    <x v="1"/>
  </r>
  <r>
    <x v="0"/>
    <s v="Egypt"/>
    <x v="25"/>
    <x v="111"/>
    <x v="111"/>
    <d v="2025-06-21T00:00:00"/>
    <d v="1899-12-30T08:15:00"/>
    <s v="Annual Exception"/>
    <m/>
    <m/>
    <n v="29700"/>
    <x v="1"/>
  </r>
  <r>
    <x v="0"/>
    <s v="Egypt"/>
    <x v="25"/>
    <x v="111"/>
    <x v="111"/>
    <d v="2025-06-22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00:00"/>
    <d v="1899-12-30T21:15:00"/>
    <n v="0"/>
    <x v="1"/>
  </r>
  <r>
    <x v="0"/>
    <s v="Egypt"/>
    <x v="25"/>
    <x v="111"/>
    <x v="111"/>
    <m/>
    <m/>
    <s v="Break 30 Night"/>
    <d v="1899-12-30T23:45:00"/>
    <s v="+12:15 AM"/>
    <n v="0"/>
    <x v="1"/>
  </r>
  <r>
    <x v="0"/>
    <s v="Egypt"/>
    <x v="25"/>
    <x v="111"/>
    <x v="111"/>
    <d v="2025-06-23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00:00"/>
    <d v="1899-12-30T21:15:00"/>
    <n v="0"/>
    <x v="1"/>
  </r>
  <r>
    <x v="0"/>
    <s v="Egypt"/>
    <x v="25"/>
    <x v="111"/>
    <x v="111"/>
    <m/>
    <m/>
    <s v="Break 30 Night"/>
    <d v="1899-12-30T23:45:00"/>
    <s v="+12:15 AM"/>
    <n v="0"/>
    <x v="1"/>
  </r>
  <r>
    <x v="0"/>
    <s v="Egypt"/>
    <x v="25"/>
    <x v="111"/>
    <x v="111"/>
    <d v="2025-06-24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1:00:00"/>
    <d v="1899-12-30T21:15:00"/>
    <n v="0"/>
    <x v="1"/>
  </r>
  <r>
    <x v="0"/>
    <s v="Egypt"/>
    <x v="25"/>
    <x v="111"/>
    <x v="111"/>
    <m/>
    <m/>
    <s v="Break 30 Night"/>
    <d v="1899-12-30T23:30:00"/>
    <s v="+12:00 AM"/>
    <n v="0"/>
    <x v="1"/>
  </r>
  <r>
    <x v="0"/>
    <s v="Egypt"/>
    <x v="25"/>
    <x v="111"/>
    <x v="111"/>
    <d v="2025-06-25T00:00:00"/>
    <m/>
    <s v="Day Off"/>
    <m/>
    <m/>
    <n v="0"/>
    <x v="1"/>
  </r>
  <r>
    <x v="0"/>
    <s v="Egypt"/>
    <x v="25"/>
    <x v="111"/>
    <x v="111"/>
    <d v="2025-06-26T00:00:00"/>
    <m/>
    <s v="Day Off"/>
    <m/>
    <m/>
    <n v="0"/>
    <x v="1"/>
  </r>
  <r>
    <x v="0"/>
    <s v="Egypt"/>
    <x v="25"/>
    <x v="111"/>
    <x v="111"/>
    <d v="2025-06-27T00:00:00"/>
    <d v="1899-12-30T08:15:00"/>
    <s v="Annual Exception"/>
    <m/>
    <m/>
    <n v="29700"/>
    <x v="1"/>
  </r>
  <r>
    <x v="0"/>
    <s v="Egypt"/>
    <x v="25"/>
    <x v="111"/>
    <x v="111"/>
    <d v="2025-06-28T00:00:00"/>
    <d v="1899-12-30T08:15:00"/>
    <s v="Non Telecom"/>
    <d v="1899-12-30T16:15:00"/>
    <s v="+12:30 AM"/>
    <n v="29700"/>
    <x v="0"/>
  </r>
  <r>
    <x v="0"/>
    <s v="Egypt"/>
    <x v="25"/>
    <x v="111"/>
    <x v="111"/>
    <m/>
    <m/>
    <s v="Break 15 Night"/>
    <d v="1899-12-30T17:15:00"/>
    <d v="1899-12-30T17:30:00"/>
    <n v="0"/>
    <x v="1"/>
  </r>
  <r>
    <x v="0"/>
    <s v="Egypt"/>
    <x v="25"/>
    <x v="111"/>
    <x v="111"/>
    <m/>
    <m/>
    <s v="Break 30 Night"/>
    <d v="1899-12-30T20:30:00"/>
    <d v="1899-12-30T21:00:00"/>
    <n v="0"/>
    <x v="1"/>
  </r>
  <r>
    <x v="0"/>
    <s v="Egypt"/>
    <x v="25"/>
    <x v="111"/>
    <x v="111"/>
    <d v="2025-06-29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2:30:00"/>
    <d v="1899-12-30T22:45:00"/>
    <n v="0"/>
    <x v="1"/>
  </r>
  <r>
    <x v="0"/>
    <s v="Egypt"/>
    <x v="25"/>
    <x v="111"/>
    <x v="111"/>
    <m/>
    <m/>
    <s v="Break 30 Night"/>
    <s v="+1:30 AM"/>
    <s v="+2:00 AM"/>
    <n v="0"/>
    <x v="1"/>
  </r>
  <r>
    <x v="0"/>
    <s v="Egypt"/>
    <x v="25"/>
    <x v="111"/>
    <x v="111"/>
    <d v="2025-06-30T00:00:00"/>
    <d v="1899-12-30T08:15:00"/>
    <s v="Non Telecom"/>
    <d v="1899-12-30T19:15:00"/>
    <s v="+3:30 AM"/>
    <n v="29700"/>
    <x v="0"/>
  </r>
  <r>
    <x v="0"/>
    <s v="Egypt"/>
    <x v="25"/>
    <x v="111"/>
    <x v="111"/>
    <m/>
    <m/>
    <s v="Break 15 Night"/>
    <d v="1899-12-30T22:30:00"/>
    <d v="1899-12-30T22:45:00"/>
    <n v="0"/>
    <x v="1"/>
  </r>
  <r>
    <x v="0"/>
    <s v="Egypt"/>
    <x v="25"/>
    <x v="111"/>
    <x v="111"/>
    <m/>
    <m/>
    <s v="Break 30 Night"/>
    <s v="+1:30 AM"/>
    <s v="+2:00 AM"/>
    <n v="0"/>
    <x v="1"/>
  </r>
  <r>
    <x v="0"/>
    <s v="Egypt"/>
    <x v="25"/>
    <x v="112"/>
    <x v="112"/>
    <d v="2025-06-01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4:45:00"/>
    <d v="1899-12-30T15:00:00"/>
    <n v="0"/>
    <x v="1"/>
  </r>
  <r>
    <x v="0"/>
    <s v="Egypt"/>
    <x v="25"/>
    <x v="112"/>
    <x v="112"/>
    <m/>
    <m/>
    <s v="Break 30 Morning"/>
    <d v="1899-12-30T18:30:00"/>
    <d v="1899-12-30T19:00:00"/>
    <n v="0"/>
    <x v="1"/>
  </r>
  <r>
    <x v="0"/>
    <s v="Egypt"/>
    <x v="25"/>
    <x v="112"/>
    <x v="112"/>
    <d v="2025-06-02T00:00:00"/>
    <d v="1899-12-30T08:15:00"/>
    <s v="Planned Training"/>
    <m/>
    <m/>
    <n v="29700"/>
    <x v="1"/>
  </r>
  <r>
    <x v="0"/>
    <s v="Egypt"/>
    <x v="25"/>
    <x v="112"/>
    <x v="112"/>
    <d v="2025-06-03T00:00:00"/>
    <d v="1899-12-30T08:15:00"/>
    <s v="Non Telecom"/>
    <d v="1899-12-30T19:15:00"/>
    <s v="+3:30 AM"/>
    <n v="29700"/>
    <x v="0"/>
  </r>
  <r>
    <x v="0"/>
    <s v="Egypt"/>
    <x v="25"/>
    <x v="112"/>
    <x v="112"/>
    <m/>
    <m/>
    <s v="Break 15 Night"/>
    <d v="1899-12-30T20:15:00"/>
    <d v="1899-12-30T20:30:00"/>
    <n v="0"/>
    <x v="1"/>
  </r>
  <r>
    <x v="0"/>
    <s v="Egypt"/>
    <x v="25"/>
    <x v="112"/>
    <x v="112"/>
    <m/>
    <m/>
    <s v="Break 30 Night"/>
    <d v="1899-12-30T23:15:00"/>
    <d v="1899-12-30T23:45:00"/>
    <n v="0"/>
    <x v="1"/>
  </r>
  <r>
    <x v="0"/>
    <s v="Egypt"/>
    <x v="25"/>
    <x v="112"/>
    <x v="112"/>
    <d v="2025-06-04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15:00"/>
    <d v="1899-12-30T17:30:00"/>
    <n v="0"/>
    <x v="1"/>
  </r>
  <r>
    <x v="0"/>
    <s v="Egypt"/>
    <x v="25"/>
    <x v="112"/>
    <x v="112"/>
    <m/>
    <m/>
    <s v="Break 30 Night"/>
    <d v="1899-12-30T20:15:00"/>
    <d v="1899-12-30T20:45:00"/>
    <n v="0"/>
    <x v="1"/>
  </r>
  <r>
    <x v="0"/>
    <s v="Egypt"/>
    <x v="25"/>
    <x v="112"/>
    <x v="112"/>
    <d v="2025-06-05T00:00:00"/>
    <d v="1899-12-30T08:15:00"/>
    <s v="Non Telecom"/>
    <d v="1899-12-30T11:00:00"/>
    <d v="1899-12-30T19:15:00"/>
    <n v="29700"/>
    <x v="0"/>
  </r>
  <r>
    <x v="0"/>
    <s v="Egypt"/>
    <x v="25"/>
    <x v="112"/>
    <x v="112"/>
    <m/>
    <m/>
    <s v="Break 15 Morning"/>
    <d v="1899-12-30T13:00:00"/>
    <d v="1899-12-30T13:15:00"/>
    <n v="0"/>
    <x v="1"/>
  </r>
  <r>
    <x v="0"/>
    <s v="Egypt"/>
    <x v="25"/>
    <x v="112"/>
    <x v="112"/>
    <m/>
    <m/>
    <s v="Break 30 Morning"/>
    <d v="1899-12-30T16:15:00"/>
    <d v="1899-12-30T16:45:00"/>
    <n v="0"/>
    <x v="1"/>
  </r>
  <r>
    <x v="0"/>
    <s v="Egypt"/>
    <x v="25"/>
    <x v="112"/>
    <x v="112"/>
    <d v="2025-06-06T00:00:00"/>
    <m/>
    <s v="Day Off"/>
    <m/>
    <m/>
    <n v="0"/>
    <x v="1"/>
  </r>
  <r>
    <x v="0"/>
    <s v="Egypt"/>
    <x v="25"/>
    <x v="112"/>
    <x v="112"/>
    <d v="2025-06-07T00:00:00"/>
    <m/>
    <s v="Day Off"/>
    <m/>
    <m/>
    <n v="0"/>
    <x v="1"/>
  </r>
  <r>
    <x v="0"/>
    <s v="Egypt"/>
    <x v="25"/>
    <x v="112"/>
    <x v="112"/>
    <d v="2025-06-08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30:00"/>
    <d v="1899-12-30T17:45:00"/>
    <n v="0"/>
    <x v="1"/>
  </r>
  <r>
    <x v="0"/>
    <s v="Egypt"/>
    <x v="25"/>
    <x v="112"/>
    <x v="112"/>
    <m/>
    <m/>
    <s v="Break 30 Night"/>
    <d v="1899-12-30T20:45:00"/>
    <d v="1899-12-30T21:15:00"/>
    <n v="0"/>
    <x v="1"/>
  </r>
  <r>
    <x v="0"/>
    <s v="Egypt"/>
    <x v="25"/>
    <x v="112"/>
    <x v="112"/>
    <d v="2025-06-09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4:30:00"/>
    <d v="1899-12-30T14:45:00"/>
    <n v="0"/>
    <x v="1"/>
  </r>
  <r>
    <x v="0"/>
    <s v="Egypt"/>
    <x v="25"/>
    <x v="112"/>
    <x v="112"/>
    <m/>
    <m/>
    <s v="Break 30 Morning"/>
    <d v="1899-12-30T18:00:00"/>
    <d v="1899-12-30T18:30:00"/>
    <n v="0"/>
    <x v="1"/>
  </r>
  <r>
    <x v="0"/>
    <s v="Egypt"/>
    <x v="25"/>
    <x v="112"/>
    <x v="112"/>
    <d v="2025-06-10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4:45:00"/>
    <d v="1899-12-30T15:00:00"/>
    <n v="0"/>
    <x v="1"/>
  </r>
  <r>
    <x v="0"/>
    <s v="Egypt"/>
    <x v="25"/>
    <x v="112"/>
    <x v="112"/>
    <m/>
    <m/>
    <s v="Break 30 Morning"/>
    <d v="1899-12-30T18:30:00"/>
    <d v="1899-12-30T19:00:00"/>
    <n v="0"/>
    <x v="1"/>
  </r>
  <r>
    <x v="0"/>
    <s v="Egypt"/>
    <x v="25"/>
    <x v="112"/>
    <x v="112"/>
    <d v="2025-06-11T00:00:00"/>
    <d v="1899-12-30T10:15:00"/>
    <s v="Non Telecom"/>
    <d v="1899-12-30T11:00:00"/>
    <d v="1899-12-30T21:15:00"/>
    <n v="36900"/>
    <x v="0"/>
  </r>
  <r>
    <x v="0"/>
    <s v="Egypt"/>
    <x v="25"/>
    <x v="112"/>
    <x v="112"/>
    <m/>
    <m/>
    <s v="Break 15 Morning"/>
    <d v="1899-12-30T13:15:00"/>
    <d v="1899-12-30T13:30:00"/>
    <n v="0"/>
    <x v="1"/>
  </r>
  <r>
    <x v="0"/>
    <s v="Egypt"/>
    <x v="25"/>
    <x v="112"/>
    <x v="112"/>
    <m/>
    <m/>
    <s v="Break 30 Morning"/>
    <d v="1899-12-30T16:45:00"/>
    <d v="1899-12-30T17:15:00"/>
    <n v="0"/>
    <x v="1"/>
  </r>
  <r>
    <x v="0"/>
    <s v="Egypt"/>
    <x v="25"/>
    <x v="112"/>
    <x v="112"/>
    <m/>
    <m/>
    <s v="Shift Move"/>
    <d v="1899-12-30T19:15:00"/>
    <d v="1899-12-30T21:15:00"/>
    <n v="0"/>
    <x v="1"/>
  </r>
  <r>
    <x v="0"/>
    <s v="Egypt"/>
    <x v="25"/>
    <x v="112"/>
    <x v="112"/>
    <d v="2025-06-12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4:45:00"/>
    <d v="1899-12-30T15:00:00"/>
    <n v="0"/>
    <x v="1"/>
  </r>
  <r>
    <x v="0"/>
    <s v="Egypt"/>
    <x v="25"/>
    <x v="112"/>
    <x v="112"/>
    <m/>
    <m/>
    <s v="Break 30 Morning"/>
    <d v="1899-12-30T18:15:00"/>
    <d v="1899-12-30T18:45:00"/>
    <n v="0"/>
    <x v="1"/>
  </r>
  <r>
    <x v="0"/>
    <s v="Egypt"/>
    <x v="25"/>
    <x v="112"/>
    <x v="112"/>
    <d v="2025-06-13T00:00:00"/>
    <m/>
    <s v="Day Off"/>
    <m/>
    <m/>
    <n v="0"/>
    <x v="1"/>
  </r>
  <r>
    <x v="0"/>
    <s v="Egypt"/>
    <x v="25"/>
    <x v="112"/>
    <x v="112"/>
    <d v="2025-06-14T00:00:00"/>
    <m/>
    <s v="Day Off"/>
    <m/>
    <m/>
    <n v="0"/>
    <x v="1"/>
  </r>
  <r>
    <x v="0"/>
    <s v="Egypt"/>
    <x v="25"/>
    <x v="112"/>
    <x v="112"/>
    <d v="2025-06-15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5:00:00"/>
    <d v="1899-12-30T15:15:00"/>
    <n v="0"/>
    <x v="1"/>
  </r>
  <r>
    <x v="0"/>
    <s v="Egypt"/>
    <x v="25"/>
    <x v="112"/>
    <x v="112"/>
    <m/>
    <m/>
    <s v="Break 30 Morning"/>
    <d v="1899-12-30T18:15:00"/>
    <d v="1899-12-30T18:45:00"/>
    <n v="0"/>
    <x v="1"/>
  </r>
  <r>
    <x v="0"/>
    <s v="Egypt"/>
    <x v="25"/>
    <x v="112"/>
    <x v="112"/>
    <d v="2025-06-16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30:00"/>
    <d v="1899-12-30T17:45:00"/>
    <n v="0"/>
    <x v="1"/>
  </r>
  <r>
    <x v="0"/>
    <s v="Egypt"/>
    <x v="25"/>
    <x v="112"/>
    <x v="112"/>
    <m/>
    <m/>
    <s v="Break 30 Night"/>
    <d v="1899-12-30T20:30:00"/>
    <d v="1899-12-30T21:00:00"/>
    <n v="0"/>
    <x v="1"/>
  </r>
  <r>
    <x v="0"/>
    <s v="Egypt"/>
    <x v="25"/>
    <x v="112"/>
    <x v="112"/>
    <d v="2025-06-17T00:00:00"/>
    <d v="1899-12-30T08:15:00"/>
    <s v="Sick"/>
    <m/>
    <m/>
    <n v="29700"/>
    <x v="1"/>
  </r>
  <r>
    <x v="0"/>
    <s v="Egypt"/>
    <x v="25"/>
    <x v="112"/>
    <x v="112"/>
    <d v="2025-06-18T00:00:00"/>
    <d v="1899-12-30T08:15:00"/>
    <s v="Annual Exception"/>
    <m/>
    <m/>
    <n v="29700"/>
    <x v="1"/>
  </r>
  <r>
    <x v="0"/>
    <s v="Egypt"/>
    <x v="25"/>
    <x v="112"/>
    <x v="112"/>
    <d v="2025-06-19T00:00:00"/>
    <m/>
    <s v="Day Off"/>
    <m/>
    <m/>
    <n v="0"/>
    <x v="1"/>
  </r>
  <r>
    <x v="0"/>
    <s v="Egypt"/>
    <x v="25"/>
    <x v="112"/>
    <x v="112"/>
    <d v="2025-06-20T00:00:00"/>
    <m/>
    <s v="Day Off"/>
    <m/>
    <m/>
    <n v="0"/>
    <x v="1"/>
  </r>
  <r>
    <x v="0"/>
    <s v="Egypt"/>
    <x v="25"/>
    <x v="112"/>
    <x v="112"/>
    <d v="2025-06-21T00:00:00"/>
    <d v="1899-12-30T08:15:00"/>
    <s v="Uncertified Sick Leave"/>
    <m/>
    <m/>
    <n v="29700"/>
    <x v="1"/>
  </r>
  <r>
    <x v="0"/>
    <s v="Egypt"/>
    <x v="25"/>
    <x v="112"/>
    <x v="112"/>
    <d v="2025-06-22T00:00:00"/>
    <d v="1899-12-30T08:15:00"/>
    <s v="Annual Exception"/>
    <m/>
    <m/>
    <n v="29700"/>
    <x v="1"/>
  </r>
  <r>
    <x v="0"/>
    <s v="Egypt"/>
    <x v="25"/>
    <x v="112"/>
    <x v="112"/>
    <d v="2025-06-23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15:00"/>
    <d v="1899-12-30T17:30:00"/>
    <n v="0"/>
    <x v="1"/>
  </r>
  <r>
    <x v="0"/>
    <s v="Egypt"/>
    <x v="25"/>
    <x v="112"/>
    <x v="112"/>
    <m/>
    <m/>
    <s v="Break 30 Night"/>
    <d v="1899-12-30T20:15:00"/>
    <d v="1899-12-30T20:45:00"/>
    <n v="0"/>
    <x v="1"/>
  </r>
  <r>
    <x v="0"/>
    <s v="Egypt"/>
    <x v="25"/>
    <x v="112"/>
    <x v="112"/>
    <d v="2025-06-24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5:15:00"/>
    <d v="1899-12-30T15:30:00"/>
    <n v="0"/>
    <x v="1"/>
  </r>
  <r>
    <x v="0"/>
    <s v="Egypt"/>
    <x v="25"/>
    <x v="112"/>
    <x v="112"/>
    <m/>
    <m/>
    <s v="Break 30 Morning"/>
    <d v="1899-12-30T18:15:00"/>
    <d v="1899-12-30T18:45:00"/>
    <n v="0"/>
    <x v="1"/>
  </r>
  <r>
    <x v="0"/>
    <s v="Egypt"/>
    <x v="25"/>
    <x v="112"/>
    <x v="112"/>
    <d v="2025-06-25T00:00:00"/>
    <m/>
    <s v="Day Off"/>
    <m/>
    <m/>
    <n v="0"/>
    <x v="1"/>
  </r>
  <r>
    <x v="0"/>
    <s v="Egypt"/>
    <x v="25"/>
    <x v="112"/>
    <x v="112"/>
    <d v="2025-06-26T00:00:00"/>
    <m/>
    <s v="Day Off"/>
    <m/>
    <m/>
    <n v="0"/>
    <x v="1"/>
  </r>
  <r>
    <x v="0"/>
    <s v="Egypt"/>
    <x v="25"/>
    <x v="112"/>
    <x v="112"/>
    <d v="2025-06-27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45:00"/>
    <d v="1899-12-30T18:00:00"/>
    <n v="0"/>
    <x v="1"/>
  </r>
  <r>
    <x v="0"/>
    <s v="Egypt"/>
    <x v="25"/>
    <x v="112"/>
    <x v="112"/>
    <m/>
    <m/>
    <s v="Break 30 Night"/>
    <d v="1899-12-30T20:45:00"/>
    <d v="1899-12-30T21:15:00"/>
    <n v="0"/>
    <x v="1"/>
  </r>
  <r>
    <x v="0"/>
    <s v="Egypt"/>
    <x v="25"/>
    <x v="112"/>
    <x v="112"/>
    <d v="2025-06-28T00:00:00"/>
    <d v="1899-12-30T08:15:00"/>
    <s v="Non Telecom"/>
    <d v="1899-12-30T16:15:00"/>
    <s v="+12:30 AM"/>
    <n v="29700"/>
    <x v="0"/>
  </r>
  <r>
    <x v="0"/>
    <s v="Egypt"/>
    <x v="25"/>
    <x v="112"/>
    <x v="112"/>
    <m/>
    <m/>
    <s v="Break 15 Night"/>
    <d v="1899-12-30T17:30:00"/>
    <d v="1899-12-30T17:45:00"/>
    <n v="0"/>
    <x v="1"/>
  </r>
  <r>
    <x v="0"/>
    <s v="Egypt"/>
    <x v="25"/>
    <x v="112"/>
    <x v="112"/>
    <m/>
    <m/>
    <s v="Break 30 Night"/>
    <d v="1899-12-30T20:30:00"/>
    <d v="1899-12-30T21:00:00"/>
    <n v="0"/>
    <x v="1"/>
  </r>
  <r>
    <x v="0"/>
    <s v="Egypt"/>
    <x v="25"/>
    <x v="112"/>
    <x v="112"/>
    <d v="2025-06-29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5:30:00"/>
    <d v="1899-12-30T15:45:00"/>
    <n v="0"/>
    <x v="1"/>
  </r>
  <r>
    <x v="0"/>
    <s v="Egypt"/>
    <x v="25"/>
    <x v="112"/>
    <x v="112"/>
    <m/>
    <m/>
    <s v="Break 30 Morning"/>
    <d v="1899-12-30T18:45:00"/>
    <d v="1899-12-30T19:15:00"/>
    <n v="0"/>
    <x v="1"/>
  </r>
  <r>
    <x v="0"/>
    <s v="Egypt"/>
    <x v="25"/>
    <x v="112"/>
    <x v="112"/>
    <d v="2025-06-30T00:00:00"/>
    <d v="1899-12-30T08:15:00"/>
    <s v="Non Telecom"/>
    <d v="1899-12-30T13:00:00"/>
    <d v="1899-12-30T21:15:00"/>
    <n v="29700"/>
    <x v="0"/>
  </r>
  <r>
    <x v="0"/>
    <s v="Egypt"/>
    <x v="25"/>
    <x v="112"/>
    <x v="112"/>
    <m/>
    <m/>
    <s v="Break 15 Morning"/>
    <d v="1899-12-30T15:15:00"/>
    <d v="1899-12-30T15:30:00"/>
    <n v="0"/>
    <x v="1"/>
  </r>
  <r>
    <x v="0"/>
    <s v="Egypt"/>
    <x v="25"/>
    <x v="112"/>
    <x v="112"/>
    <m/>
    <m/>
    <s v="Break 30 Morning"/>
    <d v="1899-12-30T18:15:00"/>
    <d v="1899-12-30T18:45:00"/>
    <n v="0"/>
    <x v="1"/>
  </r>
  <r>
    <x v="0"/>
    <s v="Egypt"/>
    <x v="25"/>
    <x v="113"/>
    <x v="113"/>
    <d v="2025-06-01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7:30:00"/>
    <d v="1899-12-30T17:45:00"/>
    <n v="0"/>
    <x v="1"/>
  </r>
  <r>
    <x v="0"/>
    <s v="Egypt"/>
    <x v="25"/>
    <x v="113"/>
    <x v="113"/>
    <m/>
    <m/>
    <s v="Break 30 Night"/>
    <d v="1899-12-30T20:45:00"/>
    <d v="1899-12-30T21:15:00"/>
    <n v="0"/>
    <x v="1"/>
  </r>
  <r>
    <x v="0"/>
    <s v="Egypt"/>
    <x v="25"/>
    <x v="113"/>
    <x v="113"/>
    <d v="2025-06-02T00:00:00"/>
    <d v="1899-12-30T08:15:00"/>
    <s v="Non Telecom"/>
    <d v="1899-12-30T13:00:00"/>
    <d v="1899-12-30T21:15:00"/>
    <n v="29700"/>
    <x v="0"/>
  </r>
  <r>
    <x v="0"/>
    <s v="Egypt"/>
    <x v="25"/>
    <x v="113"/>
    <x v="113"/>
    <m/>
    <m/>
    <s v="Break 15 Morning"/>
    <d v="1899-12-30T15:00:00"/>
    <d v="1899-12-30T15:15:00"/>
    <n v="0"/>
    <x v="1"/>
  </r>
  <r>
    <x v="0"/>
    <s v="Egypt"/>
    <x v="25"/>
    <x v="113"/>
    <x v="113"/>
    <m/>
    <m/>
    <s v="Break 30 Morning"/>
    <d v="1899-12-30T18:15:00"/>
    <d v="1899-12-30T18:45:00"/>
    <n v="0"/>
    <x v="1"/>
  </r>
  <r>
    <x v="0"/>
    <s v="Egypt"/>
    <x v="25"/>
    <x v="113"/>
    <x v="113"/>
    <d v="2025-06-03T00:00:00"/>
    <d v="1899-12-30T08:15:00"/>
    <s v="Non Telecom"/>
    <d v="1899-12-30T09:00:00"/>
    <d v="1899-12-30T17:15:00"/>
    <n v="29700"/>
    <x v="0"/>
  </r>
  <r>
    <x v="0"/>
    <s v="Egypt"/>
    <x v="25"/>
    <x v="113"/>
    <x v="113"/>
    <m/>
    <m/>
    <s v="Break 15 Morning"/>
    <d v="1899-12-30T10:00:00"/>
    <d v="1899-12-30T10:15:00"/>
    <n v="0"/>
    <x v="1"/>
  </r>
  <r>
    <x v="0"/>
    <s v="Egypt"/>
    <x v="25"/>
    <x v="113"/>
    <x v="113"/>
    <m/>
    <m/>
    <s v="Break 30 Morning"/>
    <d v="1899-12-30T12:30:00"/>
    <d v="1899-12-30T13:00:00"/>
    <n v="0"/>
    <x v="1"/>
  </r>
  <r>
    <x v="0"/>
    <s v="Egypt"/>
    <x v="25"/>
    <x v="113"/>
    <x v="113"/>
    <d v="2025-06-04T00:00:00"/>
    <d v="1899-12-30T08:15:00"/>
    <s v="Annual Exception"/>
    <m/>
    <m/>
    <n v="29700"/>
    <x v="1"/>
  </r>
  <r>
    <x v="0"/>
    <s v="Egypt"/>
    <x v="25"/>
    <x v="113"/>
    <x v="113"/>
    <d v="2025-06-05T00:00:00"/>
    <d v="1899-12-30T08:15:00"/>
    <s v="Annual Exception"/>
    <m/>
    <m/>
    <n v="29700"/>
    <x v="1"/>
  </r>
  <r>
    <x v="0"/>
    <s v="Egypt"/>
    <x v="25"/>
    <x v="113"/>
    <x v="113"/>
    <d v="2025-06-06T00:00:00"/>
    <m/>
    <s v="Day Off"/>
    <m/>
    <m/>
    <n v="0"/>
    <x v="1"/>
  </r>
  <r>
    <x v="0"/>
    <s v="Egypt"/>
    <x v="25"/>
    <x v="113"/>
    <x v="113"/>
    <d v="2025-06-07T00:00:00"/>
    <m/>
    <s v="Day Off"/>
    <m/>
    <m/>
    <n v="0"/>
    <x v="1"/>
  </r>
  <r>
    <x v="0"/>
    <s v="Egypt"/>
    <x v="25"/>
    <x v="113"/>
    <x v="113"/>
    <d v="2025-06-08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7:30:00"/>
    <d v="1899-12-30T17:45:00"/>
    <n v="0"/>
    <x v="1"/>
  </r>
  <r>
    <x v="0"/>
    <s v="Egypt"/>
    <x v="25"/>
    <x v="113"/>
    <x v="113"/>
    <m/>
    <m/>
    <s v="Break 30 Night"/>
    <d v="1899-12-30T20:45:00"/>
    <d v="1899-12-30T21:15:00"/>
    <n v="0"/>
    <x v="1"/>
  </r>
  <r>
    <x v="0"/>
    <s v="Egypt"/>
    <x v="25"/>
    <x v="113"/>
    <x v="113"/>
    <d v="2025-06-09T00:00:00"/>
    <d v="1899-12-30T08:15:00"/>
    <s v="Public holiday"/>
    <m/>
    <m/>
    <n v="29700"/>
    <x v="1"/>
  </r>
  <r>
    <x v="0"/>
    <s v="Egypt"/>
    <x v="25"/>
    <x v="113"/>
    <x v="113"/>
    <d v="2025-06-10T00:00:00"/>
    <d v="1899-12-30T08:15:00"/>
    <s v="Annual Exception"/>
    <m/>
    <m/>
    <n v="29700"/>
    <x v="1"/>
  </r>
  <r>
    <x v="0"/>
    <s v="Egypt"/>
    <x v="25"/>
    <x v="113"/>
    <x v="113"/>
    <d v="2025-06-11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7:30:00"/>
    <d v="1899-12-30T17:45:00"/>
    <n v="0"/>
    <x v="1"/>
  </r>
  <r>
    <x v="0"/>
    <s v="Egypt"/>
    <x v="25"/>
    <x v="113"/>
    <x v="113"/>
    <m/>
    <m/>
    <s v="Break 30 Night"/>
    <d v="1899-12-30T20:30:00"/>
    <d v="1899-12-30T21:00:00"/>
    <n v="0"/>
    <x v="1"/>
  </r>
  <r>
    <x v="0"/>
    <s v="Egypt"/>
    <x v="25"/>
    <x v="113"/>
    <x v="113"/>
    <d v="2025-06-12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8:00:00"/>
    <d v="1899-12-30T18:15:00"/>
    <n v="0"/>
    <x v="1"/>
  </r>
  <r>
    <x v="0"/>
    <s v="Egypt"/>
    <x v="25"/>
    <x v="113"/>
    <x v="113"/>
    <m/>
    <m/>
    <s v="Break 30 Night"/>
    <d v="1899-12-30T20:30:00"/>
    <d v="1899-12-30T21:00:00"/>
    <n v="0"/>
    <x v="1"/>
  </r>
  <r>
    <x v="0"/>
    <s v="Egypt"/>
    <x v="25"/>
    <x v="113"/>
    <x v="113"/>
    <d v="2025-06-13T00:00:00"/>
    <m/>
    <s v="Day Off"/>
    <m/>
    <m/>
    <n v="0"/>
    <x v="1"/>
  </r>
  <r>
    <x v="0"/>
    <s v="Egypt"/>
    <x v="25"/>
    <x v="113"/>
    <x v="113"/>
    <d v="2025-06-14T00:00:00"/>
    <m/>
    <s v="Day Off"/>
    <m/>
    <m/>
    <n v="0"/>
    <x v="1"/>
  </r>
  <r>
    <x v="0"/>
    <s v="Egypt"/>
    <x v="25"/>
    <x v="113"/>
    <x v="113"/>
    <d v="2025-06-15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s v="+12:15 AM"/>
    <s v="+12:45 AM"/>
    <n v="0"/>
    <x v="1"/>
  </r>
  <r>
    <x v="0"/>
    <s v="Egypt"/>
    <x v="25"/>
    <x v="113"/>
    <x v="113"/>
    <d v="2025-06-16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s v="+12:00 AM"/>
    <s v="+12:30 AM"/>
    <n v="0"/>
    <x v="1"/>
  </r>
  <r>
    <x v="0"/>
    <s v="Egypt"/>
    <x v="25"/>
    <x v="113"/>
    <x v="113"/>
    <d v="2025-06-17T00:00:00"/>
    <d v="1899-12-30T08:15:00"/>
    <s v="Annual Exception"/>
    <m/>
    <m/>
    <n v="29700"/>
    <x v="1"/>
  </r>
  <r>
    <x v="0"/>
    <s v="Egypt"/>
    <x v="25"/>
    <x v="113"/>
    <x v="113"/>
    <d v="2025-06-18T00:00:00"/>
    <d v="1899-12-30T08:15:00"/>
    <s v="Annual Exception"/>
    <m/>
    <m/>
    <n v="29700"/>
    <x v="1"/>
  </r>
  <r>
    <x v="0"/>
    <s v="Egypt"/>
    <x v="25"/>
    <x v="113"/>
    <x v="113"/>
    <d v="2025-06-19T00:00:00"/>
    <m/>
    <s v="Day Off"/>
    <m/>
    <m/>
    <n v="0"/>
    <x v="1"/>
  </r>
  <r>
    <x v="0"/>
    <s v="Egypt"/>
    <x v="25"/>
    <x v="113"/>
    <x v="113"/>
    <d v="2025-06-20T00:00:00"/>
    <m/>
    <s v="Day Off"/>
    <m/>
    <m/>
    <n v="0"/>
    <x v="1"/>
  </r>
  <r>
    <x v="0"/>
    <s v="Egypt"/>
    <x v="25"/>
    <x v="113"/>
    <x v="113"/>
    <d v="2025-06-21T00:00:00"/>
    <d v="1899-12-30T08:15:00"/>
    <s v="Annual Exception"/>
    <m/>
    <m/>
    <n v="29700"/>
    <x v="1"/>
  </r>
  <r>
    <x v="0"/>
    <s v="Egypt"/>
    <x v="25"/>
    <x v="113"/>
    <x v="113"/>
    <d v="2025-06-22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d v="1899-12-30T23:45:00"/>
    <s v="+12:15 AM"/>
    <n v="0"/>
    <x v="1"/>
  </r>
  <r>
    <x v="0"/>
    <s v="Egypt"/>
    <x v="25"/>
    <x v="113"/>
    <x v="113"/>
    <d v="2025-06-23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s v="+12:00 AM"/>
    <s v="+12:30 AM"/>
    <n v="0"/>
    <x v="1"/>
  </r>
  <r>
    <x v="0"/>
    <s v="Egypt"/>
    <x v="25"/>
    <x v="113"/>
    <x v="113"/>
    <d v="2025-06-24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d v="1899-12-30T23:45:00"/>
    <s v="+12:15 AM"/>
    <n v="0"/>
    <x v="1"/>
  </r>
  <r>
    <x v="0"/>
    <s v="Egypt"/>
    <x v="25"/>
    <x v="113"/>
    <x v="113"/>
    <d v="2025-06-25T00:00:00"/>
    <m/>
    <s v="Day Off"/>
    <m/>
    <m/>
    <n v="0"/>
    <x v="1"/>
  </r>
  <r>
    <x v="0"/>
    <s v="Egypt"/>
    <x v="25"/>
    <x v="113"/>
    <x v="113"/>
    <d v="2025-06-26T00:00:00"/>
    <m/>
    <s v="Day Off"/>
    <m/>
    <m/>
    <n v="0"/>
    <x v="1"/>
  </r>
  <r>
    <x v="0"/>
    <s v="Egypt"/>
    <x v="25"/>
    <x v="113"/>
    <x v="113"/>
    <d v="2025-06-27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7:45:00"/>
    <d v="1899-12-30T18:00:00"/>
    <n v="0"/>
    <x v="1"/>
  </r>
  <r>
    <x v="0"/>
    <s v="Egypt"/>
    <x v="25"/>
    <x v="113"/>
    <x v="113"/>
    <m/>
    <m/>
    <s v="Break 30 Night"/>
    <d v="1899-12-30T21:15:00"/>
    <d v="1899-12-30T21:45:00"/>
    <n v="0"/>
    <x v="1"/>
  </r>
  <r>
    <x v="0"/>
    <s v="Egypt"/>
    <x v="25"/>
    <x v="113"/>
    <x v="113"/>
    <d v="2025-06-28T00:00:00"/>
    <d v="1899-12-30T08:15:00"/>
    <s v="Non Telecom"/>
    <d v="1899-12-30T19:15:00"/>
    <s v="+3:30 AM"/>
    <n v="29700"/>
    <x v="0"/>
  </r>
  <r>
    <x v="0"/>
    <s v="Egypt"/>
    <x v="25"/>
    <x v="113"/>
    <x v="113"/>
    <m/>
    <m/>
    <s v="Break 15 Night"/>
    <d v="1899-12-30T21:15:00"/>
    <d v="1899-12-30T21:30:00"/>
    <n v="0"/>
    <x v="1"/>
  </r>
  <r>
    <x v="0"/>
    <s v="Egypt"/>
    <x v="25"/>
    <x v="113"/>
    <x v="113"/>
    <m/>
    <m/>
    <s v="Break 30 Night"/>
    <s v="+12:30 AM"/>
    <s v="+1:00 AM"/>
    <n v="0"/>
    <x v="1"/>
  </r>
  <r>
    <x v="0"/>
    <s v="Egypt"/>
    <x v="25"/>
    <x v="113"/>
    <x v="113"/>
    <d v="2025-06-29T00:00:00"/>
    <d v="1899-12-30T08:15:00"/>
    <s v="Non Telecom"/>
    <d v="1899-12-30T16:15:00"/>
    <s v="+12:30 AM"/>
    <n v="29700"/>
    <x v="0"/>
  </r>
  <r>
    <x v="0"/>
    <s v="Egypt"/>
    <x v="25"/>
    <x v="113"/>
    <x v="113"/>
    <m/>
    <m/>
    <s v="Break 15 Night"/>
    <d v="1899-12-30T17:45:00"/>
    <d v="1899-12-30T18:00:00"/>
    <n v="0"/>
    <x v="1"/>
  </r>
  <r>
    <x v="0"/>
    <s v="Egypt"/>
    <x v="25"/>
    <x v="113"/>
    <x v="113"/>
    <m/>
    <m/>
    <s v="Break 30 Night"/>
    <d v="1899-12-30T20:30:00"/>
    <d v="1899-12-30T21:00:00"/>
    <n v="0"/>
    <x v="1"/>
  </r>
  <r>
    <x v="0"/>
    <s v="Egypt"/>
    <x v="25"/>
    <x v="113"/>
    <x v="113"/>
    <d v="2025-06-30T00:00:00"/>
    <d v="1899-12-30T08:15:00"/>
    <s v="Annual Exception"/>
    <m/>
    <m/>
    <n v="29700"/>
    <x v="1"/>
  </r>
  <r>
    <x v="0"/>
    <s v="Egypt"/>
    <x v="25"/>
    <x v="114"/>
    <x v="114"/>
    <d v="2025-06-01T00:00:00"/>
    <m/>
    <s v="Day Off"/>
    <m/>
    <m/>
    <n v="0"/>
    <x v="1"/>
  </r>
  <r>
    <x v="0"/>
    <s v="Egypt"/>
    <x v="25"/>
    <x v="114"/>
    <x v="114"/>
    <d v="2025-06-02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7:45:00"/>
    <d v="1899-12-30T18:00:00"/>
    <n v="0"/>
    <x v="1"/>
  </r>
  <r>
    <x v="0"/>
    <s v="Egypt"/>
    <x v="25"/>
    <x v="114"/>
    <x v="114"/>
    <m/>
    <m/>
    <s v="Break 30 Night"/>
    <d v="1899-12-30T21:15:00"/>
    <d v="1899-12-30T21:45:00"/>
    <n v="0"/>
    <x v="1"/>
  </r>
  <r>
    <x v="0"/>
    <s v="Egypt"/>
    <x v="25"/>
    <x v="114"/>
    <x v="114"/>
    <d v="2025-06-03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8:15:00"/>
    <d v="1899-12-30T18:30:00"/>
    <n v="0"/>
    <x v="1"/>
  </r>
  <r>
    <x v="0"/>
    <s v="Egypt"/>
    <x v="25"/>
    <x v="114"/>
    <x v="114"/>
    <m/>
    <m/>
    <s v="Break 30 Night"/>
    <d v="1899-12-30T21:15:00"/>
    <d v="1899-12-30T21:45:00"/>
    <n v="0"/>
    <x v="1"/>
  </r>
  <r>
    <x v="0"/>
    <s v="Egypt"/>
    <x v="25"/>
    <x v="114"/>
    <x v="114"/>
    <d v="2025-06-04T00:00:00"/>
    <d v="1899-12-30T10:15:00"/>
    <s v="Non Telecom"/>
    <d v="1899-12-30T17:15:00"/>
    <s v="+3:30 AM"/>
    <n v="36900"/>
    <x v="0"/>
  </r>
  <r>
    <x v="0"/>
    <s v="Egypt"/>
    <x v="25"/>
    <x v="114"/>
    <x v="114"/>
    <m/>
    <m/>
    <s v="Break 15 Night"/>
    <d v="1899-12-30T21:00:00"/>
    <d v="1899-12-30T21:15:00"/>
    <n v="0"/>
    <x v="1"/>
  </r>
  <r>
    <x v="0"/>
    <s v="Egypt"/>
    <x v="25"/>
    <x v="114"/>
    <x v="114"/>
    <m/>
    <m/>
    <s v="Break 30 Night"/>
    <s v="+12:00 AM"/>
    <s v="+12:30 AM"/>
    <n v="0"/>
    <x v="1"/>
  </r>
  <r>
    <x v="0"/>
    <s v="Egypt"/>
    <x v="25"/>
    <x v="114"/>
    <x v="114"/>
    <m/>
    <m/>
    <s v="Shift Move"/>
    <s v="+1:30 AM"/>
    <s v="+3:30 AM"/>
    <n v="0"/>
    <x v="1"/>
  </r>
  <r>
    <x v="0"/>
    <s v="Egypt"/>
    <x v="25"/>
    <x v="114"/>
    <x v="114"/>
    <d v="2025-06-05T00:00:00"/>
    <m/>
    <s v="Day Off"/>
    <m/>
    <m/>
    <n v="0"/>
    <x v="1"/>
  </r>
  <r>
    <x v="0"/>
    <s v="Egypt"/>
    <x v="25"/>
    <x v="114"/>
    <x v="114"/>
    <d v="2025-06-06T00:00:00"/>
    <d v="1899-12-30T08:15:00"/>
    <s v="Non Telecom"/>
    <d v="1899-12-30T13:00:00"/>
    <d v="1899-12-30T21:15:00"/>
    <n v="29700"/>
    <x v="0"/>
  </r>
  <r>
    <x v="0"/>
    <s v="Egypt"/>
    <x v="25"/>
    <x v="114"/>
    <x v="114"/>
    <m/>
    <m/>
    <s v="Leave Exception"/>
    <d v="1899-12-30T13:00:00"/>
    <d v="1899-12-30T13:35:00"/>
    <n v="0"/>
    <x v="1"/>
  </r>
  <r>
    <x v="0"/>
    <s v="Egypt"/>
    <x v="25"/>
    <x v="114"/>
    <x v="114"/>
    <m/>
    <m/>
    <s v="Break 15 Morning"/>
    <d v="1899-12-30T14:30:00"/>
    <d v="1899-12-30T14:45:00"/>
    <n v="0"/>
    <x v="1"/>
  </r>
  <r>
    <x v="0"/>
    <s v="Egypt"/>
    <x v="25"/>
    <x v="114"/>
    <x v="114"/>
    <m/>
    <m/>
    <s v="Break 30 Morning"/>
    <d v="1899-12-30T17:45:00"/>
    <d v="1899-12-30T18:15:00"/>
    <n v="0"/>
    <x v="1"/>
  </r>
  <r>
    <x v="0"/>
    <s v="Egypt"/>
    <x v="25"/>
    <x v="114"/>
    <x v="114"/>
    <d v="2025-06-07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8:00:00"/>
    <d v="1899-12-30T18:15:00"/>
    <n v="0"/>
    <x v="1"/>
  </r>
  <r>
    <x v="0"/>
    <s v="Egypt"/>
    <x v="25"/>
    <x v="114"/>
    <x v="114"/>
    <m/>
    <m/>
    <s v="Break 30 Night"/>
    <d v="1899-12-30T21:00:00"/>
    <d v="1899-12-30T21:30:00"/>
    <n v="0"/>
    <x v="1"/>
  </r>
  <r>
    <x v="0"/>
    <s v="Egypt"/>
    <x v="25"/>
    <x v="114"/>
    <x v="114"/>
    <d v="2025-06-08T00:00:00"/>
    <d v="1899-12-30T08:15:00"/>
    <s v="Public holiday"/>
    <m/>
    <m/>
    <n v="29700"/>
    <x v="1"/>
  </r>
  <r>
    <x v="0"/>
    <s v="Egypt"/>
    <x v="25"/>
    <x v="114"/>
    <x v="114"/>
    <d v="2025-06-09T00:00:00"/>
    <d v="1899-12-30T08:15:00"/>
    <s v="Public holiday"/>
    <m/>
    <m/>
    <n v="29700"/>
    <x v="1"/>
  </r>
  <r>
    <x v="0"/>
    <s v="Egypt"/>
    <x v="25"/>
    <x v="114"/>
    <x v="114"/>
    <d v="2025-06-10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8:15:00"/>
    <d v="1899-12-30T18:30:00"/>
    <n v="0"/>
    <x v="1"/>
  </r>
  <r>
    <x v="0"/>
    <s v="Egypt"/>
    <x v="25"/>
    <x v="114"/>
    <x v="114"/>
    <m/>
    <m/>
    <s v="Break 30 Night"/>
    <d v="1899-12-30T21:30:00"/>
    <d v="1899-12-30T22:00:00"/>
    <n v="0"/>
    <x v="1"/>
  </r>
  <r>
    <x v="0"/>
    <s v="Egypt"/>
    <x v="25"/>
    <x v="114"/>
    <x v="114"/>
    <d v="2025-06-11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7:15:00"/>
    <d v="1899-12-30T17:30:00"/>
    <n v="0"/>
    <x v="1"/>
  </r>
  <r>
    <x v="0"/>
    <s v="Egypt"/>
    <x v="25"/>
    <x v="114"/>
    <x v="114"/>
    <m/>
    <m/>
    <s v="Break 30 Night"/>
    <d v="1899-12-30T20:30:00"/>
    <d v="1899-12-30T21:00:00"/>
    <n v="0"/>
    <x v="1"/>
  </r>
  <r>
    <x v="0"/>
    <s v="Egypt"/>
    <x v="25"/>
    <x v="114"/>
    <x v="114"/>
    <d v="2025-06-12T00:00:00"/>
    <m/>
    <s v="Day Off"/>
    <m/>
    <m/>
    <n v="0"/>
    <x v="1"/>
  </r>
  <r>
    <x v="0"/>
    <s v="Egypt"/>
    <x v="25"/>
    <x v="114"/>
    <x v="114"/>
    <d v="2025-06-13T00:00:00"/>
    <m/>
    <s v="Day Off"/>
    <m/>
    <m/>
    <n v="0"/>
    <x v="1"/>
  </r>
  <r>
    <x v="0"/>
    <s v="Egypt"/>
    <x v="25"/>
    <x v="114"/>
    <x v="114"/>
    <d v="2025-06-14T00:00:00"/>
    <d v="1899-12-30T08:15:00"/>
    <s v="Non Telecom"/>
    <d v="1899-12-30T17:15:00"/>
    <s v="+1:30 AM"/>
    <n v="29700"/>
    <x v="0"/>
  </r>
  <r>
    <x v="0"/>
    <s v="Egypt"/>
    <x v="25"/>
    <x v="114"/>
    <x v="114"/>
    <m/>
    <m/>
    <s v="Break 15 Night"/>
    <d v="1899-12-30T19:15:00"/>
    <d v="1899-12-30T19:30:00"/>
    <n v="0"/>
    <x v="1"/>
  </r>
  <r>
    <x v="0"/>
    <s v="Egypt"/>
    <x v="25"/>
    <x v="114"/>
    <x v="114"/>
    <m/>
    <m/>
    <s v="Break 30 Night"/>
    <d v="1899-12-30T22:00:00"/>
    <d v="1899-12-30T22:30:00"/>
    <n v="0"/>
    <x v="1"/>
  </r>
  <r>
    <x v="0"/>
    <s v="Egypt"/>
    <x v="25"/>
    <x v="114"/>
    <x v="114"/>
    <d v="2025-06-15T00:00:00"/>
    <d v="1899-12-30T08:15:00"/>
    <s v="Non Telecom"/>
    <d v="1899-12-30T17:15:00"/>
    <s v="+1:30 AM"/>
    <n v="29700"/>
    <x v="0"/>
  </r>
  <r>
    <x v="0"/>
    <s v="Egypt"/>
    <x v="25"/>
    <x v="114"/>
    <x v="114"/>
    <m/>
    <m/>
    <s v="Break 15 Night"/>
    <d v="1899-12-30T20:15:00"/>
    <d v="1899-12-30T20:30:00"/>
    <n v="0"/>
    <x v="1"/>
  </r>
  <r>
    <x v="0"/>
    <s v="Egypt"/>
    <x v="25"/>
    <x v="114"/>
    <x v="114"/>
    <m/>
    <m/>
    <s v="Break 30 Night"/>
    <d v="1899-12-30T22:45:00"/>
    <d v="1899-12-30T23:15:00"/>
    <n v="0"/>
    <x v="1"/>
  </r>
  <r>
    <x v="0"/>
    <s v="Egypt"/>
    <x v="25"/>
    <x v="114"/>
    <x v="114"/>
    <d v="2025-06-16T00:00:00"/>
    <d v="1899-12-30T08:15:00"/>
    <s v="Non Telecom"/>
    <d v="1899-12-30T17:15:00"/>
    <s v="+1:30 AM"/>
    <n v="29700"/>
    <x v="0"/>
  </r>
  <r>
    <x v="0"/>
    <s v="Egypt"/>
    <x v="25"/>
    <x v="114"/>
    <x v="114"/>
    <m/>
    <m/>
    <s v="Break 15 Night"/>
    <d v="1899-12-30T20:15:00"/>
    <d v="1899-12-30T20:30:00"/>
    <n v="0"/>
    <x v="1"/>
  </r>
  <r>
    <x v="0"/>
    <s v="Egypt"/>
    <x v="25"/>
    <x v="114"/>
    <x v="114"/>
    <m/>
    <m/>
    <s v="Break 30 Night"/>
    <d v="1899-12-30T23:00:00"/>
    <d v="1899-12-30T23:30:00"/>
    <n v="0"/>
    <x v="1"/>
  </r>
  <r>
    <x v="0"/>
    <s v="Egypt"/>
    <x v="25"/>
    <x v="114"/>
    <x v="114"/>
    <d v="2025-06-17T00:00:00"/>
    <d v="1899-12-30T08:15:00"/>
    <s v="Non Telecom"/>
    <d v="1899-12-30T17:15:00"/>
    <s v="+1:30 AM"/>
    <n v="29700"/>
    <x v="0"/>
  </r>
  <r>
    <x v="0"/>
    <s v="Egypt"/>
    <x v="25"/>
    <x v="114"/>
    <x v="114"/>
    <m/>
    <m/>
    <s v="Break 15 Night"/>
    <d v="1899-12-30T20:00:00"/>
    <d v="1899-12-30T20:15:00"/>
    <n v="0"/>
    <x v="1"/>
  </r>
  <r>
    <x v="0"/>
    <s v="Egypt"/>
    <x v="25"/>
    <x v="114"/>
    <x v="114"/>
    <m/>
    <m/>
    <s v="Break 30 Night"/>
    <d v="1899-12-30T23:00:00"/>
    <d v="1899-12-30T23:30:00"/>
    <n v="0"/>
    <x v="1"/>
  </r>
  <r>
    <x v="0"/>
    <s v="Egypt"/>
    <x v="25"/>
    <x v="114"/>
    <x v="114"/>
    <d v="2025-06-18T00:00:00"/>
    <d v="1899-12-30T08:15:00"/>
    <s v="Annual Exception"/>
    <m/>
    <m/>
    <n v="29700"/>
    <x v="1"/>
  </r>
  <r>
    <x v="0"/>
    <s v="Egypt"/>
    <x v="25"/>
    <x v="114"/>
    <x v="114"/>
    <d v="2025-06-19T00:00:00"/>
    <m/>
    <s v="Day Off"/>
    <m/>
    <m/>
    <n v="0"/>
    <x v="1"/>
  </r>
  <r>
    <x v="0"/>
    <s v="Egypt"/>
    <x v="25"/>
    <x v="114"/>
    <x v="114"/>
    <d v="2025-06-20T00:00:00"/>
    <m/>
    <s v="Day Off"/>
    <m/>
    <m/>
    <n v="0"/>
    <x v="1"/>
  </r>
  <r>
    <x v="0"/>
    <s v="Egypt"/>
    <x v="25"/>
    <x v="114"/>
    <x v="114"/>
    <d v="2025-06-21T00:00:00"/>
    <d v="1899-12-30T08:15:00"/>
    <s v="Annual Exception"/>
    <m/>
    <m/>
    <n v="29700"/>
    <x v="1"/>
  </r>
  <r>
    <x v="0"/>
    <s v="Egypt"/>
    <x v="25"/>
    <x v="114"/>
    <x v="114"/>
    <d v="2025-06-22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9:45:00"/>
    <d v="1899-12-30T20:00:00"/>
    <n v="0"/>
    <x v="1"/>
  </r>
  <r>
    <x v="0"/>
    <s v="Egypt"/>
    <x v="25"/>
    <x v="114"/>
    <x v="114"/>
    <m/>
    <m/>
    <s v="Break 30 Night"/>
    <d v="1899-12-30T22:15:00"/>
    <d v="1899-12-30T22:45:00"/>
    <n v="0"/>
    <x v="1"/>
  </r>
  <r>
    <x v="0"/>
    <s v="Egypt"/>
    <x v="25"/>
    <x v="114"/>
    <x v="114"/>
    <d v="2025-06-23T00:00:00"/>
    <d v="1899-12-30T08:15:00"/>
    <s v="Non Telecom"/>
    <d v="1899-12-30T19:15:00"/>
    <s v="+3:30 AM"/>
    <n v="29700"/>
    <x v="0"/>
  </r>
  <r>
    <x v="0"/>
    <s v="Egypt"/>
    <x v="25"/>
    <x v="114"/>
    <x v="114"/>
    <m/>
    <m/>
    <s v="Break 15 Night"/>
    <d v="1899-12-30T21:30:00"/>
    <d v="1899-12-30T21:45:00"/>
    <n v="0"/>
    <x v="1"/>
  </r>
  <r>
    <x v="0"/>
    <s v="Egypt"/>
    <x v="25"/>
    <x v="114"/>
    <x v="114"/>
    <m/>
    <m/>
    <s v="Break 30 Night"/>
    <s v="+12:15 AM"/>
    <s v="+12:45 AM"/>
    <n v="0"/>
    <x v="1"/>
  </r>
  <r>
    <x v="0"/>
    <s v="Egypt"/>
    <x v="25"/>
    <x v="114"/>
    <x v="114"/>
    <d v="2025-06-24T00:00:00"/>
    <d v="1899-12-30T08:15:00"/>
    <s v="Non Telecom"/>
    <d v="1899-12-30T19:15:00"/>
    <s v="+3:30 AM"/>
    <n v="29700"/>
    <x v="0"/>
  </r>
  <r>
    <x v="0"/>
    <s v="Egypt"/>
    <x v="25"/>
    <x v="114"/>
    <x v="114"/>
    <m/>
    <m/>
    <s v="Break 15 Night"/>
    <d v="1899-12-30T21:30:00"/>
    <d v="1899-12-30T21:45:00"/>
    <n v="0"/>
    <x v="1"/>
  </r>
  <r>
    <x v="0"/>
    <s v="Egypt"/>
    <x v="25"/>
    <x v="114"/>
    <x v="114"/>
    <m/>
    <m/>
    <s v="Break 30 Night"/>
    <s v="+12:00 AM"/>
    <s v="+12:30 AM"/>
    <n v="0"/>
    <x v="1"/>
  </r>
  <r>
    <x v="0"/>
    <s v="Egypt"/>
    <x v="25"/>
    <x v="114"/>
    <x v="114"/>
    <d v="2025-06-25T00:00:00"/>
    <d v="1899-12-30T08:15:00"/>
    <s v="Non Telecom"/>
    <d v="1899-12-30T19:15:00"/>
    <s v="+3:30 AM"/>
    <n v="29700"/>
    <x v="0"/>
  </r>
  <r>
    <x v="0"/>
    <s v="Egypt"/>
    <x v="25"/>
    <x v="114"/>
    <x v="114"/>
    <m/>
    <m/>
    <s v="Break 15 Night"/>
    <d v="1899-12-30T21:30:00"/>
    <d v="1899-12-30T21:45:00"/>
    <n v="0"/>
    <x v="1"/>
  </r>
  <r>
    <x v="0"/>
    <s v="Egypt"/>
    <x v="25"/>
    <x v="114"/>
    <x v="114"/>
    <m/>
    <m/>
    <s v="Break 30 Night"/>
    <s v="+1:00 AM"/>
    <s v="+1:30 AM"/>
    <n v="0"/>
    <x v="1"/>
  </r>
  <r>
    <x v="0"/>
    <s v="Egypt"/>
    <x v="25"/>
    <x v="114"/>
    <x v="114"/>
    <d v="2025-06-26T00:00:00"/>
    <d v="1899-12-30T08:15:00"/>
    <s v="Public holiday"/>
    <m/>
    <m/>
    <n v="29700"/>
    <x v="1"/>
  </r>
  <r>
    <x v="0"/>
    <s v="Egypt"/>
    <x v="25"/>
    <x v="114"/>
    <x v="114"/>
    <d v="2025-06-27T00:00:00"/>
    <m/>
    <s v="Day Off"/>
    <m/>
    <m/>
    <n v="0"/>
    <x v="1"/>
  </r>
  <r>
    <x v="0"/>
    <s v="Egypt"/>
    <x v="25"/>
    <x v="114"/>
    <x v="114"/>
    <d v="2025-06-28T00:00:00"/>
    <m/>
    <s v="Day Off"/>
    <m/>
    <m/>
    <n v="0"/>
    <x v="1"/>
  </r>
  <r>
    <x v="0"/>
    <s v="Egypt"/>
    <x v="25"/>
    <x v="114"/>
    <x v="114"/>
    <d v="2025-06-29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7:15:00"/>
    <d v="1899-12-30T17:30:00"/>
    <n v="0"/>
    <x v="1"/>
  </r>
  <r>
    <x v="0"/>
    <s v="Egypt"/>
    <x v="25"/>
    <x v="114"/>
    <x v="114"/>
    <m/>
    <m/>
    <s v="Break 30 Night"/>
    <d v="1899-12-30T20:15:00"/>
    <d v="1899-12-30T20:45:00"/>
    <n v="0"/>
    <x v="1"/>
  </r>
  <r>
    <x v="0"/>
    <s v="Egypt"/>
    <x v="25"/>
    <x v="114"/>
    <x v="114"/>
    <d v="2025-06-30T00:00:00"/>
    <d v="1899-12-30T08:15:00"/>
    <s v="Non Telecom"/>
    <d v="1899-12-30T16:15:00"/>
    <s v="+12:30 AM"/>
    <n v="29700"/>
    <x v="0"/>
  </r>
  <r>
    <x v="0"/>
    <s v="Egypt"/>
    <x v="25"/>
    <x v="114"/>
    <x v="114"/>
    <m/>
    <m/>
    <s v="Break 15 Night"/>
    <d v="1899-12-30T18:30:00"/>
    <d v="1899-12-30T18:45:00"/>
    <n v="0"/>
    <x v="1"/>
  </r>
  <r>
    <x v="0"/>
    <s v="Egypt"/>
    <x v="25"/>
    <x v="114"/>
    <x v="114"/>
    <m/>
    <m/>
    <s v="Break 30 Night"/>
    <d v="1899-12-30T21:30:00"/>
    <d v="1899-12-30T22:00:00"/>
    <n v="0"/>
    <x v="1"/>
  </r>
  <r>
    <x v="0"/>
    <s v="Egypt"/>
    <x v="25"/>
    <x v="115"/>
    <x v="115"/>
    <d v="2025-06-01T00:00:00"/>
    <d v="1899-12-30T09:15:00"/>
    <s v="Non Telecom"/>
    <d v="1899-12-30T09:00:00"/>
    <d v="1899-12-30T18:15:00"/>
    <n v="33300"/>
    <x v="0"/>
  </r>
  <r>
    <x v="0"/>
    <s v="Egypt"/>
    <x v="25"/>
    <x v="115"/>
    <x v="115"/>
    <m/>
    <m/>
    <s v="Break 15 Morning"/>
    <d v="1899-12-30T11:45:00"/>
    <d v="1899-12-30T12:00:00"/>
    <n v="0"/>
    <x v="1"/>
  </r>
  <r>
    <x v="0"/>
    <s v="Egypt"/>
    <x v="25"/>
    <x v="115"/>
    <x v="115"/>
    <m/>
    <m/>
    <s v="Break 30 Morning"/>
    <d v="1899-12-30T15:15:00"/>
    <d v="1899-12-30T15:45:00"/>
    <n v="0"/>
    <x v="1"/>
  </r>
  <r>
    <x v="0"/>
    <s v="Egypt"/>
    <x v="25"/>
    <x v="115"/>
    <x v="115"/>
    <m/>
    <m/>
    <s v="Shift Move"/>
    <d v="1899-12-30T17:15:00"/>
    <d v="1899-12-30T18:15:00"/>
    <n v="0"/>
    <x v="1"/>
  </r>
  <r>
    <x v="0"/>
    <s v="Egypt"/>
    <x v="25"/>
    <x v="115"/>
    <x v="115"/>
    <d v="2025-06-02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Break 15 Morning"/>
    <d v="1899-12-30T15:00:00"/>
    <d v="1899-12-30T15:15:00"/>
    <n v="0"/>
    <x v="1"/>
  </r>
  <r>
    <x v="0"/>
    <s v="Egypt"/>
    <x v="25"/>
    <x v="115"/>
    <x v="115"/>
    <m/>
    <m/>
    <s v="Break 30 Morning"/>
    <d v="1899-12-30T18:15:00"/>
    <d v="1899-12-30T18:45:00"/>
    <n v="0"/>
    <x v="1"/>
  </r>
  <r>
    <x v="0"/>
    <s v="Egypt"/>
    <x v="25"/>
    <x v="115"/>
    <x v="115"/>
    <d v="2025-06-03T00:00:00"/>
    <d v="1899-12-30T08:15:00"/>
    <s v="Planned Training"/>
    <m/>
    <m/>
    <n v="29700"/>
    <x v="1"/>
  </r>
  <r>
    <x v="0"/>
    <s v="Egypt"/>
    <x v="25"/>
    <x v="115"/>
    <x v="115"/>
    <d v="2025-06-04T00:00:00"/>
    <d v="1899-12-30T08:15:00"/>
    <s v="Planned Training"/>
    <m/>
    <m/>
    <n v="29700"/>
    <x v="1"/>
  </r>
  <r>
    <x v="0"/>
    <s v="Egypt"/>
    <x v="25"/>
    <x v="115"/>
    <x v="115"/>
    <d v="2025-06-05T00:00:00"/>
    <d v="1899-12-30T08:15:00"/>
    <s v="Planned Training"/>
    <m/>
    <m/>
    <n v="29700"/>
    <x v="1"/>
  </r>
  <r>
    <x v="0"/>
    <s v="Egypt"/>
    <x v="25"/>
    <x v="115"/>
    <x v="115"/>
    <d v="2025-06-06T00:00:00"/>
    <m/>
    <s v="Day Off"/>
    <m/>
    <m/>
    <n v="0"/>
    <x v="1"/>
  </r>
  <r>
    <x v="0"/>
    <s v="Egypt"/>
    <x v="25"/>
    <x v="115"/>
    <x v="115"/>
    <d v="2025-06-07T00:00:00"/>
    <m/>
    <s v="Day Off"/>
    <m/>
    <m/>
    <n v="0"/>
    <x v="1"/>
  </r>
  <r>
    <x v="0"/>
    <s v="Egypt"/>
    <x v="25"/>
    <x v="115"/>
    <x v="115"/>
    <d v="2025-06-08T00:00:00"/>
    <d v="1899-12-30T08:15:00"/>
    <s v="Planned Training"/>
    <m/>
    <m/>
    <n v="29700"/>
    <x v="1"/>
  </r>
  <r>
    <x v="0"/>
    <s v="Egypt"/>
    <x v="25"/>
    <x v="115"/>
    <x v="115"/>
    <d v="2025-06-09T00:00:00"/>
    <d v="1899-12-30T08:15:00"/>
    <s v="Planned Training"/>
    <m/>
    <m/>
    <n v="29700"/>
    <x v="1"/>
  </r>
  <r>
    <x v="0"/>
    <s v="Egypt"/>
    <x v="25"/>
    <x v="115"/>
    <x v="115"/>
    <d v="2025-06-10T00:00:00"/>
    <d v="1899-12-30T08:15:00"/>
    <s v="Planned Training"/>
    <m/>
    <m/>
    <n v="29700"/>
    <x v="1"/>
  </r>
  <r>
    <x v="0"/>
    <s v="Egypt"/>
    <x v="25"/>
    <x v="115"/>
    <x v="115"/>
    <d v="2025-06-11T00:00:00"/>
    <d v="1899-12-30T08:15:00"/>
    <s v="Planned Training"/>
    <m/>
    <m/>
    <n v="29700"/>
    <x v="1"/>
  </r>
  <r>
    <x v="0"/>
    <s v="Egypt"/>
    <x v="25"/>
    <x v="115"/>
    <x v="115"/>
    <d v="2025-06-12T00:00:00"/>
    <d v="1899-12-30T08:15:00"/>
    <s v="Planned Training"/>
    <m/>
    <m/>
    <n v="29700"/>
    <x v="1"/>
  </r>
  <r>
    <x v="0"/>
    <s v="Egypt"/>
    <x v="25"/>
    <x v="115"/>
    <x v="115"/>
    <d v="2025-06-13T00:00:00"/>
    <m/>
    <s v="Day Off"/>
    <m/>
    <m/>
    <n v="0"/>
    <x v="1"/>
  </r>
  <r>
    <x v="0"/>
    <s v="Egypt"/>
    <x v="25"/>
    <x v="115"/>
    <x v="115"/>
    <d v="2025-06-14T00:00:00"/>
    <m/>
    <s v="Day Off"/>
    <m/>
    <m/>
    <n v="0"/>
    <x v="1"/>
  </r>
  <r>
    <x v="0"/>
    <s v="Egypt"/>
    <x v="25"/>
    <x v="115"/>
    <x v="115"/>
    <d v="2025-06-15T00:00:00"/>
    <d v="1899-12-30T08:15:00"/>
    <s v="Non Telecom"/>
    <d v="1899-12-30T16:15:00"/>
    <s v="+12:30 AM"/>
    <n v="29700"/>
    <x v="0"/>
  </r>
  <r>
    <x v="0"/>
    <s v="Egypt"/>
    <x v="25"/>
    <x v="115"/>
    <x v="115"/>
    <m/>
    <m/>
    <s v="No Swap"/>
    <d v="1899-12-30T16:15:00"/>
    <d v="1899-12-30T16:30:00"/>
    <n v="0"/>
    <x v="1"/>
  </r>
  <r>
    <x v="0"/>
    <s v="Egypt"/>
    <x v="25"/>
    <x v="115"/>
    <x v="115"/>
    <m/>
    <m/>
    <s v="Break 15 Night"/>
    <d v="1899-12-30T18:45:00"/>
    <d v="1899-12-30T19:00:00"/>
    <n v="0"/>
    <x v="1"/>
  </r>
  <r>
    <x v="0"/>
    <s v="Egypt"/>
    <x v="25"/>
    <x v="115"/>
    <x v="115"/>
    <m/>
    <m/>
    <s v="Break 30 Night"/>
    <d v="1899-12-30T21:15:00"/>
    <d v="1899-12-30T21:45:00"/>
    <n v="0"/>
    <x v="1"/>
  </r>
  <r>
    <x v="0"/>
    <s v="Egypt"/>
    <x v="25"/>
    <x v="115"/>
    <x v="115"/>
    <d v="2025-06-16T00:00:00"/>
    <d v="1899-12-30T08:15:00"/>
    <s v="Non Telecom"/>
    <d v="1899-12-30T16:15:00"/>
    <s v="+12:30 AM"/>
    <n v="29700"/>
    <x v="0"/>
  </r>
  <r>
    <x v="0"/>
    <s v="Egypt"/>
    <x v="25"/>
    <x v="115"/>
    <x v="115"/>
    <m/>
    <m/>
    <s v="No Swap"/>
    <d v="1899-12-30T16:15:00"/>
    <d v="1899-12-30T16:30:00"/>
    <n v="0"/>
    <x v="1"/>
  </r>
  <r>
    <x v="0"/>
    <s v="Egypt"/>
    <x v="25"/>
    <x v="115"/>
    <x v="115"/>
    <m/>
    <m/>
    <s v="Break 15 Night"/>
    <d v="1899-12-30T18:30:00"/>
    <d v="1899-12-30T18:45:00"/>
    <n v="0"/>
    <x v="1"/>
  </r>
  <r>
    <x v="0"/>
    <s v="Egypt"/>
    <x v="25"/>
    <x v="115"/>
    <x v="115"/>
    <m/>
    <m/>
    <s v="Break 30 Night"/>
    <d v="1899-12-30T21:30:00"/>
    <d v="1899-12-30T22:00:00"/>
    <n v="0"/>
    <x v="1"/>
  </r>
  <r>
    <x v="0"/>
    <s v="Egypt"/>
    <x v="25"/>
    <x v="115"/>
    <x v="115"/>
    <d v="2025-06-17T00:00:00"/>
    <d v="1899-12-30T08:15:00"/>
    <s v="Non Telecom"/>
    <d v="1899-12-30T16:15:00"/>
    <s v="+12:30 AM"/>
    <n v="29700"/>
    <x v="0"/>
  </r>
  <r>
    <x v="0"/>
    <s v="Egypt"/>
    <x v="25"/>
    <x v="115"/>
    <x v="115"/>
    <m/>
    <m/>
    <s v="No Swap"/>
    <d v="1899-12-30T16:15:00"/>
    <d v="1899-12-30T16:30:00"/>
    <n v="0"/>
    <x v="1"/>
  </r>
  <r>
    <x v="0"/>
    <s v="Egypt"/>
    <x v="25"/>
    <x v="115"/>
    <x v="115"/>
    <m/>
    <m/>
    <s v="Break 15 Night"/>
    <d v="1899-12-30T18:15:00"/>
    <d v="1899-12-30T18:30:00"/>
    <n v="0"/>
    <x v="1"/>
  </r>
  <r>
    <x v="0"/>
    <s v="Egypt"/>
    <x v="25"/>
    <x v="115"/>
    <x v="115"/>
    <m/>
    <m/>
    <s v="Break 30 Night"/>
    <d v="1899-12-30T21:30:00"/>
    <d v="1899-12-30T22:00:00"/>
    <n v="0"/>
    <x v="1"/>
  </r>
  <r>
    <x v="0"/>
    <s v="Egypt"/>
    <x v="25"/>
    <x v="115"/>
    <x v="115"/>
    <d v="2025-06-18T00:00:00"/>
    <d v="1899-12-30T08:15:00"/>
    <s v="Non Telecom"/>
    <d v="1899-12-30T16:15:00"/>
    <s v="+12:30 AM"/>
    <n v="29700"/>
    <x v="0"/>
  </r>
  <r>
    <x v="0"/>
    <s v="Egypt"/>
    <x v="25"/>
    <x v="115"/>
    <x v="115"/>
    <m/>
    <m/>
    <s v="No Swap"/>
    <d v="1899-12-30T16:15:00"/>
    <d v="1899-12-30T16:30:00"/>
    <n v="0"/>
    <x v="1"/>
  </r>
  <r>
    <x v="0"/>
    <s v="Egypt"/>
    <x v="25"/>
    <x v="115"/>
    <x v="115"/>
    <m/>
    <m/>
    <s v="Break 15 Night"/>
    <d v="1899-12-30T18:15:00"/>
    <d v="1899-12-30T18:30:00"/>
    <n v="0"/>
    <x v="1"/>
  </r>
  <r>
    <x v="0"/>
    <s v="Egypt"/>
    <x v="25"/>
    <x v="115"/>
    <x v="115"/>
    <m/>
    <m/>
    <s v="Break 30 Night"/>
    <d v="1899-12-30T21:15:00"/>
    <d v="1899-12-30T21:45:00"/>
    <n v="0"/>
    <x v="1"/>
  </r>
  <r>
    <x v="0"/>
    <s v="Egypt"/>
    <x v="25"/>
    <x v="115"/>
    <x v="115"/>
    <d v="2025-06-19T00:00:00"/>
    <d v="1899-12-30T08:15:00"/>
    <s v="Non Telecom"/>
    <d v="1899-12-30T16:15:00"/>
    <s v="+12:30 AM"/>
    <n v="29700"/>
    <x v="0"/>
  </r>
  <r>
    <x v="0"/>
    <s v="Egypt"/>
    <x v="25"/>
    <x v="115"/>
    <x v="115"/>
    <m/>
    <m/>
    <s v="No Swap"/>
    <d v="1899-12-30T16:15:00"/>
    <d v="1899-12-30T16:30:00"/>
    <n v="0"/>
    <x v="1"/>
  </r>
  <r>
    <x v="0"/>
    <s v="Egypt"/>
    <x v="25"/>
    <x v="115"/>
    <x v="115"/>
    <m/>
    <m/>
    <s v="Break 15 Night"/>
    <d v="1899-12-30T18:30:00"/>
    <d v="1899-12-30T18:45:00"/>
    <n v="0"/>
    <x v="1"/>
  </r>
  <r>
    <x v="0"/>
    <s v="Egypt"/>
    <x v="25"/>
    <x v="115"/>
    <x v="115"/>
    <m/>
    <m/>
    <s v="Break 30 Night"/>
    <d v="1899-12-30T21:00:00"/>
    <d v="1899-12-30T21:30:00"/>
    <n v="0"/>
    <x v="1"/>
  </r>
  <r>
    <x v="0"/>
    <s v="Egypt"/>
    <x v="25"/>
    <x v="115"/>
    <x v="115"/>
    <d v="2025-06-20T00:00:00"/>
    <m/>
    <s v="Day Off"/>
    <m/>
    <m/>
    <n v="0"/>
    <x v="1"/>
  </r>
  <r>
    <x v="0"/>
    <s v="Egypt"/>
    <x v="25"/>
    <x v="115"/>
    <x v="115"/>
    <d v="2025-06-21T00:00:00"/>
    <m/>
    <s v="Day Off"/>
    <m/>
    <m/>
    <n v="0"/>
    <x v="1"/>
  </r>
  <r>
    <x v="0"/>
    <s v="Egypt"/>
    <x v="25"/>
    <x v="115"/>
    <x v="115"/>
    <d v="2025-06-22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No Swap"/>
    <d v="1899-12-30T13:30:00"/>
    <d v="1899-12-30T13:45:00"/>
    <n v="0"/>
    <x v="1"/>
  </r>
  <r>
    <x v="0"/>
    <s v="Egypt"/>
    <x v="25"/>
    <x v="115"/>
    <x v="115"/>
    <m/>
    <m/>
    <s v="Break 15 Morning"/>
    <d v="1899-12-30T15:15:00"/>
    <d v="1899-12-30T15:30:00"/>
    <n v="0"/>
    <x v="1"/>
  </r>
  <r>
    <x v="0"/>
    <s v="Egypt"/>
    <x v="25"/>
    <x v="115"/>
    <x v="115"/>
    <m/>
    <m/>
    <s v="Break 30 Morning"/>
    <d v="1899-12-30T17:45:00"/>
    <d v="1899-12-30T18:15:00"/>
    <n v="0"/>
    <x v="1"/>
  </r>
  <r>
    <x v="0"/>
    <s v="Egypt"/>
    <x v="25"/>
    <x v="115"/>
    <x v="115"/>
    <d v="2025-06-23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No Swap"/>
    <d v="1899-12-30T13:30:00"/>
    <d v="1899-12-30T13:45:00"/>
    <n v="0"/>
    <x v="1"/>
  </r>
  <r>
    <x v="0"/>
    <s v="Egypt"/>
    <x v="25"/>
    <x v="115"/>
    <x v="115"/>
    <m/>
    <m/>
    <s v="Break 15 Morning"/>
    <d v="1899-12-30T15:00:00"/>
    <d v="1899-12-30T15:15:00"/>
    <n v="0"/>
    <x v="1"/>
  </r>
  <r>
    <x v="0"/>
    <s v="Egypt"/>
    <x v="25"/>
    <x v="115"/>
    <x v="115"/>
    <m/>
    <m/>
    <s v="Break 30 Morning"/>
    <d v="1899-12-30T17:45:00"/>
    <d v="1899-12-30T18:15:00"/>
    <n v="0"/>
    <x v="1"/>
  </r>
  <r>
    <x v="0"/>
    <s v="Egypt"/>
    <x v="25"/>
    <x v="115"/>
    <x v="115"/>
    <d v="2025-06-24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No Swap"/>
    <d v="1899-12-30T13:30:00"/>
    <d v="1899-12-30T13:45:00"/>
    <n v="0"/>
    <x v="1"/>
  </r>
  <r>
    <x v="0"/>
    <s v="Egypt"/>
    <x v="25"/>
    <x v="115"/>
    <x v="115"/>
    <m/>
    <m/>
    <s v="Break 15 Morning"/>
    <d v="1899-12-30T15:30:00"/>
    <d v="1899-12-30T15:45:00"/>
    <n v="0"/>
    <x v="1"/>
  </r>
  <r>
    <x v="0"/>
    <s v="Egypt"/>
    <x v="25"/>
    <x v="115"/>
    <x v="115"/>
    <m/>
    <m/>
    <s v="Break 30 Morning"/>
    <d v="1899-12-30T18:15:00"/>
    <d v="1899-12-30T18:45:00"/>
    <n v="0"/>
    <x v="1"/>
  </r>
  <r>
    <x v="0"/>
    <s v="Egypt"/>
    <x v="25"/>
    <x v="115"/>
    <x v="115"/>
    <d v="2025-06-25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No Swap"/>
    <d v="1899-12-30T13:15:00"/>
    <d v="1899-12-30T13:30:00"/>
    <n v="0"/>
    <x v="1"/>
  </r>
  <r>
    <x v="0"/>
    <s v="Egypt"/>
    <x v="25"/>
    <x v="115"/>
    <x v="115"/>
    <m/>
    <m/>
    <s v="Break 15 Morning"/>
    <d v="1899-12-30T15:15:00"/>
    <d v="1899-12-30T15:30:00"/>
    <n v="0"/>
    <x v="1"/>
  </r>
  <r>
    <x v="0"/>
    <s v="Egypt"/>
    <x v="25"/>
    <x v="115"/>
    <x v="115"/>
    <m/>
    <m/>
    <s v="Break 30 Morning"/>
    <d v="1899-12-30T17:45:00"/>
    <d v="1899-12-30T18:15:00"/>
    <n v="0"/>
    <x v="1"/>
  </r>
  <r>
    <x v="0"/>
    <s v="Egypt"/>
    <x v="25"/>
    <x v="115"/>
    <x v="115"/>
    <d v="2025-06-26T00:00:00"/>
    <d v="1899-12-30T08:15:00"/>
    <s v="Non Telecom"/>
    <d v="1899-12-30T13:00:00"/>
    <d v="1899-12-30T21:15:00"/>
    <n v="29700"/>
    <x v="0"/>
  </r>
  <r>
    <x v="0"/>
    <s v="Egypt"/>
    <x v="25"/>
    <x v="115"/>
    <x v="115"/>
    <m/>
    <m/>
    <s v="Break 15 Morning"/>
    <d v="1899-12-30T14:00:00"/>
    <d v="1899-12-30T14:15:00"/>
    <n v="0"/>
    <x v="1"/>
  </r>
  <r>
    <x v="0"/>
    <s v="Egypt"/>
    <x v="25"/>
    <x v="115"/>
    <x v="115"/>
    <m/>
    <m/>
    <s v="Break 30 Morning"/>
    <d v="1899-12-30T16:30:00"/>
    <d v="1899-12-30T17:00:00"/>
    <n v="0"/>
    <x v="1"/>
  </r>
  <r>
    <x v="0"/>
    <s v="Egypt"/>
    <x v="25"/>
    <x v="115"/>
    <x v="115"/>
    <m/>
    <m/>
    <s v="Leave Early"/>
    <d v="1899-12-30T19:15:00"/>
    <d v="1899-12-30T21:15:00"/>
    <n v="0"/>
    <x v="1"/>
  </r>
  <r>
    <x v="0"/>
    <s v="Egypt"/>
    <x v="25"/>
    <x v="115"/>
    <x v="115"/>
    <d v="2025-06-27T00:00:00"/>
    <m/>
    <s v="Day Off"/>
    <m/>
    <m/>
    <n v="0"/>
    <x v="1"/>
  </r>
  <r>
    <x v="0"/>
    <s v="Egypt"/>
    <x v="25"/>
    <x v="115"/>
    <x v="115"/>
    <d v="2025-06-28T00:00:00"/>
    <m/>
    <s v="Day Off"/>
    <m/>
    <m/>
    <n v="0"/>
    <x v="1"/>
  </r>
  <r>
    <x v="0"/>
    <s v="Egypt"/>
    <x v="25"/>
    <x v="115"/>
    <x v="115"/>
    <d v="2025-06-29T00:00:00"/>
    <d v="1899-12-30T08:15:00"/>
    <s v="Non Telecom"/>
    <d v="1899-12-30T09:00:00"/>
    <d v="1899-12-30T17:15:00"/>
    <n v="29700"/>
    <x v="0"/>
  </r>
  <r>
    <x v="0"/>
    <s v="Egypt"/>
    <x v="25"/>
    <x v="115"/>
    <x v="115"/>
    <m/>
    <m/>
    <s v="Break 15 Morning"/>
    <d v="1899-12-30T11:00:00"/>
    <d v="1899-12-30T11:15:00"/>
    <n v="0"/>
    <x v="1"/>
  </r>
  <r>
    <x v="0"/>
    <s v="Egypt"/>
    <x v="25"/>
    <x v="115"/>
    <x v="115"/>
    <m/>
    <m/>
    <s v="Break 30 Morning"/>
    <d v="1899-12-30T14:15:00"/>
    <d v="1899-12-30T14:45:00"/>
    <n v="0"/>
    <x v="1"/>
  </r>
  <r>
    <x v="0"/>
    <s v="Egypt"/>
    <x v="25"/>
    <x v="115"/>
    <x v="115"/>
    <d v="2025-06-30T00:00:00"/>
    <d v="1899-12-30T08:15:00"/>
    <s v="Non Telecom"/>
    <d v="1899-12-30T09:00:00"/>
    <d v="1899-12-30T17:15:00"/>
    <n v="29700"/>
    <x v="0"/>
  </r>
  <r>
    <x v="0"/>
    <s v="Egypt"/>
    <x v="25"/>
    <x v="115"/>
    <x v="115"/>
    <m/>
    <m/>
    <s v="Break 15 Morning"/>
    <d v="1899-12-30T10:45:00"/>
    <d v="1899-12-30T11:00:00"/>
    <n v="0"/>
    <x v="1"/>
  </r>
  <r>
    <x v="0"/>
    <s v="Egypt"/>
    <x v="25"/>
    <x v="115"/>
    <x v="115"/>
    <m/>
    <m/>
    <s v="Break 30 Morning"/>
    <d v="1899-12-30T13:45:00"/>
    <d v="1899-12-30T14:15:00"/>
    <n v="0"/>
    <x v="1"/>
  </r>
  <r>
    <x v="0"/>
    <s v="Egypt"/>
    <x v="25"/>
    <x v="116"/>
    <x v="116"/>
    <d v="2025-06-01T00:00:00"/>
    <d v="1899-12-30T08:15:00"/>
    <s v="Non Telecom"/>
    <d v="1899-12-30T13:00:00"/>
    <d v="1899-12-30T21:15:00"/>
    <n v="29700"/>
    <x v="0"/>
  </r>
  <r>
    <x v="0"/>
    <s v="Egypt"/>
    <x v="25"/>
    <x v="116"/>
    <x v="116"/>
    <m/>
    <m/>
    <s v="Break 15 Morning"/>
    <d v="1899-12-30T15:15:00"/>
    <d v="1899-12-30T15:30:00"/>
    <n v="0"/>
    <x v="1"/>
  </r>
  <r>
    <x v="0"/>
    <s v="Egypt"/>
    <x v="25"/>
    <x v="116"/>
    <x v="116"/>
    <m/>
    <m/>
    <s v="Break 30 Morning"/>
    <d v="1899-12-30T18:45:00"/>
    <d v="1899-12-30T19:15:00"/>
    <n v="0"/>
    <x v="1"/>
  </r>
  <r>
    <x v="0"/>
    <s v="Egypt"/>
    <x v="25"/>
    <x v="116"/>
    <x v="116"/>
    <d v="2025-06-02T00:00:00"/>
    <d v="1899-12-30T08:15:00"/>
    <s v="Non Telecom"/>
    <d v="1899-12-30T13:00:00"/>
    <d v="1899-12-30T21:15:00"/>
    <n v="29700"/>
    <x v="0"/>
  </r>
  <r>
    <x v="0"/>
    <s v="Egypt"/>
    <x v="25"/>
    <x v="116"/>
    <x v="116"/>
    <m/>
    <m/>
    <s v="Break 15 Morning"/>
    <d v="1899-12-30T15:15:00"/>
    <d v="1899-12-30T15:30:00"/>
    <n v="0"/>
    <x v="1"/>
  </r>
  <r>
    <x v="0"/>
    <s v="Egypt"/>
    <x v="25"/>
    <x v="116"/>
    <x v="116"/>
    <m/>
    <m/>
    <s v="Break 30 Morning"/>
    <d v="1899-12-30T18:45:00"/>
    <d v="1899-12-30T19:15:00"/>
    <n v="0"/>
    <x v="1"/>
  </r>
  <r>
    <x v="0"/>
    <s v="Egypt"/>
    <x v="25"/>
    <x v="116"/>
    <x v="116"/>
    <d v="2025-06-03T00:00:00"/>
    <d v="1899-12-30T08:15:00"/>
    <s v="Non Telecom"/>
    <d v="1899-12-30T13:00:00"/>
    <d v="1899-12-30T21:15:00"/>
    <n v="29700"/>
    <x v="0"/>
  </r>
  <r>
    <x v="0"/>
    <s v="Egypt"/>
    <x v="25"/>
    <x v="116"/>
    <x v="116"/>
    <m/>
    <m/>
    <s v="Break 15 Morning"/>
    <d v="1899-12-30T15:30:00"/>
    <d v="1899-12-30T15:45:00"/>
    <n v="0"/>
    <x v="1"/>
  </r>
  <r>
    <x v="0"/>
    <s v="Egypt"/>
    <x v="25"/>
    <x v="116"/>
    <x v="116"/>
    <m/>
    <m/>
    <s v="Break 30 Morning"/>
    <d v="1899-12-30T18:15:00"/>
    <d v="1899-12-30T18:45:00"/>
    <n v="0"/>
    <x v="1"/>
  </r>
  <r>
    <x v="0"/>
    <s v="Egypt"/>
    <x v="25"/>
    <x v="116"/>
    <x v="116"/>
    <d v="2025-06-04T00:00:00"/>
    <d v="1899-12-30T08:15:00"/>
    <s v="Non Telecom"/>
    <d v="1899-12-30T17:15:00"/>
    <s v="+1:30 AM"/>
    <n v="29700"/>
    <x v="0"/>
  </r>
  <r>
    <x v="0"/>
    <s v="Egypt"/>
    <x v="25"/>
    <x v="116"/>
    <x v="116"/>
    <m/>
    <m/>
    <s v="Break 15 Night"/>
    <d v="1899-12-30T18:15:00"/>
    <d v="1899-12-30T18:30:00"/>
    <n v="0"/>
    <x v="1"/>
  </r>
  <r>
    <x v="0"/>
    <s v="Egypt"/>
    <x v="25"/>
    <x v="116"/>
    <x v="116"/>
    <m/>
    <m/>
    <s v="Break 30 Night"/>
    <d v="1899-12-30T21:15:00"/>
    <d v="1899-12-30T21:45:00"/>
    <n v="0"/>
    <x v="1"/>
  </r>
  <r>
    <x v="0"/>
    <s v="Egypt"/>
    <x v="25"/>
    <x v="116"/>
    <x v="116"/>
    <d v="2025-06-05T00:00:00"/>
    <d v="1899-12-30T08:15:00"/>
    <s v="Non Telecom"/>
    <d v="1899-12-30T13:00:00"/>
    <d v="1899-12-30T21:15:00"/>
    <n v="29700"/>
    <x v="0"/>
  </r>
  <r>
    <x v="0"/>
    <s v="Egypt"/>
    <x v="25"/>
    <x v="116"/>
    <x v="116"/>
    <m/>
    <m/>
    <s v="Break 15 Morning"/>
    <d v="1899-12-30T15:15:00"/>
    <d v="1899-12-30T15:30:00"/>
    <n v="0"/>
    <x v="1"/>
  </r>
  <r>
    <x v="0"/>
    <s v="Egypt"/>
    <x v="25"/>
    <x v="116"/>
    <x v="116"/>
    <m/>
    <m/>
    <s v="Break 30 Morning"/>
    <d v="1899-12-30T18:15:00"/>
    <d v="1899-12-30T18:45:00"/>
    <n v="0"/>
    <x v="1"/>
  </r>
  <r>
    <x v="0"/>
    <s v="Egypt"/>
    <x v="25"/>
    <x v="116"/>
    <x v="116"/>
    <d v="2025-06-06T00:00:00"/>
    <m/>
    <s v="Day Off"/>
    <m/>
    <m/>
    <n v="0"/>
    <x v="1"/>
  </r>
  <r>
    <x v="0"/>
    <s v="Egypt"/>
    <x v="25"/>
    <x v="116"/>
    <x v="116"/>
    <d v="2025-06-07T00:00:00"/>
    <m/>
    <s v="Day Off"/>
    <m/>
    <m/>
    <n v="0"/>
    <x v="1"/>
  </r>
  <r>
    <x v="0"/>
    <s v="Egypt"/>
    <x v="25"/>
    <x v="116"/>
    <x v="116"/>
    <d v="2025-06-08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7:45:00"/>
    <d v="1899-12-30T18:00:00"/>
    <n v="0"/>
    <x v="1"/>
  </r>
  <r>
    <x v="0"/>
    <s v="Egypt"/>
    <x v="25"/>
    <x v="116"/>
    <x v="116"/>
    <m/>
    <m/>
    <s v="Break 30 Night"/>
    <d v="1899-12-30T21:15:00"/>
    <d v="1899-12-30T21:45:00"/>
    <n v="0"/>
    <x v="1"/>
  </r>
  <r>
    <x v="0"/>
    <s v="Egypt"/>
    <x v="25"/>
    <x v="116"/>
    <x v="116"/>
    <d v="2025-06-09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7:45:00"/>
    <d v="1899-12-30T18:00:00"/>
    <n v="0"/>
    <x v="1"/>
  </r>
  <r>
    <x v="0"/>
    <s v="Egypt"/>
    <x v="25"/>
    <x v="116"/>
    <x v="116"/>
    <m/>
    <m/>
    <s v="Break 30 Night"/>
    <d v="1899-12-30T21:00:00"/>
    <d v="1899-12-30T21:30:00"/>
    <n v="0"/>
    <x v="1"/>
  </r>
  <r>
    <x v="0"/>
    <s v="Egypt"/>
    <x v="25"/>
    <x v="116"/>
    <x v="116"/>
    <d v="2025-06-10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7:45:00"/>
    <d v="1899-12-30T18:00:00"/>
    <n v="0"/>
    <x v="1"/>
  </r>
  <r>
    <x v="0"/>
    <s v="Egypt"/>
    <x v="25"/>
    <x v="116"/>
    <x v="116"/>
    <m/>
    <m/>
    <s v="Break 30 Night"/>
    <d v="1899-12-30T21:00:00"/>
    <d v="1899-12-30T21:30:00"/>
    <n v="0"/>
    <x v="1"/>
  </r>
  <r>
    <x v="0"/>
    <s v="Egypt"/>
    <x v="25"/>
    <x v="116"/>
    <x v="116"/>
    <d v="2025-06-11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00:00"/>
    <d v="1899-12-30T18:15:00"/>
    <n v="0"/>
    <x v="1"/>
  </r>
  <r>
    <x v="0"/>
    <s v="Egypt"/>
    <x v="25"/>
    <x v="116"/>
    <x v="116"/>
    <m/>
    <m/>
    <s v="Break 30 Night"/>
    <d v="1899-12-30T21:00:00"/>
    <d v="1899-12-30T21:30:00"/>
    <n v="0"/>
    <x v="1"/>
  </r>
  <r>
    <x v="0"/>
    <s v="Egypt"/>
    <x v="25"/>
    <x v="116"/>
    <x v="116"/>
    <d v="2025-06-12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45:00"/>
    <d v="1899-12-30T19:00:00"/>
    <n v="0"/>
    <x v="1"/>
  </r>
  <r>
    <x v="0"/>
    <s v="Egypt"/>
    <x v="25"/>
    <x v="116"/>
    <x v="116"/>
    <m/>
    <m/>
    <s v="Break 30 Night"/>
    <d v="1899-12-30T21:30:00"/>
    <d v="1899-12-30T22:00:00"/>
    <n v="0"/>
    <x v="1"/>
  </r>
  <r>
    <x v="0"/>
    <s v="Egypt"/>
    <x v="25"/>
    <x v="116"/>
    <x v="116"/>
    <d v="2025-06-13T00:00:00"/>
    <m/>
    <s v="Day Off"/>
    <m/>
    <m/>
    <n v="0"/>
    <x v="1"/>
  </r>
  <r>
    <x v="0"/>
    <s v="Egypt"/>
    <x v="25"/>
    <x v="116"/>
    <x v="116"/>
    <d v="2025-06-14T00:00:00"/>
    <m/>
    <s v="Day Off"/>
    <m/>
    <m/>
    <n v="0"/>
    <x v="1"/>
  </r>
  <r>
    <x v="0"/>
    <s v="Egypt"/>
    <x v="25"/>
    <x v="116"/>
    <x v="116"/>
    <d v="2025-06-15T00:00:00"/>
    <d v="1899-12-30T08:15:00"/>
    <s v="Non Telecom"/>
    <d v="1899-12-30T17:15:00"/>
    <s v="+1:30 AM"/>
    <n v="29700"/>
    <x v="0"/>
  </r>
  <r>
    <x v="0"/>
    <s v="Egypt"/>
    <x v="25"/>
    <x v="116"/>
    <x v="116"/>
    <m/>
    <m/>
    <s v="Break 15 Night"/>
    <d v="1899-12-30T20:30:00"/>
    <d v="1899-12-30T20:45:00"/>
    <n v="0"/>
    <x v="1"/>
  </r>
  <r>
    <x v="0"/>
    <s v="Egypt"/>
    <x v="25"/>
    <x v="116"/>
    <x v="116"/>
    <m/>
    <m/>
    <s v="Break 30 Night"/>
    <d v="1899-12-30T23:15:00"/>
    <d v="1899-12-30T23:45:00"/>
    <n v="0"/>
    <x v="1"/>
  </r>
  <r>
    <x v="0"/>
    <s v="Egypt"/>
    <x v="25"/>
    <x v="116"/>
    <x v="116"/>
    <d v="2025-06-16T00:00:00"/>
    <d v="1899-12-30T08:15:00"/>
    <s v="Non Telecom"/>
    <d v="1899-12-30T17:15:00"/>
    <s v="+1:30 AM"/>
    <n v="29700"/>
    <x v="0"/>
  </r>
  <r>
    <x v="0"/>
    <s v="Egypt"/>
    <x v="25"/>
    <x v="116"/>
    <x v="116"/>
    <m/>
    <m/>
    <s v="Break 15 Night"/>
    <d v="1899-12-30T20:30:00"/>
    <d v="1899-12-30T20:45:00"/>
    <n v="0"/>
    <x v="1"/>
  </r>
  <r>
    <x v="0"/>
    <s v="Egypt"/>
    <x v="25"/>
    <x v="116"/>
    <x v="116"/>
    <m/>
    <m/>
    <s v="Break 30 Night"/>
    <d v="1899-12-30T23:00:00"/>
    <d v="1899-12-30T23:30:00"/>
    <n v="0"/>
    <x v="1"/>
  </r>
  <r>
    <x v="0"/>
    <s v="Egypt"/>
    <x v="25"/>
    <x v="116"/>
    <x v="116"/>
    <d v="2025-06-17T00:00:00"/>
    <d v="1899-12-30T08:15:00"/>
    <s v="Non Telecom"/>
    <d v="1899-12-30T17:15:00"/>
    <s v="+1:30 AM"/>
    <n v="29700"/>
    <x v="0"/>
  </r>
  <r>
    <x v="0"/>
    <s v="Egypt"/>
    <x v="25"/>
    <x v="116"/>
    <x v="116"/>
    <m/>
    <m/>
    <s v="Break 15 Night"/>
    <d v="1899-12-30T20:00:00"/>
    <d v="1899-12-30T20:15:00"/>
    <n v="0"/>
    <x v="1"/>
  </r>
  <r>
    <x v="0"/>
    <s v="Egypt"/>
    <x v="25"/>
    <x v="116"/>
    <x v="116"/>
    <m/>
    <m/>
    <s v="Break 30 Night"/>
    <d v="1899-12-30T23:00:00"/>
    <d v="1899-12-30T23:30:00"/>
    <n v="0"/>
    <x v="1"/>
  </r>
  <r>
    <x v="0"/>
    <s v="Egypt"/>
    <x v="25"/>
    <x v="116"/>
    <x v="116"/>
    <d v="2025-06-18T00:00:00"/>
    <d v="1899-12-30T08:15:00"/>
    <s v="Non Telecom"/>
    <d v="1899-12-30T17:15:00"/>
    <s v="+1:30 AM"/>
    <n v="29700"/>
    <x v="0"/>
  </r>
  <r>
    <x v="0"/>
    <s v="Egypt"/>
    <x v="25"/>
    <x v="116"/>
    <x v="116"/>
    <m/>
    <m/>
    <s v="Break 15 Night"/>
    <d v="1899-12-30T20:00:00"/>
    <d v="1899-12-30T20:15:00"/>
    <n v="0"/>
    <x v="1"/>
  </r>
  <r>
    <x v="0"/>
    <s v="Egypt"/>
    <x v="25"/>
    <x v="116"/>
    <x v="116"/>
    <m/>
    <m/>
    <s v="Break 30 Night"/>
    <d v="1899-12-30T23:15:00"/>
    <d v="1899-12-30T23:45:00"/>
    <n v="0"/>
    <x v="1"/>
  </r>
  <r>
    <x v="0"/>
    <s v="Egypt"/>
    <x v="25"/>
    <x v="116"/>
    <x v="116"/>
    <d v="2025-06-19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30:00"/>
    <d v="1899-12-30T18:45:00"/>
    <n v="0"/>
    <x v="1"/>
  </r>
  <r>
    <x v="0"/>
    <s v="Egypt"/>
    <x v="25"/>
    <x v="116"/>
    <x v="116"/>
    <m/>
    <m/>
    <s v="Break 30 Night"/>
    <d v="1899-12-30T21:15:00"/>
    <d v="1899-12-30T21:45:00"/>
    <n v="0"/>
    <x v="1"/>
  </r>
  <r>
    <x v="0"/>
    <s v="Egypt"/>
    <x v="25"/>
    <x v="116"/>
    <x v="116"/>
    <d v="2025-06-20T00:00:00"/>
    <m/>
    <s v="Day Off"/>
    <m/>
    <m/>
    <n v="0"/>
    <x v="1"/>
  </r>
  <r>
    <x v="0"/>
    <s v="Egypt"/>
    <x v="25"/>
    <x v="116"/>
    <x v="116"/>
    <d v="2025-06-21T00:00:00"/>
    <m/>
    <s v="Day Off"/>
    <m/>
    <m/>
    <n v="0"/>
    <x v="1"/>
  </r>
  <r>
    <x v="0"/>
    <s v="Egypt"/>
    <x v="25"/>
    <x v="116"/>
    <x v="116"/>
    <d v="2025-06-22T00:00:00"/>
    <d v="1899-12-30T08:15:00"/>
    <s v="Annual Exception"/>
    <m/>
    <m/>
    <n v="29700"/>
    <x v="1"/>
  </r>
  <r>
    <x v="0"/>
    <s v="Egypt"/>
    <x v="25"/>
    <x v="116"/>
    <x v="116"/>
    <d v="2025-06-23T00:00:00"/>
    <d v="1899-12-30T08:15:00"/>
    <s v="Annual Exception"/>
    <m/>
    <m/>
    <n v="29700"/>
    <x v="1"/>
  </r>
  <r>
    <x v="0"/>
    <s v="Egypt"/>
    <x v="25"/>
    <x v="116"/>
    <x v="116"/>
    <d v="2025-06-24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45:00"/>
    <d v="1899-12-30T19:00:00"/>
    <n v="0"/>
    <x v="1"/>
  </r>
  <r>
    <x v="0"/>
    <s v="Egypt"/>
    <x v="25"/>
    <x v="116"/>
    <x v="116"/>
    <m/>
    <m/>
    <s v="Break 30 Night"/>
    <d v="1899-12-30T21:15:00"/>
    <d v="1899-12-30T21:45:00"/>
    <n v="0"/>
    <x v="1"/>
  </r>
  <r>
    <x v="0"/>
    <s v="Egypt"/>
    <x v="25"/>
    <x v="116"/>
    <x v="116"/>
    <d v="2025-06-25T00:00:00"/>
    <m/>
    <s v="Day Off"/>
    <m/>
    <m/>
    <n v="0"/>
    <x v="1"/>
  </r>
  <r>
    <x v="0"/>
    <s v="Egypt"/>
    <x v="25"/>
    <x v="116"/>
    <x v="116"/>
    <d v="2025-06-26T00:00:00"/>
    <m/>
    <s v="Day Off"/>
    <m/>
    <m/>
    <n v="0"/>
    <x v="1"/>
  </r>
  <r>
    <x v="0"/>
    <s v="Egypt"/>
    <x v="25"/>
    <x v="116"/>
    <x v="116"/>
    <d v="2025-06-27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15:00"/>
    <d v="1899-12-30T18:30:00"/>
    <n v="0"/>
    <x v="1"/>
  </r>
  <r>
    <x v="0"/>
    <s v="Egypt"/>
    <x v="25"/>
    <x v="116"/>
    <x v="116"/>
    <m/>
    <m/>
    <s v="Break 30 Night"/>
    <d v="1899-12-30T21:15:00"/>
    <d v="1899-12-30T21:45:00"/>
    <n v="0"/>
    <x v="1"/>
  </r>
  <r>
    <x v="0"/>
    <s v="Egypt"/>
    <x v="25"/>
    <x v="116"/>
    <x v="116"/>
    <d v="2025-06-28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00:00"/>
    <d v="1899-12-30T18:15:00"/>
    <n v="0"/>
    <x v="1"/>
  </r>
  <r>
    <x v="0"/>
    <s v="Egypt"/>
    <x v="25"/>
    <x v="116"/>
    <x v="116"/>
    <m/>
    <m/>
    <s v="Break 30 Night"/>
    <d v="1899-12-30T21:00:00"/>
    <d v="1899-12-30T21:30:00"/>
    <n v="0"/>
    <x v="1"/>
  </r>
  <r>
    <x v="0"/>
    <s v="Egypt"/>
    <x v="25"/>
    <x v="116"/>
    <x v="116"/>
    <d v="2025-06-29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00:00"/>
    <d v="1899-12-30T18:15:00"/>
    <n v="0"/>
    <x v="1"/>
  </r>
  <r>
    <x v="0"/>
    <s v="Egypt"/>
    <x v="25"/>
    <x v="116"/>
    <x v="116"/>
    <m/>
    <m/>
    <s v="Break 30 Night"/>
    <d v="1899-12-30T21:00:00"/>
    <d v="1899-12-30T21:30:00"/>
    <n v="0"/>
    <x v="1"/>
  </r>
  <r>
    <x v="0"/>
    <s v="Egypt"/>
    <x v="25"/>
    <x v="116"/>
    <x v="116"/>
    <d v="2025-06-30T00:00:00"/>
    <d v="1899-12-30T08:15:00"/>
    <s v="Non Telecom"/>
    <d v="1899-12-30T16:15:00"/>
    <s v="+12:30 AM"/>
    <n v="29700"/>
    <x v="0"/>
  </r>
  <r>
    <x v="0"/>
    <s v="Egypt"/>
    <x v="25"/>
    <x v="116"/>
    <x v="116"/>
    <m/>
    <m/>
    <s v="Break 15 Night"/>
    <d v="1899-12-30T18:45:00"/>
    <d v="1899-12-30T19:00:00"/>
    <n v="0"/>
    <x v="1"/>
  </r>
  <r>
    <x v="0"/>
    <s v="Egypt"/>
    <x v="25"/>
    <x v="116"/>
    <x v="116"/>
    <m/>
    <m/>
    <s v="Break 30 Night"/>
    <d v="1899-12-30T21:30:00"/>
    <d v="1899-12-30T22:00:00"/>
    <n v="0"/>
    <x v="1"/>
  </r>
  <r>
    <x v="0"/>
    <s v="Egypt"/>
    <x v="25"/>
    <x v="117"/>
    <x v="117"/>
    <d v="2025-06-01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1:15:00"/>
    <d v="1899-12-30T21:30:00"/>
    <n v="0"/>
    <x v="1"/>
  </r>
  <r>
    <x v="0"/>
    <s v="Egypt"/>
    <x v="25"/>
    <x v="117"/>
    <x v="117"/>
    <m/>
    <m/>
    <s v="Break 30 Night"/>
    <s v="+12:45 AM"/>
    <s v="+1:15 AM"/>
    <n v="0"/>
    <x v="1"/>
  </r>
  <r>
    <x v="0"/>
    <s v="Egypt"/>
    <x v="25"/>
    <x v="117"/>
    <x v="117"/>
    <d v="2025-06-02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0:45:00"/>
    <d v="1899-12-30T21:00:00"/>
    <n v="0"/>
    <x v="1"/>
  </r>
  <r>
    <x v="0"/>
    <s v="Egypt"/>
    <x v="25"/>
    <x v="117"/>
    <x v="117"/>
    <m/>
    <m/>
    <s v="Break 30 Night"/>
    <s v="+12:15 AM"/>
    <s v="+12:45 AM"/>
    <n v="0"/>
    <x v="1"/>
  </r>
  <r>
    <x v="0"/>
    <s v="Egypt"/>
    <x v="25"/>
    <x v="117"/>
    <x v="117"/>
    <d v="2025-06-03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1:45:00"/>
    <d v="1899-12-30T22:00:00"/>
    <n v="0"/>
    <x v="1"/>
  </r>
  <r>
    <x v="0"/>
    <s v="Egypt"/>
    <x v="25"/>
    <x v="117"/>
    <x v="117"/>
    <m/>
    <m/>
    <s v="Break 30 Night"/>
    <s v="+12:45 AM"/>
    <s v="+1:15 AM"/>
    <n v="0"/>
    <x v="1"/>
  </r>
  <r>
    <x v="0"/>
    <s v="Egypt"/>
    <x v="25"/>
    <x v="117"/>
    <x v="117"/>
    <d v="2025-06-04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1:30:00"/>
    <d v="1899-12-30T21:45:00"/>
    <n v="0"/>
    <x v="1"/>
  </r>
  <r>
    <x v="0"/>
    <s v="Egypt"/>
    <x v="25"/>
    <x v="117"/>
    <x v="117"/>
    <m/>
    <m/>
    <s v="Break 30 Night"/>
    <s v="+12:30 AM"/>
    <s v="+1:00 AM"/>
    <n v="0"/>
    <x v="1"/>
  </r>
  <r>
    <x v="0"/>
    <s v="Egypt"/>
    <x v="25"/>
    <x v="117"/>
    <x v="117"/>
    <d v="2025-06-05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2:00:00"/>
    <d v="1899-12-30T22:15:00"/>
    <n v="0"/>
    <x v="1"/>
  </r>
  <r>
    <x v="0"/>
    <s v="Egypt"/>
    <x v="25"/>
    <x v="117"/>
    <x v="117"/>
    <m/>
    <m/>
    <s v="Break 30 Night"/>
    <s v="+1:15 AM"/>
    <s v="+1:45 AM"/>
    <n v="0"/>
    <x v="1"/>
  </r>
  <r>
    <x v="0"/>
    <s v="Egypt"/>
    <x v="25"/>
    <x v="117"/>
    <x v="117"/>
    <d v="2025-06-06T00:00:00"/>
    <m/>
    <s v="Day Off"/>
    <m/>
    <m/>
    <n v="0"/>
    <x v="1"/>
  </r>
  <r>
    <x v="0"/>
    <s v="Egypt"/>
    <x v="25"/>
    <x v="117"/>
    <x v="117"/>
    <d v="2025-06-07T00:00:00"/>
    <m/>
    <s v="Day Off"/>
    <m/>
    <m/>
    <n v="0"/>
    <x v="1"/>
  </r>
  <r>
    <x v="0"/>
    <s v="Egypt"/>
    <x v="25"/>
    <x v="117"/>
    <x v="117"/>
    <d v="2025-06-08T00:00:00"/>
    <d v="1899-12-30T08:15:00"/>
    <s v="Non Telecom"/>
    <d v="1899-12-30T13:00:00"/>
    <d v="1899-12-30T21:15:00"/>
    <n v="29700"/>
    <x v="0"/>
  </r>
  <r>
    <x v="0"/>
    <s v="Egypt"/>
    <x v="25"/>
    <x v="117"/>
    <x v="117"/>
    <m/>
    <m/>
    <s v="Break 15 Morning"/>
    <d v="1899-12-30T14:45:00"/>
    <d v="1899-12-30T15:00:00"/>
    <n v="0"/>
    <x v="1"/>
  </r>
  <r>
    <x v="0"/>
    <s v="Egypt"/>
    <x v="25"/>
    <x v="117"/>
    <x v="117"/>
    <m/>
    <m/>
    <s v="Break 30 Morning"/>
    <d v="1899-12-30T17:45:00"/>
    <d v="1899-12-30T18:15:00"/>
    <n v="0"/>
    <x v="1"/>
  </r>
  <r>
    <x v="0"/>
    <s v="Egypt"/>
    <x v="25"/>
    <x v="117"/>
    <x v="117"/>
    <d v="2025-06-09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7:15:00"/>
    <d v="1899-12-30T17:30:00"/>
    <n v="0"/>
    <x v="1"/>
  </r>
  <r>
    <x v="0"/>
    <s v="Egypt"/>
    <x v="25"/>
    <x v="117"/>
    <x v="117"/>
    <m/>
    <m/>
    <s v="Break 30 Night"/>
    <d v="1899-12-30T20:30:00"/>
    <d v="1899-12-30T21:00:00"/>
    <n v="0"/>
    <x v="1"/>
  </r>
  <r>
    <x v="0"/>
    <s v="Egypt"/>
    <x v="25"/>
    <x v="117"/>
    <x v="117"/>
    <d v="2025-06-10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7:15:00"/>
    <d v="1899-12-30T17:30:00"/>
    <n v="0"/>
    <x v="1"/>
  </r>
  <r>
    <x v="0"/>
    <s v="Egypt"/>
    <x v="25"/>
    <x v="117"/>
    <x v="117"/>
    <m/>
    <m/>
    <s v="Break 30 Night"/>
    <d v="1899-12-30T20:30:00"/>
    <d v="1899-12-30T21:00:00"/>
    <n v="0"/>
    <x v="1"/>
  </r>
  <r>
    <x v="0"/>
    <s v="Egypt"/>
    <x v="25"/>
    <x v="117"/>
    <x v="117"/>
    <d v="2025-06-11T00:00:00"/>
    <d v="1899-12-30T08:15:00"/>
    <s v="Non Telecom"/>
    <d v="1899-12-30T19:15:00"/>
    <s v="+3:30 AM"/>
    <n v="29700"/>
    <x v="0"/>
  </r>
  <r>
    <x v="0"/>
    <s v="Egypt"/>
    <x v="25"/>
    <x v="117"/>
    <x v="117"/>
    <m/>
    <m/>
    <s v="Break 15 Night"/>
    <d v="1899-12-30T22:00:00"/>
    <d v="1899-12-30T22:15:00"/>
    <n v="0"/>
    <x v="1"/>
  </r>
  <r>
    <x v="0"/>
    <s v="Egypt"/>
    <x v="25"/>
    <x v="117"/>
    <x v="117"/>
    <m/>
    <m/>
    <s v="Break 30 Night"/>
    <s v="+1:00 AM"/>
    <s v="+1:30 AM"/>
    <n v="0"/>
    <x v="1"/>
  </r>
  <r>
    <x v="0"/>
    <s v="Egypt"/>
    <x v="25"/>
    <x v="117"/>
    <x v="117"/>
    <d v="2025-06-12T00:00:00"/>
    <m/>
    <s v="Day Off"/>
    <m/>
    <m/>
    <n v="0"/>
    <x v="1"/>
  </r>
  <r>
    <x v="0"/>
    <s v="Egypt"/>
    <x v="25"/>
    <x v="117"/>
    <x v="117"/>
    <d v="2025-06-13T00:00:00"/>
    <m/>
    <s v="Day Off"/>
    <m/>
    <m/>
    <n v="0"/>
    <x v="1"/>
  </r>
  <r>
    <x v="0"/>
    <s v="Egypt"/>
    <x v="25"/>
    <x v="117"/>
    <x v="117"/>
    <d v="2025-06-14T00:00:00"/>
    <d v="1899-12-30T08:15:00"/>
    <s v="Non Telecom"/>
    <d v="1899-12-30T17:15:00"/>
    <s v="+1:30 AM"/>
    <n v="29700"/>
    <x v="0"/>
  </r>
  <r>
    <x v="0"/>
    <s v="Egypt"/>
    <x v="25"/>
    <x v="117"/>
    <x v="117"/>
    <m/>
    <m/>
    <s v="Break 15 Night"/>
    <d v="1899-12-30T19:30:00"/>
    <d v="1899-12-30T19:45:00"/>
    <n v="0"/>
    <x v="1"/>
  </r>
  <r>
    <x v="0"/>
    <s v="Egypt"/>
    <x v="25"/>
    <x v="117"/>
    <x v="117"/>
    <m/>
    <m/>
    <s v="Break 30 Night"/>
    <d v="1899-12-30T22:30:00"/>
    <d v="1899-12-30T23:00:00"/>
    <n v="0"/>
    <x v="1"/>
  </r>
  <r>
    <x v="0"/>
    <s v="Egypt"/>
    <x v="25"/>
    <x v="117"/>
    <x v="117"/>
    <d v="2025-06-15T00:00:00"/>
    <d v="1899-12-30T08:15:00"/>
    <s v="Annual Exception"/>
    <m/>
    <m/>
    <n v="29700"/>
    <x v="1"/>
  </r>
  <r>
    <x v="0"/>
    <s v="Egypt"/>
    <x v="25"/>
    <x v="117"/>
    <x v="117"/>
    <d v="2025-06-16T00:00:00"/>
    <d v="1899-12-30T08:15:00"/>
    <s v="Annual Exception"/>
    <m/>
    <m/>
    <n v="29700"/>
    <x v="1"/>
  </r>
  <r>
    <x v="0"/>
    <s v="Egypt"/>
    <x v="25"/>
    <x v="117"/>
    <x v="117"/>
    <d v="2025-06-17T00:00:00"/>
    <d v="1899-12-30T08:15:00"/>
    <s v="Non Telecom"/>
    <d v="1899-12-30T17:15:00"/>
    <s v="+1:30 AM"/>
    <n v="29700"/>
    <x v="0"/>
  </r>
  <r>
    <x v="0"/>
    <s v="Egypt"/>
    <x v="25"/>
    <x v="117"/>
    <x v="117"/>
    <m/>
    <m/>
    <s v="Break 15 Night"/>
    <d v="1899-12-30T20:15:00"/>
    <d v="1899-12-30T20:30:00"/>
    <n v="0"/>
    <x v="1"/>
  </r>
  <r>
    <x v="0"/>
    <s v="Egypt"/>
    <x v="25"/>
    <x v="117"/>
    <x v="117"/>
    <m/>
    <m/>
    <s v="Break 30 Night"/>
    <d v="1899-12-30T23:00:00"/>
    <d v="1899-12-30T23:30:00"/>
    <n v="0"/>
    <x v="1"/>
  </r>
  <r>
    <x v="0"/>
    <s v="Egypt"/>
    <x v="25"/>
    <x v="117"/>
    <x v="117"/>
    <d v="2025-06-18T00:00:00"/>
    <m/>
    <s v="Day Off"/>
    <m/>
    <m/>
    <n v="0"/>
    <x v="1"/>
  </r>
  <r>
    <x v="0"/>
    <s v="Egypt"/>
    <x v="25"/>
    <x v="117"/>
    <x v="117"/>
    <d v="2025-06-19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8:15:00"/>
    <d v="1899-12-30T18:30:00"/>
    <n v="0"/>
    <x v="1"/>
  </r>
  <r>
    <x v="0"/>
    <s v="Egypt"/>
    <x v="25"/>
    <x v="117"/>
    <x v="117"/>
    <m/>
    <m/>
    <s v="Break 30 Night"/>
    <d v="1899-12-30T21:00:00"/>
    <d v="1899-12-30T21:30:00"/>
    <n v="0"/>
    <x v="1"/>
  </r>
  <r>
    <x v="0"/>
    <s v="Egypt"/>
    <x v="25"/>
    <x v="117"/>
    <x v="117"/>
    <d v="2025-06-20T00:00:00"/>
    <m/>
    <s v="Day Off"/>
    <m/>
    <m/>
    <n v="0"/>
    <x v="1"/>
  </r>
  <r>
    <x v="0"/>
    <s v="Egypt"/>
    <x v="25"/>
    <x v="117"/>
    <x v="117"/>
    <d v="2025-06-21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8:30:00"/>
    <d v="1899-12-30T18:45:00"/>
    <n v="0"/>
    <x v="1"/>
  </r>
  <r>
    <x v="0"/>
    <s v="Egypt"/>
    <x v="25"/>
    <x v="117"/>
    <x v="117"/>
    <m/>
    <m/>
    <s v="Break 30 Night"/>
    <d v="1899-12-30T21:30:00"/>
    <d v="1899-12-30T22:00:00"/>
    <n v="0"/>
    <x v="1"/>
  </r>
  <r>
    <x v="0"/>
    <s v="Egypt"/>
    <x v="25"/>
    <x v="117"/>
    <x v="117"/>
    <d v="2025-06-22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9:30:00"/>
    <d v="1899-12-30T19:45:00"/>
    <n v="0"/>
    <x v="1"/>
  </r>
  <r>
    <x v="0"/>
    <s v="Egypt"/>
    <x v="25"/>
    <x v="117"/>
    <x v="117"/>
    <m/>
    <m/>
    <s v="Break 30 Night"/>
    <d v="1899-12-30T21:45:00"/>
    <d v="1899-12-30T22:15:00"/>
    <n v="0"/>
    <x v="1"/>
  </r>
  <r>
    <x v="0"/>
    <s v="Egypt"/>
    <x v="25"/>
    <x v="117"/>
    <x v="117"/>
    <d v="2025-06-23T00:00:00"/>
    <d v="1899-12-30T08:15:00"/>
    <s v="Annual Exception"/>
    <m/>
    <m/>
    <n v="29700"/>
    <x v="1"/>
  </r>
  <r>
    <x v="0"/>
    <s v="Egypt"/>
    <x v="25"/>
    <x v="117"/>
    <x v="117"/>
    <d v="2025-06-24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9:00:00"/>
    <d v="1899-12-30T19:15:00"/>
    <n v="0"/>
    <x v="1"/>
  </r>
  <r>
    <x v="0"/>
    <s v="Egypt"/>
    <x v="25"/>
    <x v="117"/>
    <x v="117"/>
    <m/>
    <m/>
    <s v="Break 30 Night"/>
    <d v="1899-12-30T21:15:00"/>
    <d v="1899-12-30T21:45:00"/>
    <n v="0"/>
    <x v="1"/>
  </r>
  <r>
    <x v="0"/>
    <s v="Egypt"/>
    <x v="25"/>
    <x v="117"/>
    <x v="117"/>
    <d v="2025-06-25T00:00:00"/>
    <m/>
    <s v="Day Off"/>
    <m/>
    <m/>
    <n v="0"/>
    <x v="1"/>
  </r>
  <r>
    <x v="0"/>
    <s v="Egypt"/>
    <x v="25"/>
    <x v="117"/>
    <x v="117"/>
    <d v="2025-06-26T00:00:00"/>
    <m/>
    <s v="Day Off"/>
    <m/>
    <m/>
    <n v="0"/>
    <x v="1"/>
  </r>
  <r>
    <x v="0"/>
    <s v="Egypt"/>
    <x v="25"/>
    <x v="117"/>
    <x v="117"/>
    <d v="2025-06-27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7:30:00"/>
    <d v="1899-12-30T17:45:00"/>
    <n v="0"/>
    <x v="1"/>
  </r>
  <r>
    <x v="0"/>
    <s v="Egypt"/>
    <x v="25"/>
    <x v="117"/>
    <x v="117"/>
    <m/>
    <m/>
    <s v="Break 30 Night"/>
    <d v="1899-12-30T20:45:00"/>
    <d v="1899-12-30T21:15:00"/>
    <n v="0"/>
    <x v="1"/>
  </r>
  <r>
    <x v="0"/>
    <s v="Egypt"/>
    <x v="25"/>
    <x v="117"/>
    <x v="117"/>
    <d v="2025-06-28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8:15:00"/>
    <d v="1899-12-30T18:30:00"/>
    <n v="0"/>
    <x v="1"/>
  </r>
  <r>
    <x v="0"/>
    <s v="Egypt"/>
    <x v="25"/>
    <x v="117"/>
    <x v="117"/>
    <m/>
    <m/>
    <s v="Break 30 Night"/>
    <d v="1899-12-30T21:30:00"/>
    <d v="1899-12-30T22:00:00"/>
    <n v="0"/>
    <x v="1"/>
  </r>
  <r>
    <x v="0"/>
    <s v="Egypt"/>
    <x v="25"/>
    <x v="117"/>
    <x v="117"/>
    <d v="2025-06-29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8:15:00"/>
    <d v="1899-12-30T18:30:00"/>
    <n v="0"/>
    <x v="1"/>
  </r>
  <r>
    <x v="0"/>
    <s v="Egypt"/>
    <x v="25"/>
    <x v="117"/>
    <x v="117"/>
    <m/>
    <m/>
    <s v="Break 30 Night"/>
    <d v="1899-12-30T21:00:00"/>
    <d v="1899-12-30T21:30:00"/>
    <n v="0"/>
    <x v="1"/>
  </r>
  <r>
    <x v="0"/>
    <s v="Egypt"/>
    <x v="25"/>
    <x v="117"/>
    <x v="117"/>
    <d v="2025-06-30T00:00:00"/>
    <d v="1899-12-30T08:15:00"/>
    <s v="Non Telecom"/>
    <d v="1899-12-30T16:15:00"/>
    <s v="+12:30 AM"/>
    <n v="29700"/>
    <x v="0"/>
  </r>
  <r>
    <x v="0"/>
    <s v="Egypt"/>
    <x v="25"/>
    <x v="117"/>
    <x v="117"/>
    <m/>
    <m/>
    <s v="Break 15 Night"/>
    <d v="1899-12-30T18:45:00"/>
    <d v="1899-12-30T19:00:00"/>
    <n v="0"/>
    <x v="1"/>
  </r>
  <r>
    <x v="0"/>
    <s v="Egypt"/>
    <x v="25"/>
    <x v="117"/>
    <x v="117"/>
    <m/>
    <m/>
    <s v="Break 30 Night"/>
    <d v="1899-12-30T22:00:00"/>
    <d v="1899-12-30T22:30:00"/>
    <n v="0"/>
    <x v="1"/>
  </r>
  <r>
    <x v="0"/>
    <s v="Egypt"/>
    <x v="25"/>
    <x v="118"/>
    <x v="118"/>
    <d v="2025-06-01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1:30:00"/>
    <d v="1899-12-30T21:45:00"/>
    <n v="0"/>
    <x v="1"/>
  </r>
  <r>
    <x v="0"/>
    <s v="Egypt"/>
    <x v="25"/>
    <x v="118"/>
    <x v="118"/>
    <m/>
    <m/>
    <s v="Break 30 Night"/>
    <s v="+12:45 AM"/>
    <s v="+1:15 AM"/>
    <n v="0"/>
    <x v="1"/>
  </r>
  <r>
    <x v="0"/>
    <s v="Egypt"/>
    <x v="25"/>
    <x v="118"/>
    <x v="118"/>
    <d v="2025-06-02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1:00:00"/>
    <d v="1899-12-30T21:15:00"/>
    <n v="0"/>
    <x v="1"/>
  </r>
  <r>
    <x v="0"/>
    <s v="Egypt"/>
    <x v="25"/>
    <x v="118"/>
    <x v="118"/>
    <m/>
    <m/>
    <s v="Break 30 Night"/>
    <s v="+12:45 AM"/>
    <s v="+1:15 AM"/>
    <n v="0"/>
    <x v="1"/>
  </r>
  <r>
    <x v="0"/>
    <s v="Egypt"/>
    <x v="25"/>
    <x v="118"/>
    <x v="118"/>
    <d v="2025-06-03T00:00:00"/>
    <d v="1899-12-30T08:15:00"/>
    <s v="No show"/>
    <d v="1899-12-30T19:15:00"/>
    <s v="+3:30 AM"/>
    <n v="29700"/>
    <x v="1"/>
  </r>
  <r>
    <x v="0"/>
    <s v="Egypt"/>
    <x v="25"/>
    <x v="118"/>
    <x v="118"/>
    <d v="2025-06-04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1:45:00"/>
    <d v="1899-12-30T22:00:00"/>
    <n v="0"/>
    <x v="1"/>
  </r>
  <r>
    <x v="0"/>
    <s v="Egypt"/>
    <x v="25"/>
    <x v="118"/>
    <x v="118"/>
    <m/>
    <m/>
    <s v="Break 30 Night"/>
    <s v="+1:00 AM"/>
    <s v="+1:30 AM"/>
    <n v="0"/>
    <x v="1"/>
  </r>
  <r>
    <x v="0"/>
    <s v="Egypt"/>
    <x v="25"/>
    <x v="118"/>
    <x v="118"/>
    <d v="2025-06-05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15:00"/>
    <d v="1899-12-30T22:30:00"/>
    <n v="0"/>
    <x v="1"/>
  </r>
  <r>
    <x v="0"/>
    <s v="Egypt"/>
    <x v="25"/>
    <x v="118"/>
    <x v="118"/>
    <m/>
    <m/>
    <s v="Break 30 Night"/>
    <s v="+1:45 AM"/>
    <s v="+2:15 AM"/>
    <n v="0"/>
    <x v="1"/>
  </r>
  <r>
    <x v="0"/>
    <s v="Egypt"/>
    <x v="25"/>
    <x v="118"/>
    <x v="118"/>
    <d v="2025-06-06T00:00:00"/>
    <m/>
    <s v="Day Off"/>
    <m/>
    <m/>
    <n v="0"/>
    <x v="1"/>
  </r>
  <r>
    <x v="0"/>
    <s v="Egypt"/>
    <x v="25"/>
    <x v="118"/>
    <x v="118"/>
    <d v="2025-06-07T00:00:00"/>
    <m/>
    <s v="Day Off"/>
    <m/>
    <m/>
    <n v="0"/>
    <x v="1"/>
  </r>
  <r>
    <x v="0"/>
    <s v="Egypt"/>
    <x v="25"/>
    <x v="118"/>
    <x v="118"/>
    <d v="2025-06-08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0:45:00"/>
    <d v="1899-12-30T21:00:00"/>
    <n v="0"/>
    <x v="1"/>
  </r>
  <r>
    <x v="0"/>
    <s v="Egypt"/>
    <x v="25"/>
    <x v="118"/>
    <x v="118"/>
    <m/>
    <m/>
    <s v="Break 30 Night"/>
    <d v="1899-12-30T23:45:00"/>
    <s v="+12:15 AM"/>
    <n v="0"/>
    <x v="1"/>
  </r>
  <r>
    <x v="0"/>
    <s v="Egypt"/>
    <x v="25"/>
    <x v="118"/>
    <x v="118"/>
    <d v="2025-06-09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0:45:00"/>
    <d v="1899-12-30T21:00:00"/>
    <n v="0"/>
    <x v="1"/>
  </r>
  <r>
    <x v="0"/>
    <s v="Egypt"/>
    <x v="25"/>
    <x v="118"/>
    <x v="118"/>
    <m/>
    <m/>
    <s v="Break 30 Night"/>
    <s v="+12:00 AM"/>
    <s v="+12:30 AM"/>
    <n v="0"/>
    <x v="1"/>
  </r>
  <r>
    <x v="0"/>
    <s v="Egypt"/>
    <x v="25"/>
    <x v="118"/>
    <x v="118"/>
    <d v="2025-06-10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1:15:00"/>
    <d v="1899-12-30T21:30:00"/>
    <n v="0"/>
    <x v="1"/>
  </r>
  <r>
    <x v="0"/>
    <s v="Egypt"/>
    <x v="25"/>
    <x v="118"/>
    <x v="118"/>
    <m/>
    <m/>
    <s v="Break 30 Night"/>
    <s v="+12:30 AM"/>
    <s v="+1:00 AM"/>
    <n v="0"/>
    <x v="1"/>
  </r>
  <r>
    <x v="0"/>
    <s v="Egypt"/>
    <x v="25"/>
    <x v="118"/>
    <x v="118"/>
    <d v="2025-06-11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1:00:00"/>
    <d v="1899-12-30T21:15:00"/>
    <n v="0"/>
    <x v="1"/>
  </r>
  <r>
    <x v="0"/>
    <s v="Egypt"/>
    <x v="25"/>
    <x v="118"/>
    <x v="118"/>
    <m/>
    <m/>
    <s v="Break 30 Night"/>
    <s v="+12:00 AM"/>
    <s v="+12:30 AM"/>
    <n v="0"/>
    <x v="1"/>
  </r>
  <r>
    <x v="0"/>
    <s v="Egypt"/>
    <x v="25"/>
    <x v="118"/>
    <x v="118"/>
    <d v="2025-06-12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15:00"/>
    <d v="1899-12-30T22:30:00"/>
    <n v="0"/>
    <x v="1"/>
  </r>
  <r>
    <x v="0"/>
    <s v="Egypt"/>
    <x v="25"/>
    <x v="118"/>
    <x v="118"/>
    <m/>
    <m/>
    <s v="Break 30 Night"/>
    <s v="+1:00 AM"/>
    <s v="+1:30 AM"/>
    <n v="0"/>
    <x v="1"/>
  </r>
  <r>
    <x v="0"/>
    <s v="Egypt"/>
    <x v="25"/>
    <x v="118"/>
    <x v="118"/>
    <d v="2025-06-13T00:00:00"/>
    <m/>
    <s v="Day Off"/>
    <m/>
    <m/>
    <n v="0"/>
    <x v="1"/>
  </r>
  <r>
    <x v="0"/>
    <s v="Egypt"/>
    <x v="25"/>
    <x v="118"/>
    <x v="118"/>
    <d v="2025-06-14T00:00:00"/>
    <m/>
    <s v="Day Off"/>
    <m/>
    <m/>
    <n v="0"/>
    <x v="1"/>
  </r>
  <r>
    <x v="0"/>
    <s v="Egypt"/>
    <x v="25"/>
    <x v="118"/>
    <x v="118"/>
    <d v="2025-06-15T00:00:00"/>
    <d v="1899-12-30T08:15:00"/>
    <s v="Non Telecom"/>
    <d v="1899-12-30T17:15:00"/>
    <s v="+1:30 AM"/>
    <n v="29700"/>
    <x v="0"/>
  </r>
  <r>
    <x v="0"/>
    <s v="Egypt"/>
    <x v="25"/>
    <x v="118"/>
    <x v="118"/>
    <m/>
    <m/>
    <s v="Break 15 Night"/>
    <d v="1899-12-30T20:45:00"/>
    <d v="1899-12-30T21:00:00"/>
    <n v="0"/>
    <x v="1"/>
  </r>
  <r>
    <x v="0"/>
    <s v="Egypt"/>
    <x v="25"/>
    <x v="118"/>
    <x v="118"/>
    <m/>
    <m/>
    <s v="Break 30 Night"/>
    <d v="1899-12-30T23:15:00"/>
    <d v="1899-12-30T23:45:00"/>
    <n v="0"/>
    <x v="1"/>
  </r>
  <r>
    <x v="0"/>
    <s v="Egypt"/>
    <x v="25"/>
    <x v="118"/>
    <x v="118"/>
    <d v="2025-06-16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15:00"/>
    <d v="1899-12-30T22:30:00"/>
    <n v="0"/>
    <x v="1"/>
  </r>
  <r>
    <x v="0"/>
    <s v="Egypt"/>
    <x v="25"/>
    <x v="118"/>
    <x v="118"/>
    <m/>
    <m/>
    <s v="Break 30 Night"/>
    <s v="+12:30 AM"/>
    <s v="+1:00 AM"/>
    <n v="0"/>
    <x v="1"/>
  </r>
  <r>
    <x v="0"/>
    <s v="Egypt"/>
    <x v="25"/>
    <x v="118"/>
    <x v="118"/>
    <d v="2025-06-17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00:00"/>
    <d v="1899-12-30T22:15:00"/>
    <n v="0"/>
    <x v="1"/>
  </r>
  <r>
    <x v="0"/>
    <s v="Egypt"/>
    <x v="25"/>
    <x v="118"/>
    <x v="118"/>
    <m/>
    <m/>
    <s v="Break 30 Night"/>
    <s v="+1:00 AM"/>
    <s v="+1:30 AM"/>
    <n v="0"/>
    <x v="1"/>
  </r>
  <r>
    <x v="0"/>
    <s v="Egypt"/>
    <x v="25"/>
    <x v="118"/>
    <x v="118"/>
    <d v="2025-06-18T00:00:00"/>
    <d v="1899-12-30T08:15:00"/>
    <s v="Non Telecom"/>
    <d v="1899-12-30T17:15:00"/>
    <s v="+1:30 AM"/>
    <n v="29700"/>
    <x v="0"/>
  </r>
  <r>
    <x v="0"/>
    <s v="Egypt"/>
    <x v="25"/>
    <x v="118"/>
    <x v="118"/>
    <m/>
    <m/>
    <s v="Break 15 Night"/>
    <d v="1899-12-30T20:15:00"/>
    <d v="1899-12-30T20:30:00"/>
    <n v="0"/>
    <x v="1"/>
  </r>
  <r>
    <x v="0"/>
    <s v="Egypt"/>
    <x v="25"/>
    <x v="118"/>
    <x v="118"/>
    <m/>
    <m/>
    <s v="Break 30 Night"/>
    <d v="1899-12-30T23:15:00"/>
    <d v="1899-12-30T23:45:00"/>
    <n v="0"/>
    <x v="1"/>
  </r>
  <r>
    <x v="0"/>
    <s v="Egypt"/>
    <x v="25"/>
    <x v="118"/>
    <x v="118"/>
    <d v="2025-06-19T00:00:00"/>
    <m/>
    <s v="Day Off"/>
    <m/>
    <m/>
    <n v="0"/>
    <x v="1"/>
  </r>
  <r>
    <x v="0"/>
    <s v="Egypt"/>
    <x v="25"/>
    <x v="118"/>
    <x v="118"/>
    <d v="2025-06-20T00:00:00"/>
    <m/>
    <s v="Day Off"/>
    <m/>
    <m/>
    <n v="0"/>
    <x v="1"/>
  </r>
  <r>
    <x v="0"/>
    <s v="Egypt"/>
    <x v="25"/>
    <x v="118"/>
    <x v="118"/>
    <d v="2025-06-21T00:00:00"/>
    <d v="1899-12-30T08:15:00"/>
    <s v="Non Telecom"/>
    <d v="1899-12-30T16:15:00"/>
    <s v="+12:30 AM"/>
    <n v="29700"/>
    <x v="0"/>
  </r>
  <r>
    <x v="0"/>
    <s v="Egypt"/>
    <x v="25"/>
    <x v="118"/>
    <x v="118"/>
    <m/>
    <m/>
    <s v="Break 15 Night"/>
    <d v="1899-12-30T18:30:00"/>
    <d v="1899-12-30T18:45:00"/>
    <n v="0"/>
    <x v="1"/>
  </r>
  <r>
    <x v="0"/>
    <s v="Egypt"/>
    <x v="25"/>
    <x v="118"/>
    <x v="118"/>
    <m/>
    <m/>
    <s v="Break 30 Night"/>
    <d v="1899-12-30T21:30:00"/>
    <d v="1899-12-30T22:00:00"/>
    <n v="0"/>
    <x v="1"/>
  </r>
  <r>
    <x v="0"/>
    <s v="Egypt"/>
    <x v="25"/>
    <x v="118"/>
    <x v="118"/>
    <d v="2025-06-22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00:00"/>
    <d v="1899-12-30T22:15:00"/>
    <n v="0"/>
    <x v="1"/>
  </r>
  <r>
    <x v="0"/>
    <s v="Egypt"/>
    <x v="25"/>
    <x v="118"/>
    <x v="118"/>
    <m/>
    <m/>
    <s v="Break 30 Night"/>
    <s v="+12:45 AM"/>
    <s v="+1:15 AM"/>
    <n v="0"/>
    <x v="1"/>
  </r>
  <r>
    <x v="0"/>
    <s v="Egypt"/>
    <x v="25"/>
    <x v="118"/>
    <x v="118"/>
    <d v="2025-06-23T00:00:00"/>
    <d v="1899-12-30T08:15:00"/>
    <s v="Non Telecom"/>
    <d v="1899-12-30T19:15:00"/>
    <s v="+3:30 AM"/>
    <n v="29700"/>
    <x v="0"/>
  </r>
  <r>
    <x v="0"/>
    <s v="Egypt"/>
    <x v="25"/>
    <x v="118"/>
    <x v="118"/>
    <m/>
    <m/>
    <s v="Break 15 Night"/>
    <d v="1899-12-30T22:00:00"/>
    <d v="1899-12-30T22:15:00"/>
    <n v="0"/>
    <x v="1"/>
  </r>
  <r>
    <x v="0"/>
    <s v="Egypt"/>
    <x v="25"/>
    <x v="118"/>
    <x v="118"/>
    <m/>
    <m/>
    <s v="Break 30 Night"/>
    <s v="+12:45 AM"/>
    <s v="+1:15 AM"/>
    <n v="0"/>
    <x v="1"/>
  </r>
  <r>
    <x v="0"/>
    <s v="Egypt"/>
    <x v="25"/>
    <x v="118"/>
    <x v="118"/>
    <d v="2025-06-24T00:00:00"/>
    <d v="1899-12-30T08:15:00"/>
    <s v="Non Telecom"/>
    <d v="1899-12-30T13:00:00"/>
    <d v="1899-12-30T21:15:00"/>
    <n v="29700"/>
    <x v="0"/>
  </r>
  <r>
    <x v="0"/>
    <s v="Egypt"/>
    <x v="25"/>
    <x v="118"/>
    <x v="118"/>
    <m/>
    <m/>
    <s v="Break 15 Morning"/>
    <d v="1899-12-30T15:45:00"/>
    <d v="1899-12-30T16:00:00"/>
    <n v="0"/>
    <x v="1"/>
  </r>
  <r>
    <x v="0"/>
    <s v="Egypt"/>
    <x v="25"/>
    <x v="118"/>
    <x v="118"/>
    <m/>
    <m/>
    <s v="Break 30 Morning"/>
    <d v="1899-12-30T18:45:00"/>
    <d v="1899-12-30T19:15:00"/>
    <n v="0"/>
    <x v="1"/>
  </r>
  <r>
    <x v="0"/>
    <s v="Egypt"/>
    <x v="25"/>
    <x v="118"/>
    <x v="118"/>
    <d v="2025-06-25T00:00:00"/>
    <m/>
    <s v="Day Off"/>
    <m/>
    <m/>
    <n v="0"/>
    <x v="1"/>
  </r>
  <r>
    <x v="0"/>
    <s v="Egypt"/>
    <x v="25"/>
    <x v="118"/>
    <x v="118"/>
    <d v="2025-06-26T00:00:00"/>
    <m/>
    <s v="Day Off"/>
    <m/>
    <m/>
    <n v="0"/>
    <x v="1"/>
  </r>
  <r>
    <x v="0"/>
    <s v="Egypt"/>
    <x v="25"/>
    <x v="118"/>
    <x v="118"/>
    <d v="2025-06-27T00:00:00"/>
    <d v="1899-12-30T08:15:00"/>
    <s v="Annual Exception"/>
    <m/>
    <m/>
    <n v="29700"/>
    <x v="1"/>
  </r>
  <r>
    <x v="0"/>
    <s v="Egypt"/>
    <x v="25"/>
    <x v="118"/>
    <x v="118"/>
    <d v="2025-06-28T00:00:00"/>
    <d v="1899-12-30T08:15:00"/>
    <s v="Non Telecom"/>
    <d v="1899-12-30T16:15:00"/>
    <s v="+12:30 AM"/>
    <n v="29700"/>
    <x v="0"/>
  </r>
  <r>
    <x v="0"/>
    <s v="Egypt"/>
    <x v="25"/>
    <x v="118"/>
    <x v="118"/>
    <m/>
    <m/>
    <s v="Break 15 Night"/>
    <d v="1899-12-30T18:45:00"/>
    <d v="1899-12-30T19:00:00"/>
    <n v="0"/>
    <x v="1"/>
  </r>
  <r>
    <x v="0"/>
    <s v="Egypt"/>
    <x v="25"/>
    <x v="118"/>
    <x v="118"/>
    <m/>
    <m/>
    <s v="Break 30 Night"/>
    <d v="1899-12-30T22:00:00"/>
    <d v="1899-12-30T22:30:00"/>
    <n v="0"/>
    <x v="1"/>
  </r>
  <r>
    <x v="0"/>
    <s v="Egypt"/>
    <x v="25"/>
    <x v="118"/>
    <x v="118"/>
    <d v="2025-06-29T00:00:00"/>
    <d v="1899-12-30T08:15:00"/>
    <s v="Non Telecom"/>
    <d v="1899-12-30T16:15:00"/>
    <s v="+12:30 AM"/>
    <n v="29700"/>
    <x v="0"/>
  </r>
  <r>
    <x v="0"/>
    <s v="Egypt"/>
    <x v="25"/>
    <x v="118"/>
    <x v="118"/>
    <m/>
    <m/>
    <s v="Break 15 Night"/>
    <d v="1899-12-30T18:30:00"/>
    <d v="1899-12-30T18:45:00"/>
    <n v="0"/>
    <x v="1"/>
  </r>
  <r>
    <x v="0"/>
    <s v="Egypt"/>
    <x v="25"/>
    <x v="118"/>
    <x v="118"/>
    <m/>
    <m/>
    <s v="Break 30 Night"/>
    <d v="1899-12-30T21:30:00"/>
    <d v="1899-12-30T22:00:00"/>
    <n v="0"/>
    <x v="1"/>
  </r>
  <r>
    <x v="0"/>
    <s v="Egypt"/>
    <x v="25"/>
    <x v="118"/>
    <x v="118"/>
    <d v="2025-06-30T00:00:00"/>
    <d v="1899-12-30T08:15:00"/>
    <s v="Non Telecom"/>
    <d v="1899-12-30T16:15:00"/>
    <s v="+12:30 AM"/>
    <n v="29700"/>
    <x v="0"/>
  </r>
  <r>
    <x v="0"/>
    <s v="Egypt"/>
    <x v="25"/>
    <x v="118"/>
    <x v="118"/>
    <m/>
    <m/>
    <s v="Break 15 Night"/>
    <d v="1899-12-30T19:00:00"/>
    <d v="1899-12-30T19:15:00"/>
    <n v="0"/>
    <x v="1"/>
  </r>
  <r>
    <x v="0"/>
    <s v="Egypt"/>
    <x v="25"/>
    <x v="118"/>
    <x v="118"/>
    <m/>
    <m/>
    <s v="Break 30 Night"/>
    <d v="1899-12-30T22:00:00"/>
    <d v="1899-12-30T22:30:00"/>
    <n v="0"/>
    <x v="1"/>
  </r>
  <r>
    <x v="0"/>
    <s v="Egypt"/>
    <x v="25"/>
    <x v="119"/>
    <x v="119"/>
    <d v="2025-06-01T00:00:00"/>
    <d v="1899-12-30T08:15:00"/>
    <s v="Non Telecom"/>
    <d v="1899-12-30T19:15:00"/>
    <s v="+3:30 AM"/>
    <n v="29700"/>
    <x v="0"/>
  </r>
  <r>
    <x v="0"/>
    <s v="Egypt"/>
    <x v="25"/>
    <x v="119"/>
    <x v="119"/>
    <m/>
    <m/>
    <s v="Break 15 Night"/>
    <d v="1899-12-30T21:30:00"/>
    <d v="1899-12-30T21:45:00"/>
    <n v="0"/>
    <x v="1"/>
  </r>
  <r>
    <x v="0"/>
    <s v="Egypt"/>
    <x v="25"/>
    <x v="119"/>
    <x v="119"/>
    <m/>
    <m/>
    <s v="Break 30 Night"/>
    <s v="+12:45 AM"/>
    <s v="+1:15 AM"/>
    <n v="0"/>
    <x v="1"/>
  </r>
  <r>
    <x v="0"/>
    <s v="Egypt"/>
    <x v="25"/>
    <x v="119"/>
    <x v="119"/>
    <d v="2025-06-02T00:00:00"/>
    <d v="1899-12-30T08:15:00"/>
    <s v="Non Telecom"/>
    <d v="1899-12-30T19:15:00"/>
    <s v="+3:30 AM"/>
    <n v="29700"/>
    <x v="0"/>
  </r>
  <r>
    <x v="0"/>
    <s v="Egypt"/>
    <x v="25"/>
    <x v="119"/>
    <x v="119"/>
    <m/>
    <m/>
    <s v="Break 15 Night"/>
    <d v="1899-12-30T21:15:00"/>
    <d v="1899-12-30T21:30:00"/>
    <n v="0"/>
    <x v="1"/>
  </r>
  <r>
    <x v="0"/>
    <s v="Egypt"/>
    <x v="25"/>
    <x v="119"/>
    <x v="119"/>
    <m/>
    <m/>
    <s v="Break 30 Night"/>
    <s v="+12:45 AM"/>
    <s v="+1:15 AM"/>
    <n v="0"/>
    <x v="1"/>
  </r>
  <r>
    <x v="0"/>
    <s v="Egypt"/>
    <x v="25"/>
    <x v="119"/>
    <x v="119"/>
    <d v="2025-06-03T00:00:00"/>
    <d v="1899-12-30T08:15:00"/>
    <s v="Planned Training"/>
    <m/>
    <m/>
    <n v="29700"/>
    <x v="1"/>
  </r>
  <r>
    <x v="0"/>
    <s v="Egypt"/>
    <x v="25"/>
    <x v="119"/>
    <x v="119"/>
    <d v="2025-06-04T00:00:00"/>
    <d v="1899-12-30T08:15:00"/>
    <s v="Planned Training"/>
    <m/>
    <m/>
    <n v="29700"/>
    <x v="1"/>
  </r>
  <r>
    <x v="0"/>
    <s v="Egypt"/>
    <x v="25"/>
    <x v="119"/>
    <x v="119"/>
    <d v="2025-06-05T00:00:00"/>
    <d v="1899-12-30T08:15:00"/>
    <s v="Planned Training"/>
    <m/>
    <m/>
    <n v="29700"/>
    <x v="1"/>
  </r>
  <r>
    <x v="0"/>
    <s v="Egypt"/>
    <x v="25"/>
    <x v="119"/>
    <x v="119"/>
    <d v="2025-06-06T00:00:00"/>
    <m/>
    <s v="Day Off"/>
    <m/>
    <m/>
    <n v="0"/>
    <x v="1"/>
  </r>
  <r>
    <x v="0"/>
    <s v="Egypt"/>
    <x v="25"/>
    <x v="119"/>
    <x v="119"/>
    <d v="2025-06-07T00:00:00"/>
    <m/>
    <s v="Day Off"/>
    <m/>
    <m/>
    <n v="0"/>
    <x v="1"/>
  </r>
  <r>
    <x v="0"/>
    <s v="Egypt"/>
    <x v="25"/>
    <x v="119"/>
    <x v="119"/>
    <d v="2025-06-08T00:00:00"/>
    <d v="1899-12-30T08:15:00"/>
    <s v="Planned Training"/>
    <m/>
    <m/>
    <n v="29700"/>
    <x v="1"/>
  </r>
  <r>
    <x v="0"/>
    <s v="Egypt"/>
    <x v="25"/>
    <x v="119"/>
    <x v="119"/>
    <d v="2025-06-09T00:00:00"/>
    <d v="1899-12-30T08:15:00"/>
    <s v="Planned Training"/>
    <m/>
    <m/>
    <n v="29700"/>
    <x v="1"/>
  </r>
  <r>
    <x v="0"/>
    <s v="Egypt"/>
    <x v="25"/>
    <x v="119"/>
    <x v="119"/>
    <d v="2025-06-10T00:00:00"/>
    <d v="1899-12-30T08:15:00"/>
    <s v="Planned Training"/>
    <m/>
    <m/>
    <n v="29700"/>
    <x v="1"/>
  </r>
  <r>
    <x v="0"/>
    <s v="Egypt"/>
    <x v="25"/>
    <x v="119"/>
    <x v="119"/>
    <d v="2025-06-11T00:00:00"/>
    <d v="1899-12-30T08:15:00"/>
    <s v="Planned Training"/>
    <m/>
    <m/>
    <n v="29700"/>
    <x v="1"/>
  </r>
  <r>
    <x v="0"/>
    <s v="Egypt"/>
    <x v="25"/>
    <x v="119"/>
    <x v="119"/>
    <d v="2025-06-12T00:00:00"/>
    <d v="1899-12-30T08:15:00"/>
    <s v="Planned Training"/>
    <m/>
    <m/>
    <n v="29700"/>
    <x v="1"/>
  </r>
  <r>
    <x v="0"/>
    <s v="Egypt"/>
    <x v="25"/>
    <x v="119"/>
    <x v="119"/>
    <d v="2025-06-13T00:00:00"/>
    <m/>
    <s v="Day Off"/>
    <m/>
    <m/>
    <n v="0"/>
    <x v="1"/>
  </r>
  <r>
    <x v="0"/>
    <s v="Egypt"/>
    <x v="25"/>
    <x v="119"/>
    <x v="119"/>
    <d v="2025-06-14T00:00:00"/>
    <m/>
    <s v="Day Off"/>
    <m/>
    <m/>
    <n v="0"/>
    <x v="1"/>
  </r>
  <r>
    <x v="0"/>
    <s v="Egypt"/>
    <x v="25"/>
    <x v="119"/>
    <x v="119"/>
    <d v="2025-06-15T00:00:00"/>
    <d v="1899-12-30T08:15:00"/>
    <s v="Non Telecom"/>
    <d v="1899-12-30T16:15:00"/>
    <s v="+12:30 AM"/>
    <n v="29700"/>
    <x v="0"/>
  </r>
  <r>
    <x v="0"/>
    <s v="Egypt"/>
    <x v="25"/>
    <x v="119"/>
    <x v="119"/>
    <m/>
    <m/>
    <s v="No Swap"/>
    <d v="1899-12-30T16:15:00"/>
    <d v="1899-12-30T16:30:00"/>
    <n v="0"/>
    <x v="1"/>
  </r>
  <r>
    <x v="0"/>
    <s v="Egypt"/>
    <x v="25"/>
    <x v="119"/>
    <x v="119"/>
    <m/>
    <m/>
    <s v="Break 15 Night"/>
    <d v="1899-12-30T19:15:00"/>
    <d v="1899-12-30T19:30:00"/>
    <n v="0"/>
    <x v="1"/>
  </r>
  <r>
    <x v="0"/>
    <s v="Egypt"/>
    <x v="25"/>
    <x v="119"/>
    <x v="119"/>
    <m/>
    <m/>
    <s v="Break 30 Night"/>
    <d v="1899-12-30T21:45:00"/>
    <d v="1899-12-30T22:15:00"/>
    <n v="0"/>
    <x v="1"/>
  </r>
  <r>
    <x v="0"/>
    <s v="Egypt"/>
    <x v="25"/>
    <x v="119"/>
    <x v="119"/>
    <d v="2025-06-16T00:00:00"/>
    <d v="1899-12-30T08:15:00"/>
    <s v="Non Telecom"/>
    <d v="1899-12-30T16:15:00"/>
    <s v="+12:30 AM"/>
    <n v="29700"/>
    <x v="0"/>
  </r>
  <r>
    <x v="0"/>
    <s v="Egypt"/>
    <x v="25"/>
    <x v="119"/>
    <x v="119"/>
    <m/>
    <m/>
    <s v="No Swap"/>
    <d v="1899-12-30T16:15:00"/>
    <d v="1899-12-30T16:30:00"/>
    <n v="0"/>
    <x v="1"/>
  </r>
  <r>
    <x v="0"/>
    <s v="Egypt"/>
    <x v="25"/>
    <x v="119"/>
    <x v="119"/>
    <m/>
    <m/>
    <s v="Break 15 Night"/>
    <d v="1899-12-30T19:15:00"/>
    <d v="1899-12-30T19:30:00"/>
    <n v="0"/>
    <x v="1"/>
  </r>
  <r>
    <x v="0"/>
    <s v="Egypt"/>
    <x v="25"/>
    <x v="119"/>
    <x v="119"/>
    <m/>
    <m/>
    <s v="Break 30 Night"/>
    <d v="1899-12-30T22:00:00"/>
    <d v="1899-12-30T22:30:00"/>
    <n v="0"/>
    <x v="1"/>
  </r>
  <r>
    <x v="0"/>
    <s v="Egypt"/>
    <x v="25"/>
    <x v="119"/>
    <x v="119"/>
    <d v="2025-06-17T00:00:00"/>
    <d v="1899-12-30T08:15:00"/>
    <s v="Non Telecom"/>
    <d v="1899-12-30T16:15:00"/>
    <s v="+12:30 AM"/>
    <n v="29700"/>
    <x v="0"/>
  </r>
  <r>
    <x v="0"/>
    <s v="Egypt"/>
    <x v="25"/>
    <x v="119"/>
    <x v="119"/>
    <m/>
    <m/>
    <s v="No Swap"/>
    <d v="1899-12-30T16:15:00"/>
    <d v="1899-12-30T16:30:00"/>
    <n v="0"/>
    <x v="1"/>
  </r>
  <r>
    <x v="0"/>
    <s v="Egypt"/>
    <x v="25"/>
    <x v="119"/>
    <x v="119"/>
    <m/>
    <m/>
    <s v="Break 15 Night"/>
    <d v="1899-12-30T19:00:00"/>
    <d v="1899-12-30T19:15:00"/>
    <n v="0"/>
    <x v="1"/>
  </r>
  <r>
    <x v="0"/>
    <s v="Egypt"/>
    <x v="25"/>
    <x v="119"/>
    <x v="119"/>
    <m/>
    <m/>
    <s v="Break 30 Night"/>
    <d v="1899-12-30T22:00:00"/>
    <d v="1899-12-30T22:30:00"/>
    <n v="0"/>
    <x v="1"/>
  </r>
  <r>
    <x v="0"/>
    <s v="Egypt"/>
    <x v="25"/>
    <x v="119"/>
    <x v="119"/>
    <d v="2025-06-18T00:00:00"/>
    <d v="1899-12-30T08:15:00"/>
    <s v="Non Telecom"/>
    <d v="1899-12-30T16:15:00"/>
    <s v="+12:30 AM"/>
    <n v="29700"/>
    <x v="0"/>
  </r>
  <r>
    <x v="0"/>
    <s v="Egypt"/>
    <x v="25"/>
    <x v="119"/>
    <x v="119"/>
    <m/>
    <m/>
    <s v="Break 15 Night"/>
    <d v="1899-12-30T17:15:00"/>
    <d v="1899-12-30T17:30:00"/>
    <n v="0"/>
    <x v="1"/>
  </r>
  <r>
    <x v="0"/>
    <s v="Egypt"/>
    <x v="25"/>
    <x v="119"/>
    <x v="119"/>
    <m/>
    <m/>
    <s v="Break 30 Night"/>
    <d v="1899-12-30T20:15:00"/>
    <d v="1899-12-30T20:45:00"/>
    <n v="0"/>
    <x v="1"/>
  </r>
  <r>
    <x v="0"/>
    <s v="Egypt"/>
    <x v="25"/>
    <x v="119"/>
    <x v="119"/>
    <d v="2025-06-19T00:00:00"/>
    <d v="1899-12-30T08:15:00"/>
    <s v="Non Telecom"/>
    <d v="1899-12-30T16:15:00"/>
    <s v="+12:30 AM"/>
    <n v="29700"/>
    <x v="0"/>
  </r>
  <r>
    <x v="0"/>
    <s v="Egypt"/>
    <x v="25"/>
    <x v="119"/>
    <x v="119"/>
    <m/>
    <m/>
    <s v="No Swap"/>
    <d v="1899-12-30T16:15:00"/>
    <d v="1899-12-30T16:30:00"/>
    <n v="0"/>
    <x v="1"/>
  </r>
  <r>
    <x v="0"/>
    <s v="Egypt"/>
    <x v="25"/>
    <x v="119"/>
    <x v="119"/>
    <m/>
    <m/>
    <s v="Break 15 Night"/>
    <d v="1899-12-30T19:00:00"/>
    <d v="1899-12-30T19:15:00"/>
    <n v="0"/>
    <x v="1"/>
  </r>
  <r>
    <x v="0"/>
    <s v="Egypt"/>
    <x v="25"/>
    <x v="119"/>
    <x v="119"/>
    <m/>
    <m/>
    <s v="Break 30 Night"/>
    <d v="1899-12-30T21:45:00"/>
    <d v="1899-12-30T22:15:00"/>
    <n v="0"/>
    <x v="1"/>
  </r>
  <r>
    <x v="0"/>
    <s v="Egypt"/>
    <x v="25"/>
    <x v="119"/>
    <x v="119"/>
    <d v="2025-06-20T00:00:00"/>
    <m/>
    <s v="Day Off"/>
    <m/>
    <m/>
    <n v="0"/>
    <x v="1"/>
  </r>
  <r>
    <x v="0"/>
    <s v="Egypt"/>
    <x v="25"/>
    <x v="119"/>
    <x v="119"/>
    <d v="2025-06-21T00:00:00"/>
    <m/>
    <s v="Day Off"/>
    <m/>
    <m/>
    <n v="0"/>
    <x v="1"/>
  </r>
  <r>
    <x v="0"/>
    <s v="Egypt"/>
    <x v="25"/>
    <x v="119"/>
    <x v="119"/>
    <d v="2025-06-22T00:00:00"/>
    <d v="1899-12-30T08:15:00"/>
    <s v="Non Telecom"/>
    <d v="1899-12-30T13:00:00"/>
    <d v="1899-12-30T21:15:00"/>
    <n v="29700"/>
    <x v="0"/>
  </r>
  <r>
    <x v="0"/>
    <s v="Egypt"/>
    <x v="25"/>
    <x v="119"/>
    <x v="119"/>
    <m/>
    <m/>
    <s v="No Swap"/>
    <d v="1899-12-30T13:30:00"/>
    <d v="1899-12-30T13:45:00"/>
    <n v="0"/>
    <x v="1"/>
  </r>
  <r>
    <x v="0"/>
    <s v="Egypt"/>
    <x v="25"/>
    <x v="119"/>
    <x v="119"/>
    <m/>
    <m/>
    <s v="Break 15 Morning"/>
    <d v="1899-12-30T15:30:00"/>
    <d v="1899-12-30T15:45:00"/>
    <n v="0"/>
    <x v="1"/>
  </r>
  <r>
    <x v="0"/>
    <s v="Egypt"/>
    <x v="25"/>
    <x v="119"/>
    <x v="119"/>
    <m/>
    <m/>
    <s v="Break 30 Morning"/>
    <d v="1899-12-30T18:15:00"/>
    <d v="1899-12-30T18:45:00"/>
    <n v="0"/>
    <x v="1"/>
  </r>
  <r>
    <x v="0"/>
    <s v="Egypt"/>
    <x v="25"/>
    <x v="119"/>
    <x v="119"/>
    <d v="2025-06-23T00:00:00"/>
    <d v="1899-12-30T08:15:00"/>
    <s v="Non Telecom"/>
    <d v="1899-12-30T13:00:00"/>
    <d v="1899-12-30T21:15:00"/>
    <n v="29700"/>
    <x v="0"/>
  </r>
  <r>
    <x v="0"/>
    <s v="Egypt"/>
    <x v="25"/>
    <x v="119"/>
    <x v="119"/>
    <m/>
    <m/>
    <s v="No Swap"/>
    <d v="1899-12-30T13:45:00"/>
    <d v="1899-12-30T14:00:00"/>
    <n v="0"/>
    <x v="1"/>
  </r>
  <r>
    <x v="0"/>
    <s v="Egypt"/>
    <x v="25"/>
    <x v="119"/>
    <x v="119"/>
    <m/>
    <m/>
    <s v="Break 15 Morning"/>
    <d v="1899-12-30T15:30:00"/>
    <d v="1899-12-30T15:45:00"/>
    <n v="0"/>
    <x v="1"/>
  </r>
  <r>
    <x v="0"/>
    <s v="Egypt"/>
    <x v="25"/>
    <x v="119"/>
    <x v="119"/>
    <m/>
    <m/>
    <s v="Break 30 Morning"/>
    <d v="1899-12-30T17:45:00"/>
    <d v="1899-12-30T18:15:00"/>
    <n v="0"/>
    <x v="1"/>
  </r>
  <r>
    <x v="0"/>
    <s v="Egypt"/>
    <x v="25"/>
    <x v="119"/>
    <x v="119"/>
    <d v="2025-06-24T00:00:00"/>
    <d v="1899-12-30T08:15:00"/>
    <s v="Non Telecom"/>
    <d v="1899-12-30T13:00:00"/>
    <d v="1899-12-30T21:15:00"/>
    <n v="29700"/>
    <x v="0"/>
  </r>
  <r>
    <x v="0"/>
    <s v="Egypt"/>
    <x v="25"/>
    <x v="119"/>
    <x v="119"/>
    <m/>
    <m/>
    <s v="No Swap"/>
    <d v="1899-12-30T13:30:00"/>
    <d v="1899-12-30T13:45:00"/>
    <n v="0"/>
    <x v="1"/>
  </r>
  <r>
    <x v="0"/>
    <s v="Egypt"/>
    <x v="25"/>
    <x v="119"/>
    <x v="119"/>
    <m/>
    <m/>
    <s v="Break 15 Morning"/>
    <d v="1899-12-30T16:00:00"/>
    <d v="1899-12-30T16:15:00"/>
    <n v="0"/>
    <x v="1"/>
  </r>
  <r>
    <x v="0"/>
    <s v="Egypt"/>
    <x v="25"/>
    <x v="119"/>
    <x v="119"/>
    <m/>
    <m/>
    <s v="Break 30 Morning"/>
    <d v="1899-12-30T18:45:00"/>
    <d v="1899-12-30T19:15:00"/>
    <n v="0"/>
    <x v="1"/>
  </r>
  <r>
    <x v="0"/>
    <s v="Egypt"/>
    <x v="25"/>
    <x v="119"/>
    <x v="119"/>
    <d v="2025-06-25T00:00:00"/>
    <d v="1899-12-30T08:15:00"/>
    <s v="Non Telecom"/>
    <d v="1899-12-30T13:00:00"/>
    <d v="1899-12-30T21:15:00"/>
    <n v="29700"/>
    <x v="0"/>
  </r>
  <r>
    <x v="0"/>
    <s v="Egypt"/>
    <x v="25"/>
    <x v="119"/>
    <x v="119"/>
    <m/>
    <m/>
    <s v="No Swap"/>
    <d v="1899-12-30T13:30:00"/>
    <d v="1899-12-30T13:45:00"/>
    <n v="0"/>
    <x v="1"/>
  </r>
  <r>
    <x v="0"/>
    <s v="Egypt"/>
    <x v="25"/>
    <x v="119"/>
    <x v="119"/>
    <m/>
    <m/>
    <s v="Break 15 Morning"/>
    <d v="1899-12-30T15:30:00"/>
    <d v="1899-12-30T15:45:00"/>
    <n v="0"/>
    <x v="1"/>
  </r>
  <r>
    <x v="0"/>
    <s v="Egypt"/>
    <x v="25"/>
    <x v="119"/>
    <x v="119"/>
    <m/>
    <m/>
    <s v="Break 30 Morning"/>
    <d v="1899-12-30T17:45:00"/>
    <d v="1899-12-30T18:15:00"/>
    <n v="0"/>
    <x v="1"/>
  </r>
  <r>
    <x v="0"/>
    <s v="Egypt"/>
    <x v="25"/>
    <x v="119"/>
    <x v="119"/>
    <d v="2025-06-26T00:00:00"/>
    <d v="1899-12-30T08:15:00"/>
    <s v="Uncertified Sick Leave"/>
    <m/>
    <m/>
    <n v="29700"/>
    <x v="1"/>
  </r>
  <r>
    <x v="0"/>
    <s v="Egypt"/>
    <x v="25"/>
    <x v="119"/>
    <x v="119"/>
    <d v="2025-06-27T00:00:00"/>
    <m/>
    <s v="Day Off"/>
    <m/>
    <m/>
    <n v="0"/>
    <x v="1"/>
  </r>
  <r>
    <x v="0"/>
    <s v="Egypt"/>
    <x v="25"/>
    <x v="119"/>
    <x v="119"/>
    <d v="2025-06-28T00:00:00"/>
    <m/>
    <s v="Day Off"/>
    <m/>
    <m/>
    <n v="0"/>
    <x v="1"/>
  </r>
  <r>
    <x v="0"/>
    <s v="Egypt"/>
    <x v="25"/>
    <x v="119"/>
    <x v="119"/>
    <d v="2025-06-29T00:00:00"/>
    <d v="1899-12-30T08:15:00"/>
    <s v="No show"/>
    <d v="1899-12-30T16:15:00"/>
    <s v="+12:30 AM"/>
    <n v="29700"/>
    <x v="1"/>
  </r>
  <r>
    <x v="0"/>
    <s v="Egypt"/>
    <x v="25"/>
    <x v="119"/>
    <x v="119"/>
    <d v="2025-06-30T00:00:00"/>
    <d v="1899-12-30T08:15:00"/>
    <s v="No show"/>
    <d v="1899-12-30T16:15:00"/>
    <s v="+12:30 AM"/>
    <n v="29700"/>
    <x v="1"/>
  </r>
  <r>
    <x v="0"/>
    <s v="Egypt"/>
    <x v="26"/>
    <x v="120"/>
    <x v="120"/>
    <d v="2025-06-05T00:00:00"/>
    <d v="1899-12-30T08:15:00"/>
    <s v="Public holiday"/>
    <m/>
    <m/>
    <n v="29700"/>
    <x v="1"/>
  </r>
  <r>
    <x v="0"/>
    <s v="Egypt"/>
    <x v="26"/>
    <x v="120"/>
    <x v="120"/>
    <d v="2025-06-06T00:00:00"/>
    <m/>
    <s v="Day Off"/>
    <m/>
    <m/>
    <n v="0"/>
    <x v="1"/>
  </r>
  <r>
    <x v="0"/>
    <s v="Egypt"/>
    <x v="26"/>
    <x v="120"/>
    <x v="120"/>
    <d v="2025-06-07T00:00:00"/>
    <m/>
    <s v="Day Off"/>
    <m/>
    <m/>
    <n v="0"/>
    <x v="1"/>
  </r>
  <r>
    <x v="0"/>
    <s v="Egypt"/>
    <x v="26"/>
    <x v="120"/>
    <x v="120"/>
    <d v="2025-06-08T00:00:00"/>
    <d v="1899-12-30T08:15:00"/>
    <s v="Public holiday"/>
    <m/>
    <m/>
    <n v="29700"/>
    <x v="1"/>
  </r>
  <r>
    <x v="0"/>
    <s v="Egypt"/>
    <x v="26"/>
    <x v="120"/>
    <x v="120"/>
    <d v="2025-06-09T00:00:00"/>
    <m/>
    <s v="Day Off"/>
    <m/>
    <m/>
    <n v="0"/>
    <x v="1"/>
  </r>
  <r>
    <x v="0"/>
    <s v="Egypt"/>
    <x v="26"/>
    <x v="120"/>
    <x v="120"/>
    <d v="2025-06-10T00:00:00"/>
    <m/>
    <s v="Day Off"/>
    <m/>
    <m/>
    <n v="0"/>
    <x v="1"/>
  </r>
  <r>
    <x v="0"/>
    <s v="Egypt"/>
    <x v="26"/>
    <x v="120"/>
    <x v="120"/>
    <d v="2025-06-11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00:00"/>
    <d v="1899-12-30T10:15:00"/>
    <n v="0"/>
    <x v="1"/>
  </r>
  <r>
    <x v="0"/>
    <s v="Egypt"/>
    <x v="26"/>
    <x v="120"/>
    <x v="120"/>
    <m/>
    <m/>
    <s v="Break 30 Morning"/>
    <d v="1899-12-30T12:30:00"/>
    <d v="1899-12-30T13:00:00"/>
    <n v="0"/>
    <x v="1"/>
  </r>
  <r>
    <x v="0"/>
    <s v="Egypt"/>
    <x v="26"/>
    <x v="120"/>
    <x v="120"/>
    <d v="2025-06-12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15:00"/>
    <d v="1899-12-30T10:30:00"/>
    <n v="0"/>
    <x v="1"/>
  </r>
  <r>
    <x v="0"/>
    <s v="Egypt"/>
    <x v="26"/>
    <x v="120"/>
    <x v="120"/>
    <m/>
    <m/>
    <s v="One to One"/>
    <d v="1899-12-30T11:00:00"/>
    <d v="1899-12-30T11:15:00"/>
    <n v="0"/>
    <x v="1"/>
  </r>
  <r>
    <x v="0"/>
    <s v="Egypt"/>
    <x v="26"/>
    <x v="120"/>
    <x v="120"/>
    <m/>
    <m/>
    <s v="Break 30 Morning"/>
    <d v="1899-12-30T13:15:00"/>
    <d v="1899-12-30T13:45:00"/>
    <n v="0"/>
    <x v="1"/>
  </r>
  <r>
    <x v="0"/>
    <s v="Egypt"/>
    <x v="26"/>
    <x v="120"/>
    <x v="120"/>
    <d v="2025-06-13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15:00"/>
    <d v="1899-12-30T10:30:00"/>
    <n v="0"/>
    <x v="1"/>
  </r>
  <r>
    <x v="0"/>
    <s v="Egypt"/>
    <x v="26"/>
    <x v="120"/>
    <x v="120"/>
    <m/>
    <m/>
    <s v="One to One"/>
    <d v="1899-12-30T10:30:00"/>
    <d v="1899-12-30T10:45:00"/>
    <n v="0"/>
    <x v="1"/>
  </r>
  <r>
    <x v="0"/>
    <s v="Egypt"/>
    <x v="26"/>
    <x v="120"/>
    <x v="120"/>
    <m/>
    <m/>
    <s v="Break 30 Morning"/>
    <d v="1899-12-30T13:30:00"/>
    <d v="1899-12-30T14:00:00"/>
    <n v="0"/>
    <x v="1"/>
  </r>
  <r>
    <x v="0"/>
    <s v="Egypt"/>
    <x v="26"/>
    <x v="120"/>
    <x v="120"/>
    <d v="2025-06-14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45:00"/>
    <d v="1899-12-30T11:00:00"/>
    <n v="0"/>
    <x v="1"/>
  </r>
  <r>
    <x v="0"/>
    <s v="Egypt"/>
    <x v="26"/>
    <x v="120"/>
    <x v="120"/>
    <m/>
    <m/>
    <s v="One to One"/>
    <d v="1899-12-30T11:15:00"/>
    <d v="1899-12-30T11:30:00"/>
    <n v="0"/>
    <x v="1"/>
  </r>
  <r>
    <x v="0"/>
    <s v="Egypt"/>
    <x v="26"/>
    <x v="120"/>
    <x v="120"/>
    <m/>
    <m/>
    <s v="Break 30 Morning"/>
    <d v="1899-12-30T13:45:00"/>
    <d v="1899-12-30T14:15:00"/>
    <n v="0"/>
    <x v="1"/>
  </r>
  <r>
    <x v="0"/>
    <s v="Egypt"/>
    <x v="26"/>
    <x v="120"/>
    <x v="120"/>
    <d v="2025-06-15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15:00"/>
    <d v="1899-12-30T10:30:00"/>
    <n v="0"/>
    <x v="1"/>
  </r>
  <r>
    <x v="0"/>
    <s v="Egypt"/>
    <x v="26"/>
    <x v="120"/>
    <x v="120"/>
    <m/>
    <m/>
    <s v="Break 30 Morning"/>
    <d v="1899-12-30T13:15:00"/>
    <d v="1899-12-30T13:45:00"/>
    <n v="0"/>
    <x v="1"/>
  </r>
  <r>
    <x v="0"/>
    <s v="Egypt"/>
    <x v="26"/>
    <x v="120"/>
    <x v="120"/>
    <d v="2025-06-16T00:00:00"/>
    <m/>
    <s v="Day Off"/>
    <m/>
    <m/>
    <n v="0"/>
    <x v="1"/>
  </r>
  <r>
    <x v="0"/>
    <s v="Egypt"/>
    <x v="26"/>
    <x v="120"/>
    <x v="120"/>
    <d v="2025-06-17T00:00:00"/>
    <m/>
    <s v="Day Off"/>
    <m/>
    <m/>
    <n v="0"/>
    <x v="1"/>
  </r>
  <r>
    <x v="0"/>
    <s v="Egypt"/>
    <x v="26"/>
    <x v="120"/>
    <x v="120"/>
    <d v="2025-06-18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45:00"/>
    <d v="1899-12-30T11:00:00"/>
    <n v="0"/>
    <x v="1"/>
  </r>
  <r>
    <x v="0"/>
    <s v="Egypt"/>
    <x v="26"/>
    <x v="120"/>
    <x v="120"/>
    <m/>
    <m/>
    <s v="Break 30 Morning"/>
    <d v="1899-12-30T13:45:00"/>
    <d v="1899-12-30T14:15:00"/>
    <n v="0"/>
    <x v="1"/>
  </r>
  <r>
    <x v="0"/>
    <s v="Egypt"/>
    <x v="26"/>
    <x v="120"/>
    <x v="120"/>
    <d v="2025-06-19T00:00:00"/>
    <d v="1899-12-30T08:15:00"/>
    <s v="Non Telecom Assyot"/>
    <d v="1899-12-30T09:00:00"/>
    <d v="1899-12-30T17:15:00"/>
    <n v="29700"/>
    <x v="0"/>
  </r>
  <r>
    <x v="0"/>
    <s v="Egypt"/>
    <x v="26"/>
    <x v="120"/>
    <x v="120"/>
    <m/>
    <m/>
    <s v="Break 15 Morning"/>
    <d v="1899-12-30T10:45:00"/>
    <d v="1899-12-30T11:00:00"/>
    <n v="0"/>
    <x v="1"/>
  </r>
  <r>
    <x v="0"/>
    <s v="Egypt"/>
    <x v="26"/>
    <x v="120"/>
    <x v="120"/>
    <m/>
    <m/>
    <s v="Break 30 Morning"/>
    <d v="1899-12-30T13:45:00"/>
    <d v="1899-12-30T14:15:00"/>
    <n v="0"/>
    <x v="1"/>
  </r>
  <r>
    <x v="0"/>
    <s v="Egypt"/>
    <x v="26"/>
    <x v="120"/>
    <x v="120"/>
    <d v="2025-06-20T00:00:00"/>
    <d v="1899-12-30T08:15:00"/>
    <s v="Annual Exception"/>
    <m/>
    <m/>
    <n v="29700"/>
    <x v="1"/>
  </r>
  <r>
    <x v="0"/>
    <s v="Egypt"/>
    <x v="26"/>
    <x v="120"/>
    <x v="120"/>
    <d v="2025-06-21T00:00:00"/>
    <d v="1899-12-30T08:15:00"/>
    <s v="Annual Exception"/>
    <m/>
    <m/>
    <n v="29700"/>
    <x v="1"/>
  </r>
  <r>
    <x v="0"/>
    <s v="Egypt"/>
    <x v="26"/>
    <x v="120"/>
    <x v="120"/>
    <d v="2025-06-22T00:00:00"/>
    <m/>
    <s v="Day Off"/>
    <m/>
    <m/>
    <n v="0"/>
    <x v="1"/>
  </r>
  <r>
    <x v="0"/>
    <s v="Egypt"/>
    <x v="26"/>
    <x v="120"/>
    <x v="120"/>
    <d v="2025-06-23T00:00:00"/>
    <m/>
    <s v="Day Off"/>
    <m/>
    <m/>
    <n v="0"/>
    <x v="1"/>
  </r>
  <r>
    <x v="0"/>
    <s v="Egypt"/>
    <x v="26"/>
    <x v="120"/>
    <x v="120"/>
    <d v="2025-06-24T00:00:00"/>
    <d v="1899-12-30T08:15:00"/>
    <s v="Non Telecom Assyot"/>
    <d v="1899-12-30T11:00:00"/>
    <d v="1899-12-30T19:15:00"/>
    <n v="29700"/>
    <x v="0"/>
  </r>
  <r>
    <x v="0"/>
    <s v="Egypt"/>
    <x v="26"/>
    <x v="120"/>
    <x v="120"/>
    <m/>
    <m/>
    <s v="Break 15 Morning"/>
    <d v="1899-12-30T12:45:00"/>
    <d v="1899-12-30T13:00:00"/>
    <n v="0"/>
    <x v="1"/>
  </r>
  <r>
    <x v="0"/>
    <s v="Egypt"/>
    <x v="26"/>
    <x v="120"/>
    <x v="120"/>
    <m/>
    <m/>
    <s v="Break 30 Morning"/>
    <d v="1899-12-30T15:45:00"/>
    <d v="1899-12-30T16:15:00"/>
    <n v="0"/>
    <x v="1"/>
  </r>
  <r>
    <x v="0"/>
    <s v="Egypt"/>
    <x v="26"/>
    <x v="120"/>
    <x v="120"/>
    <d v="2025-06-25T00:00:00"/>
    <d v="1899-12-30T08:15:00"/>
    <s v="Non Telecom Assyot"/>
    <d v="1899-12-30T11:00:00"/>
    <d v="1899-12-30T19:15:00"/>
    <n v="29700"/>
    <x v="0"/>
  </r>
  <r>
    <x v="0"/>
    <s v="Egypt"/>
    <x v="26"/>
    <x v="120"/>
    <x v="120"/>
    <m/>
    <m/>
    <s v="Break 15 Morning"/>
    <d v="1899-12-30T12:45:00"/>
    <d v="1899-12-30T13:00:00"/>
    <n v="0"/>
    <x v="1"/>
  </r>
  <r>
    <x v="0"/>
    <s v="Egypt"/>
    <x v="26"/>
    <x v="120"/>
    <x v="120"/>
    <m/>
    <m/>
    <s v="Break 30 Morning"/>
    <d v="1899-12-30T15:45:00"/>
    <d v="1899-12-30T16:15:00"/>
    <n v="0"/>
    <x v="1"/>
  </r>
  <r>
    <x v="0"/>
    <s v="Egypt"/>
    <x v="26"/>
    <x v="120"/>
    <x v="120"/>
    <d v="2025-06-26T00:00:00"/>
    <d v="1899-12-30T08:15:00"/>
    <s v="Non Telecom Assyot"/>
    <d v="1899-12-30T11:00:00"/>
    <d v="1899-12-30T19:15:00"/>
    <n v="29700"/>
    <x v="0"/>
  </r>
  <r>
    <x v="0"/>
    <s v="Egypt"/>
    <x v="26"/>
    <x v="120"/>
    <x v="120"/>
    <m/>
    <m/>
    <s v="Break 15 Morning"/>
    <d v="1899-12-30T12:45:00"/>
    <d v="1899-12-30T13:00:00"/>
    <n v="0"/>
    <x v="1"/>
  </r>
  <r>
    <x v="0"/>
    <s v="Egypt"/>
    <x v="26"/>
    <x v="120"/>
    <x v="120"/>
    <m/>
    <m/>
    <s v="Break 30 Morning"/>
    <d v="1899-12-30T16:15:00"/>
    <d v="1899-12-30T16:45:00"/>
    <n v="0"/>
    <x v="1"/>
  </r>
  <r>
    <x v="0"/>
    <s v="Egypt"/>
    <x v="26"/>
    <x v="120"/>
    <x v="120"/>
    <d v="2025-06-27T00:00:00"/>
    <d v="1899-12-30T08:15:00"/>
    <s v="Non Telecom Assyot"/>
    <d v="1899-12-30T11:00:00"/>
    <d v="1899-12-30T19:15:00"/>
    <n v="29700"/>
    <x v="0"/>
  </r>
  <r>
    <x v="0"/>
    <s v="Egypt"/>
    <x v="26"/>
    <x v="120"/>
    <x v="120"/>
    <m/>
    <m/>
    <s v="Break 15 Morning"/>
    <d v="1899-12-30T12:45:00"/>
    <d v="1899-12-30T13:00:00"/>
    <n v="0"/>
    <x v="1"/>
  </r>
  <r>
    <x v="0"/>
    <s v="Egypt"/>
    <x v="26"/>
    <x v="120"/>
    <x v="120"/>
    <m/>
    <m/>
    <s v="Break 30 Morning"/>
    <d v="1899-12-30T16:15:00"/>
    <d v="1899-12-30T16:45:00"/>
    <n v="0"/>
    <x v="1"/>
  </r>
  <r>
    <x v="0"/>
    <s v="Egypt"/>
    <x v="26"/>
    <x v="120"/>
    <x v="120"/>
    <d v="2025-06-28T00:00:00"/>
    <d v="1899-12-30T08:15:00"/>
    <s v="Non Telecom Assyot"/>
    <d v="1899-12-30T11:00:00"/>
    <d v="1899-12-30T19:15:00"/>
    <n v="29700"/>
    <x v="0"/>
  </r>
  <r>
    <x v="0"/>
    <s v="Egypt"/>
    <x v="26"/>
    <x v="120"/>
    <x v="120"/>
    <m/>
    <m/>
    <s v="Break 15 Morning"/>
    <d v="1899-12-30T12:45:00"/>
    <d v="1899-12-30T13:00:00"/>
    <n v="0"/>
    <x v="1"/>
  </r>
  <r>
    <x v="0"/>
    <s v="Egypt"/>
    <x v="26"/>
    <x v="120"/>
    <x v="120"/>
    <m/>
    <m/>
    <s v="Break 30 Morning"/>
    <d v="1899-12-30T16:15:00"/>
    <d v="1899-12-30T16:45:00"/>
    <n v="0"/>
    <x v="1"/>
  </r>
  <r>
    <x v="0"/>
    <s v="Egypt"/>
    <x v="26"/>
    <x v="120"/>
    <x v="120"/>
    <d v="2025-06-29T00:00:00"/>
    <m/>
    <s v="Day Off"/>
    <m/>
    <m/>
    <n v="0"/>
    <x v="1"/>
  </r>
  <r>
    <x v="0"/>
    <s v="Egypt"/>
    <x v="26"/>
    <x v="120"/>
    <x v="120"/>
    <d v="2025-06-30T00:00:00"/>
    <m/>
    <s v="Day Off"/>
    <m/>
    <m/>
    <n v="0"/>
    <x v="1"/>
  </r>
  <r>
    <x v="0"/>
    <s v="Egypt"/>
    <x v="26"/>
    <x v="121"/>
    <x v="121"/>
    <d v="2025-06-01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00:00"/>
    <d v="1899-12-30T11:15:00"/>
    <n v="0"/>
    <x v="1"/>
  </r>
  <r>
    <x v="0"/>
    <s v="Egypt"/>
    <x v="26"/>
    <x v="121"/>
    <x v="121"/>
    <m/>
    <m/>
    <s v="Break 30 Morning"/>
    <d v="1899-12-30T14:15:00"/>
    <d v="1899-12-30T14:45:00"/>
    <n v="0"/>
    <x v="1"/>
  </r>
  <r>
    <x v="0"/>
    <s v="Egypt"/>
    <x v="26"/>
    <x v="121"/>
    <x v="121"/>
    <d v="2025-06-02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0:45:00"/>
    <d v="1899-12-30T11:00:00"/>
    <n v="0"/>
    <x v="1"/>
  </r>
  <r>
    <x v="0"/>
    <s v="Egypt"/>
    <x v="26"/>
    <x v="121"/>
    <x v="121"/>
    <m/>
    <m/>
    <s v="Break 30 Morning"/>
    <d v="1899-12-30T13:45:00"/>
    <d v="1899-12-30T14:15:00"/>
    <n v="0"/>
    <x v="1"/>
  </r>
  <r>
    <x v="0"/>
    <s v="Egypt"/>
    <x v="26"/>
    <x v="121"/>
    <x v="121"/>
    <d v="2025-06-03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00:00"/>
    <d v="1899-12-30T11:15:00"/>
    <n v="0"/>
    <x v="1"/>
  </r>
  <r>
    <x v="0"/>
    <s v="Egypt"/>
    <x v="26"/>
    <x v="121"/>
    <x v="121"/>
    <m/>
    <m/>
    <s v="Break 30 Morning"/>
    <d v="1899-12-30T14:15:00"/>
    <d v="1899-12-30T14:45:00"/>
    <n v="0"/>
    <x v="1"/>
  </r>
  <r>
    <x v="0"/>
    <s v="Egypt"/>
    <x v="26"/>
    <x v="121"/>
    <x v="121"/>
    <d v="2025-06-04T00:00:00"/>
    <m/>
    <s v="Day Off"/>
    <m/>
    <m/>
    <n v="0"/>
    <x v="1"/>
  </r>
  <r>
    <x v="0"/>
    <s v="Egypt"/>
    <x v="26"/>
    <x v="121"/>
    <x v="121"/>
    <d v="2025-06-05T00:00:00"/>
    <m/>
    <s v="Day Off"/>
    <m/>
    <m/>
    <n v="0"/>
    <x v="1"/>
  </r>
  <r>
    <x v="0"/>
    <s v="Egypt"/>
    <x v="26"/>
    <x v="121"/>
    <x v="121"/>
    <d v="2025-06-06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00:00"/>
    <d v="1899-12-30T11:15:00"/>
    <n v="0"/>
    <x v="1"/>
  </r>
  <r>
    <x v="0"/>
    <s v="Egypt"/>
    <x v="26"/>
    <x v="121"/>
    <x v="121"/>
    <m/>
    <m/>
    <s v="Break 30 Morning"/>
    <d v="1899-12-30T14:15:00"/>
    <d v="1899-12-30T14:45:00"/>
    <n v="0"/>
    <x v="1"/>
  </r>
  <r>
    <x v="0"/>
    <s v="Egypt"/>
    <x v="26"/>
    <x v="121"/>
    <x v="121"/>
    <d v="2025-06-07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2:15:00"/>
    <d v="1899-12-30T12:30:00"/>
    <n v="0"/>
    <x v="1"/>
  </r>
  <r>
    <x v="0"/>
    <s v="Egypt"/>
    <x v="26"/>
    <x v="121"/>
    <x v="121"/>
    <m/>
    <m/>
    <s v="Break 30 Morning"/>
    <d v="1899-12-30T16:00:00"/>
    <d v="1899-12-30T16:30:00"/>
    <n v="0"/>
    <x v="1"/>
  </r>
  <r>
    <x v="0"/>
    <s v="Egypt"/>
    <x v="26"/>
    <x v="121"/>
    <x v="121"/>
    <d v="2025-06-08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2:00:00"/>
    <d v="1899-12-30T12:15:00"/>
    <n v="0"/>
    <x v="1"/>
  </r>
  <r>
    <x v="0"/>
    <s v="Egypt"/>
    <x v="26"/>
    <x v="121"/>
    <x v="121"/>
    <m/>
    <m/>
    <s v="Break 30 Morning"/>
    <d v="1899-12-30T14:30:00"/>
    <d v="1899-12-30T15:00:00"/>
    <n v="0"/>
    <x v="1"/>
  </r>
  <r>
    <x v="0"/>
    <s v="Egypt"/>
    <x v="26"/>
    <x v="121"/>
    <x v="121"/>
    <d v="2025-06-09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2:30:00"/>
    <d v="1899-12-30T12:45:00"/>
    <n v="0"/>
    <x v="1"/>
  </r>
  <r>
    <x v="0"/>
    <s v="Egypt"/>
    <x v="26"/>
    <x v="121"/>
    <x v="121"/>
    <m/>
    <m/>
    <s v="Break 30 Morning"/>
    <d v="1899-12-30T15:45:00"/>
    <d v="1899-12-30T16:15:00"/>
    <n v="0"/>
    <x v="1"/>
  </r>
  <r>
    <x v="0"/>
    <s v="Egypt"/>
    <x v="26"/>
    <x v="121"/>
    <x v="121"/>
    <d v="2025-06-10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2:45:00"/>
    <d v="1899-12-30T13:00:00"/>
    <n v="0"/>
    <x v="1"/>
  </r>
  <r>
    <x v="0"/>
    <s v="Egypt"/>
    <x v="26"/>
    <x v="121"/>
    <x v="121"/>
    <m/>
    <m/>
    <s v="Break 30 Morning"/>
    <d v="1899-12-30T15:45:00"/>
    <d v="1899-12-30T16:15:00"/>
    <n v="0"/>
    <x v="1"/>
  </r>
  <r>
    <x v="0"/>
    <s v="Egypt"/>
    <x v="26"/>
    <x v="121"/>
    <x v="121"/>
    <d v="2025-06-11T00:00:00"/>
    <m/>
    <s v="Day Off"/>
    <m/>
    <m/>
    <n v="0"/>
    <x v="1"/>
  </r>
  <r>
    <x v="0"/>
    <s v="Egypt"/>
    <x v="26"/>
    <x v="121"/>
    <x v="121"/>
    <d v="2025-06-12T00:00:00"/>
    <m/>
    <s v="Day Off"/>
    <m/>
    <m/>
    <n v="0"/>
    <x v="1"/>
  </r>
  <r>
    <x v="0"/>
    <s v="Egypt"/>
    <x v="26"/>
    <x v="121"/>
    <x v="121"/>
    <d v="2025-06-13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0:30:00"/>
    <d v="1899-12-30T10:45:00"/>
    <n v="0"/>
    <x v="1"/>
  </r>
  <r>
    <x v="0"/>
    <s v="Egypt"/>
    <x v="26"/>
    <x v="121"/>
    <x v="121"/>
    <m/>
    <m/>
    <s v="Break 30 Morning"/>
    <d v="1899-12-30T13:30:00"/>
    <d v="1899-12-30T14:00:00"/>
    <n v="0"/>
    <x v="1"/>
  </r>
  <r>
    <x v="0"/>
    <s v="Egypt"/>
    <x v="26"/>
    <x v="121"/>
    <x v="121"/>
    <d v="2025-06-14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00:00"/>
    <d v="1899-12-30T11:15:00"/>
    <n v="0"/>
    <x v="1"/>
  </r>
  <r>
    <x v="0"/>
    <s v="Egypt"/>
    <x v="26"/>
    <x v="121"/>
    <x v="121"/>
    <m/>
    <m/>
    <s v="Break 30 Morning"/>
    <d v="1899-12-30T13:45:00"/>
    <d v="1899-12-30T14:15:00"/>
    <n v="0"/>
    <x v="1"/>
  </r>
  <r>
    <x v="0"/>
    <s v="Egypt"/>
    <x v="26"/>
    <x v="121"/>
    <x v="121"/>
    <d v="2025-06-15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0:30:00"/>
    <d v="1899-12-30T10:45:00"/>
    <n v="0"/>
    <x v="1"/>
  </r>
  <r>
    <x v="0"/>
    <s v="Egypt"/>
    <x v="26"/>
    <x v="121"/>
    <x v="121"/>
    <m/>
    <m/>
    <s v="Break 30 Morning"/>
    <d v="1899-12-30T13:45:00"/>
    <d v="1899-12-30T14:15:00"/>
    <n v="0"/>
    <x v="1"/>
  </r>
  <r>
    <x v="0"/>
    <s v="Egypt"/>
    <x v="26"/>
    <x v="121"/>
    <x v="121"/>
    <d v="2025-06-16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0:45:00"/>
    <d v="1899-12-30T11:00:00"/>
    <n v="0"/>
    <x v="1"/>
  </r>
  <r>
    <x v="0"/>
    <s v="Egypt"/>
    <x v="26"/>
    <x v="121"/>
    <x v="121"/>
    <m/>
    <m/>
    <s v="Break 30 Morning"/>
    <d v="1899-12-30T13:45:00"/>
    <d v="1899-12-30T14:15:00"/>
    <n v="0"/>
    <x v="1"/>
  </r>
  <r>
    <x v="0"/>
    <s v="Egypt"/>
    <x v="26"/>
    <x v="121"/>
    <x v="121"/>
    <d v="2025-06-17T00:00:00"/>
    <d v="1899-12-30T08:00:00"/>
    <s v="Non Reserved Annual"/>
    <d v="1899-12-30T09:15:00"/>
    <d v="1899-12-30T17:15:00"/>
    <n v="28800"/>
    <x v="1"/>
  </r>
  <r>
    <x v="0"/>
    <s v="Egypt"/>
    <x v="26"/>
    <x v="121"/>
    <x v="121"/>
    <m/>
    <m/>
    <s v="Non Reserved Annual"/>
    <d v="1899-12-30T09:15:00"/>
    <d v="1899-12-30T17:15:00"/>
    <n v="0"/>
    <x v="1"/>
  </r>
  <r>
    <x v="0"/>
    <s v="Egypt"/>
    <x v="26"/>
    <x v="121"/>
    <x v="121"/>
    <d v="2025-06-18T00:00:00"/>
    <m/>
    <s v="Day Off"/>
    <m/>
    <m/>
    <n v="0"/>
    <x v="1"/>
  </r>
  <r>
    <x v="0"/>
    <s v="Egypt"/>
    <x v="26"/>
    <x v="121"/>
    <x v="121"/>
    <d v="2025-06-19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3:00:00"/>
    <d v="1899-12-30T13:15:00"/>
    <n v="0"/>
    <x v="1"/>
  </r>
  <r>
    <x v="0"/>
    <s v="Egypt"/>
    <x v="26"/>
    <x v="121"/>
    <x v="121"/>
    <m/>
    <m/>
    <s v="Break 30 Morning"/>
    <d v="1899-12-30T16:15:00"/>
    <d v="1899-12-30T16:45:00"/>
    <n v="0"/>
    <x v="1"/>
  </r>
  <r>
    <x v="0"/>
    <s v="Egypt"/>
    <x v="26"/>
    <x v="121"/>
    <x v="121"/>
    <d v="2025-06-20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0:30:00"/>
    <d v="1899-12-30T10:45:00"/>
    <n v="0"/>
    <x v="1"/>
  </r>
  <r>
    <x v="0"/>
    <s v="Egypt"/>
    <x v="26"/>
    <x v="121"/>
    <x v="121"/>
    <m/>
    <m/>
    <s v="Break 30 Morning"/>
    <d v="1899-12-30T13:15:00"/>
    <d v="1899-12-30T13:45:00"/>
    <n v="0"/>
    <x v="1"/>
  </r>
  <r>
    <x v="0"/>
    <s v="Egypt"/>
    <x v="26"/>
    <x v="121"/>
    <x v="121"/>
    <d v="2025-06-21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45:00"/>
    <d v="1899-12-30T12:00:00"/>
    <n v="0"/>
    <x v="1"/>
  </r>
  <r>
    <x v="0"/>
    <s v="Egypt"/>
    <x v="26"/>
    <x v="121"/>
    <x v="121"/>
    <m/>
    <m/>
    <s v="Break 30 Morning"/>
    <d v="1899-12-30T14:15:00"/>
    <d v="1899-12-30T14:45:00"/>
    <n v="0"/>
    <x v="1"/>
  </r>
  <r>
    <x v="0"/>
    <s v="Egypt"/>
    <x v="26"/>
    <x v="121"/>
    <x v="121"/>
    <d v="2025-06-22T00:00:00"/>
    <d v="1899-12-30T08:15:00"/>
    <s v="Non Telecom Assyot"/>
    <d v="1899-12-30T09:00:00"/>
    <d v="1899-12-30T17:15:00"/>
    <n v="29700"/>
    <x v="0"/>
  </r>
  <r>
    <x v="0"/>
    <s v="Egypt"/>
    <x v="26"/>
    <x v="121"/>
    <x v="121"/>
    <m/>
    <m/>
    <s v="Break 15 Morning"/>
    <d v="1899-12-30T11:00:00"/>
    <d v="1899-12-30T11:15:00"/>
    <n v="0"/>
    <x v="1"/>
  </r>
  <r>
    <x v="0"/>
    <s v="Egypt"/>
    <x v="26"/>
    <x v="121"/>
    <x v="121"/>
    <m/>
    <m/>
    <s v="Break 30 Morning"/>
    <d v="1899-12-30T13:45:00"/>
    <d v="1899-12-30T14:15:00"/>
    <n v="0"/>
    <x v="1"/>
  </r>
  <r>
    <x v="0"/>
    <s v="Egypt"/>
    <x v="26"/>
    <x v="121"/>
    <x v="121"/>
    <d v="2025-06-23T00:00:00"/>
    <d v="1899-12-30T08:00:00"/>
    <s v="Non Reserved Annual"/>
    <d v="1899-12-30T09:15:00"/>
    <d v="1899-12-30T17:15:00"/>
    <n v="28800"/>
    <x v="1"/>
  </r>
  <r>
    <x v="0"/>
    <s v="Egypt"/>
    <x v="26"/>
    <x v="121"/>
    <x v="121"/>
    <m/>
    <m/>
    <s v="Non Reserved Annual"/>
    <d v="1899-12-30T09:15:00"/>
    <d v="1899-12-30T17:15:00"/>
    <n v="0"/>
    <x v="1"/>
  </r>
  <r>
    <x v="0"/>
    <s v="Egypt"/>
    <x v="26"/>
    <x v="121"/>
    <x v="121"/>
    <d v="2025-06-24T00:00:00"/>
    <d v="1899-12-30T08:15:00"/>
    <s v="Non Telecom Assyot"/>
    <d v="1899-12-30T11:00:00"/>
    <d v="1899-12-30T19:15:00"/>
    <n v="29700"/>
    <x v="0"/>
  </r>
  <r>
    <x v="0"/>
    <s v="Egypt"/>
    <x v="26"/>
    <x v="121"/>
    <x v="121"/>
    <m/>
    <m/>
    <s v="Break 15 Morning"/>
    <d v="1899-12-30T13:00:00"/>
    <d v="1899-12-30T13:15:00"/>
    <n v="0"/>
    <x v="1"/>
  </r>
  <r>
    <x v="0"/>
    <s v="Egypt"/>
    <x v="26"/>
    <x v="121"/>
    <x v="121"/>
    <m/>
    <m/>
    <s v="Break 30 Morning"/>
    <d v="1899-12-30T16:15:00"/>
    <d v="1899-12-30T16:45:00"/>
    <n v="0"/>
    <x v="1"/>
  </r>
  <r>
    <x v="0"/>
    <s v="Egypt"/>
    <x v="26"/>
    <x v="121"/>
    <x v="121"/>
    <d v="2025-06-25T00:00:00"/>
    <m/>
    <s v="Day Off"/>
    <m/>
    <m/>
    <n v="0"/>
    <x v="1"/>
  </r>
  <r>
    <x v="0"/>
    <s v="Egypt"/>
    <x v="26"/>
    <x v="121"/>
    <x v="121"/>
    <d v="2025-06-26T00:00:00"/>
    <m/>
    <s v="Day Off"/>
    <m/>
    <m/>
    <n v="0"/>
    <x v="1"/>
  </r>
  <r>
    <x v="0"/>
    <s v="Egypt"/>
    <x v="26"/>
    <x v="121"/>
    <x v="121"/>
    <d v="2025-06-27T00:00:00"/>
    <m/>
    <s v="Day Off"/>
    <m/>
    <m/>
    <n v="0"/>
    <x v="1"/>
  </r>
  <r>
    <x v="0"/>
    <s v="Egypt"/>
    <x v="26"/>
    <x v="121"/>
    <x v="121"/>
    <d v="2025-06-28T00:00:00"/>
    <d v="1899-12-30T08:15:00"/>
    <s v="Annual"/>
    <m/>
    <m/>
    <n v="29700"/>
    <x v="1"/>
  </r>
  <r>
    <x v="0"/>
    <s v="Egypt"/>
    <x v="26"/>
    <x v="121"/>
    <x v="121"/>
    <d v="2025-06-29T00:00:00"/>
    <m/>
    <s v="Day Off"/>
    <m/>
    <m/>
    <n v="0"/>
    <x v="1"/>
  </r>
  <r>
    <x v="0"/>
    <s v="Egypt"/>
    <x v="26"/>
    <x v="121"/>
    <x v="121"/>
    <d v="2025-06-30T00:00:00"/>
    <m/>
    <s v="Day Off"/>
    <m/>
    <m/>
    <n v="0"/>
    <x v="1"/>
  </r>
  <r>
    <x v="0"/>
    <s v="Egypt"/>
    <x v="26"/>
    <x v="122"/>
    <x v="122"/>
    <d v="2025-06-01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1:00:00"/>
    <d v="1899-12-30T11:15:00"/>
    <n v="0"/>
    <x v="1"/>
  </r>
  <r>
    <x v="0"/>
    <s v="Egypt"/>
    <x v="26"/>
    <x v="122"/>
    <x v="122"/>
    <m/>
    <m/>
    <s v="Break 30 Morning"/>
    <d v="1899-12-30T14:15:00"/>
    <d v="1899-12-30T14:45:00"/>
    <n v="0"/>
    <x v="1"/>
  </r>
  <r>
    <x v="0"/>
    <s v="Egypt"/>
    <x v="26"/>
    <x v="122"/>
    <x v="122"/>
    <d v="2025-06-02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3:00:00"/>
    <d v="1899-12-30T13:15:00"/>
    <n v="0"/>
    <x v="1"/>
  </r>
  <r>
    <x v="0"/>
    <s v="Egypt"/>
    <x v="26"/>
    <x v="122"/>
    <x v="122"/>
    <m/>
    <m/>
    <s v="Break 30 Morning"/>
    <d v="1899-12-30T16:15:00"/>
    <d v="1899-12-30T16:45:00"/>
    <n v="0"/>
    <x v="1"/>
  </r>
  <r>
    <x v="0"/>
    <s v="Egypt"/>
    <x v="26"/>
    <x v="122"/>
    <x v="122"/>
    <d v="2025-06-03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3:15:00"/>
    <d v="1899-12-30T13:30:00"/>
    <n v="0"/>
    <x v="1"/>
  </r>
  <r>
    <x v="0"/>
    <s v="Egypt"/>
    <x v="26"/>
    <x v="122"/>
    <x v="122"/>
    <m/>
    <m/>
    <s v="Break 30 Morning"/>
    <d v="1899-12-30T16:15:00"/>
    <d v="1899-12-30T16:45:00"/>
    <n v="0"/>
    <x v="1"/>
  </r>
  <r>
    <x v="0"/>
    <s v="Egypt"/>
    <x v="26"/>
    <x v="122"/>
    <x v="122"/>
    <d v="2025-06-04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0:45:00"/>
    <d v="1899-12-30T11:00:00"/>
    <n v="0"/>
    <x v="1"/>
  </r>
  <r>
    <x v="0"/>
    <s v="Egypt"/>
    <x v="26"/>
    <x v="122"/>
    <x v="122"/>
    <m/>
    <m/>
    <s v="Break 30 Morning"/>
    <d v="1899-12-30T13:45:00"/>
    <d v="1899-12-30T14:15:00"/>
    <n v="0"/>
    <x v="1"/>
  </r>
  <r>
    <x v="0"/>
    <s v="Egypt"/>
    <x v="26"/>
    <x v="122"/>
    <x v="122"/>
    <d v="2025-06-05T00:00:00"/>
    <m/>
    <s v="Day Off"/>
    <m/>
    <m/>
    <n v="0"/>
    <x v="1"/>
  </r>
  <r>
    <x v="0"/>
    <s v="Egypt"/>
    <x v="26"/>
    <x v="122"/>
    <x v="122"/>
    <d v="2025-06-06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2:15:00"/>
    <d v="1899-12-30T12:30:00"/>
    <n v="0"/>
    <x v="1"/>
  </r>
  <r>
    <x v="0"/>
    <s v="Egypt"/>
    <x v="26"/>
    <x v="122"/>
    <x v="122"/>
    <m/>
    <m/>
    <s v="Break 30 Morning"/>
    <d v="1899-12-30T15:30:00"/>
    <d v="1899-12-30T16:00:00"/>
    <n v="0"/>
    <x v="1"/>
  </r>
  <r>
    <x v="0"/>
    <s v="Egypt"/>
    <x v="26"/>
    <x v="122"/>
    <x v="122"/>
    <d v="2025-06-07T00:00:00"/>
    <d v="1899-12-30T08:15:00"/>
    <s v="Public holiday"/>
    <m/>
    <m/>
    <n v="29700"/>
    <x v="1"/>
  </r>
  <r>
    <x v="0"/>
    <s v="Egypt"/>
    <x v="26"/>
    <x v="122"/>
    <x v="122"/>
    <d v="2025-06-08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2:45:00"/>
    <d v="1899-12-30T13:00:00"/>
    <n v="0"/>
    <x v="1"/>
  </r>
  <r>
    <x v="0"/>
    <s v="Egypt"/>
    <x v="26"/>
    <x v="122"/>
    <x v="122"/>
    <m/>
    <m/>
    <s v="Break 30 Morning"/>
    <d v="1899-12-30T15:45:00"/>
    <d v="1899-12-30T16:15:00"/>
    <n v="0"/>
    <x v="1"/>
  </r>
  <r>
    <x v="0"/>
    <s v="Egypt"/>
    <x v="26"/>
    <x v="122"/>
    <x v="122"/>
    <d v="2025-06-09T00:00:00"/>
    <m/>
    <s v="Day Off"/>
    <m/>
    <m/>
    <n v="0"/>
    <x v="1"/>
  </r>
  <r>
    <x v="0"/>
    <s v="Egypt"/>
    <x v="26"/>
    <x v="122"/>
    <x v="122"/>
    <d v="2025-06-10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2:45:00"/>
    <d v="1899-12-30T13:00:00"/>
    <n v="0"/>
    <x v="1"/>
  </r>
  <r>
    <x v="0"/>
    <s v="Egypt"/>
    <x v="26"/>
    <x v="122"/>
    <x v="122"/>
    <m/>
    <m/>
    <s v="Break 30 Morning"/>
    <d v="1899-12-30T15:45:00"/>
    <d v="1899-12-30T16:15:00"/>
    <n v="0"/>
    <x v="1"/>
  </r>
  <r>
    <x v="0"/>
    <s v="Egypt"/>
    <x v="26"/>
    <x v="122"/>
    <x v="122"/>
    <d v="2025-06-11T00:00:00"/>
    <m/>
    <s v="Day Off"/>
    <m/>
    <m/>
    <n v="0"/>
    <x v="1"/>
  </r>
  <r>
    <x v="0"/>
    <s v="Egypt"/>
    <x v="26"/>
    <x v="122"/>
    <x v="122"/>
    <d v="2025-06-12T00:00:00"/>
    <m/>
    <s v="Day Off"/>
    <m/>
    <m/>
    <n v="0"/>
    <x v="1"/>
  </r>
  <r>
    <x v="0"/>
    <s v="Egypt"/>
    <x v="26"/>
    <x v="122"/>
    <x v="122"/>
    <d v="2025-06-13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3:15:00"/>
    <d v="1899-12-30T13:30:00"/>
    <n v="0"/>
    <x v="1"/>
  </r>
  <r>
    <x v="0"/>
    <s v="Egypt"/>
    <x v="26"/>
    <x v="122"/>
    <x v="122"/>
    <m/>
    <m/>
    <s v="Break 30 Morning"/>
    <d v="1899-12-30T16:30:00"/>
    <d v="1899-12-30T17:00:00"/>
    <n v="0"/>
    <x v="1"/>
  </r>
  <r>
    <x v="0"/>
    <s v="Egypt"/>
    <x v="26"/>
    <x v="122"/>
    <x v="122"/>
    <d v="2025-06-14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4:30:00"/>
    <d v="1899-12-30T14:45:00"/>
    <n v="0"/>
    <x v="1"/>
  </r>
  <r>
    <x v="0"/>
    <s v="Egypt"/>
    <x v="26"/>
    <x v="122"/>
    <x v="122"/>
    <m/>
    <m/>
    <s v="Break 30 Morning"/>
    <d v="1899-12-30T17:45:00"/>
    <d v="1899-12-30T18:15:00"/>
    <n v="0"/>
    <x v="1"/>
  </r>
  <r>
    <x v="0"/>
    <s v="Egypt"/>
    <x v="26"/>
    <x v="122"/>
    <x v="122"/>
    <d v="2025-06-15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3:15:00"/>
    <d v="1899-12-30T13:30:00"/>
    <n v="0"/>
    <x v="1"/>
  </r>
  <r>
    <x v="0"/>
    <s v="Egypt"/>
    <x v="26"/>
    <x v="122"/>
    <x v="122"/>
    <m/>
    <m/>
    <s v="Break 30 Morning"/>
    <d v="1899-12-30T16:45:00"/>
    <d v="1899-12-30T17:15:00"/>
    <n v="0"/>
    <x v="1"/>
  </r>
  <r>
    <x v="0"/>
    <s v="Egypt"/>
    <x v="26"/>
    <x v="122"/>
    <x v="122"/>
    <d v="2025-06-16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1:00:00"/>
    <d v="1899-12-30T11:15:00"/>
    <n v="0"/>
    <x v="1"/>
  </r>
  <r>
    <x v="0"/>
    <s v="Egypt"/>
    <x v="26"/>
    <x v="122"/>
    <x v="122"/>
    <m/>
    <m/>
    <s v="Break 30 Morning"/>
    <d v="1899-12-30T13:45:00"/>
    <d v="1899-12-30T14:15:00"/>
    <n v="0"/>
    <x v="1"/>
  </r>
  <r>
    <x v="0"/>
    <s v="Egypt"/>
    <x v="26"/>
    <x v="122"/>
    <x v="122"/>
    <d v="2025-06-17T00:00:00"/>
    <m/>
    <s v="Day Off"/>
    <m/>
    <m/>
    <n v="0"/>
    <x v="1"/>
  </r>
  <r>
    <x v="0"/>
    <s v="Egypt"/>
    <x v="26"/>
    <x v="122"/>
    <x v="122"/>
    <d v="2025-06-18T00:00:00"/>
    <m/>
    <s v="Day Off"/>
    <m/>
    <m/>
    <n v="0"/>
    <x v="1"/>
  </r>
  <r>
    <x v="0"/>
    <s v="Egypt"/>
    <x v="26"/>
    <x v="122"/>
    <x v="122"/>
    <d v="2025-06-19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2:00:00"/>
    <d v="1899-12-30T12:15:00"/>
    <n v="0"/>
    <x v="1"/>
  </r>
  <r>
    <x v="0"/>
    <s v="Egypt"/>
    <x v="26"/>
    <x v="122"/>
    <x v="122"/>
    <m/>
    <m/>
    <s v="Break 30 Morning"/>
    <d v="1899-12-30T14:45:00"/>
    <d v="1899-12-30T15:15:00"/>
    <n v="0"/>
    <x v="1"/>
  </r>
  <r>
    <x v="0"/>
    <s v="Egypt"/>
    <x v="26"/>
    <x v="122"/>
    <x v="122"/>
    <d v="2025-06-20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2:30:00"/>
    <d v="1899-12-30T12:45:00"/>
    <n v="0"/>
    <x v="1"/>
  </r>
  <r>
    <x v="0"/>
    <s v="Egypt"/>
    <x v="26"/>
    <x v="122"/>
    <x v="122"/>
    <m/>
    <m/>
    <s v="Break 30 Morning"/>
    <d v="1899-12-30T15:15:00"/>
    <d v="1899-12-30T15:45:00"/>
    <n v="0"/>
    <x v="1"/>
  </r>
  <r>
    <x v="0"/>
    <s v="Egypt"/>
    <x v="26"/>
    <x v="122"/>
    <x v="122"/>
    <d v="2025-06-21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3:00:00"/>
    <d v="1899-12-30T13:15:00"/>
    <n v="0"/>
    <x v="1"/>
  </r>
  <r>
    <x v="0"/>
    <s v="Egypt"/>
    <x v="26"/>
    <x v="122"/>
    <x v="122"/>
    <m/>
    <m/>
    <s v="Break 30 Morning"/>
    <d v="1899-12-30T15:45:00"/>
    <d v="1899-12-30T16:15:00"/>
    <n v="0"/>
    <x v="1"/>
  </r>
  <r>
    <x v="0"/>
    <s v="Egypt"/>
    <x v="26"/>
    <x v="122"/>
    <x v="122"/>
    <d v="2025-06-22T00:00:00"/>
    <d v="1899-12-30T08:15:00"/>
    <s v="Non Telecom Assyot"/>
    <d v="1899-12-30T11:00:00"/>
    <d v="1899-12-30T19:15:00"/>
    <n v="29700"/>
    <x v="0"/>
  </r>
  <r>
    <x v="0"/>
    <s v="Egypt"/>
    <x v="26"/>
    <x v="122"/>
    <x v="122"/>
    <m/>
    <m/>
    <s v="Break 15 Morning"/>
    <d v="1899-12-30T14:00:00"/>
    <d v="1899-12-30T14:15:00"/>
    <n v="0"/>
    <x v="1"/>
  </r>
  <r>
    <x v="0"/>
    <s v="Egypt"/>
    <x v="26"/>
    <x v="122"/>
    <x v="122"/>
    <m/>
    <m/>
    <s v="Break 30 Morning"/>
    <d v="1899-12-30T16:45:00"/>
    <d v="1899-12-30T17:15:00"/>
    <n v="0"/>
    <x v="1"/>
  </r>
  <r>
    <x v="0"/>
    <s v="Egypt"/>
    <x v="26"/>
    <x v="122"/>
    <x v="122"/>
    <d v="2025-06-23T00:00:00"/>
    <m/>
    <s v="Day Off"/>
    <m/>
    <m/>
    <n v="0"/>
    <x v="1"/>
  </r>
  <r>
    <x v="0"/>
    <s v="Egypt"/>
    <x v="26"/>
    <x v="122"/>
    <x v="122"/>
    <d v="2025-06-24T00:00:00"/>
    <m/>
    <s v="Day Off"/>
    <m/>
    <m/>
    <n v="0"/>
    <x v="1"/>
  </r>
  <r>
    <x v="0"/>
    <s v="Egypt"/>
    <x v="26"/>
    <x v="122"/>
    <x v="122"/>
    <d v="2025-06-25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1:15:00"/>
    <d v="1899-12-30T11:30:00"/>
    <n v="0"/>
    <x v="1"/>
  </r>
  <r>
    <x v="0"/>
    <s v="Egypt"/>
    <x v="26"/>
    <x v="122"/>
    <x v="122"/>
    <m/>
    <m/>
    <s v="Break 30 Morning"/>
    <d v="1899-12-30T13:45:00"/>
    <d v="1899-12-30T14:15:00"/>
    <n v="0"/>
    <x v="1"/>
  </r>
  <r>
    <x v="0"/>
    <s v="Egypt"/>
    <x v="26"/>
    <x v="122"/>
    <x v="122"/>
    <d v="2025-06-26T00:00:00"/>
    <d v="1899-12-30T08:15:00"/>
    <s v="Annual Exception"/>
    <m/>
    <m/>
    <n v="29700"/>
    <x v="1"/>
  </r>
  <r>
    <x v="0"/>
    <s v="Egypt"/>
    <x v="26"/>
    <x v="122"/>
    <x v="122"/>
    <d v="2025-06-27T00:00:00"/>
    <d v="1899-12-30T08:15:00"/>
    <s v="Non Telecom Assyot"/>
    <d v="1899-12-30T09:00:00"/>
    <d v="1899-12-30T17:15:00"/>
    <n v="29700"/>
    <x v="0"/>
  </r>
  <r>
    <x v="0"/>
    <s v="Egypt"/>
    <x v="26"/>
    <x v="122"/>
    <x v="122"/>
    <m/>
    <m/>
    <s v="Break 15 Morning"/>
    <d v="1899-12-30T11:15:00"/>
    <d v="1899-12-30T11:30:00"/>
    <n v="0"/>
    <x v="1"/>
  </r>
  <r>
    <x v="0"/>
    <s v="Egypt"/>
    <x v="26"/>
    <x v="122"/>
    <x v="122"/>
    <m/>
    <m/>
    <s v="Break 30 Morning"/>
    <d v="1899-12-30T14:45:00"/>
    <d v="1899-12-30T15:15:00"/>
    <n v="0"/>
    <x v="1"/>
  </r>
  <r>
    <x v="0"/>
    <s v="Egypt"/>
    <x v="26"/>
    <x v="122"/>
    <x v="122"/>
    <d v="2025-06-28T00:00:00"/>
    <d v="1899-12-30T08:00:00"/>
    <s v="Non Reserved Annual"/>
    <d v="1899-12-30T09:15:00"/>
    <d v="1899-12-30T17:15:00"/>
    <n v="28800"/>
    <x v="1"/>
  </r>
  <r>
    <x v="0"/>
    <s v="Egypt"/>
    <x v="26"/>
    <x v="122"/>
    <x v="122"/>
    <m/>
    <m/>
    <s v="Non Reserved Annual"/>
    <d v="1899-12-30T09:15:00"/>
    <d v="1899-12-30T17:15:00"/>
    <n v="0"/>
    <x v="1"/>
  </r>
  <r>
    <x v="0"/>
    <s v="Egypt"/>
    <x v="26"/>
    <x v="122"/>
    <x v="122"/>
    <d v="2025-06-29T00:00:00"/>
    <m/>
    <s v="Day Off"/>
    <m/>
    <m/>
    <n v="0"/>
    <x v="1"/>
  </r>
  <r>
    <x v="0"/>
    <s v="Egypt"/>
    <x v="26"/>
    <x v="122"/>
    <x v="122"/>
    <d v="2025-06-30T00:00:00"/>
    <m/>
    <s v="Day Off"/>
    <m/>
    <m/>
    <n v="0"/>
    <x v="1"/>
  </r>
  <r>
    <x v="0"/>
    <s v="Egypt"/>
    <x v="26"/>
    <x v="123"/>
    <x v="123"/>
    <d v="2025-06-01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30:00"/>
    <d v="1899-12-30T11:45:00"/>
    <n v="0"/>
    <x v="1"/>
  </r>
  <r>
    <x v="0"/>
    <s v="Egypt"/>
    <x v="26"/>
    <x v="123"/>
    <x v="123"/>
    <m/>
    <m/>
    <s v="Break 30 Morning"/>
    <d v="1899-12-30T14:45:00"/>
    <d v="1899-12-30T15:15:00"/>
    <n v="0"/>
    <x v="1"/>
  </r>
  <r>
    <x v="0"/>
    <s v="Egypt"/>
    <x v="26"/>
    <x v="123"/>
    <x v="123"/>
    <d v="2025-06-02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15:00"/>
    <d v="1899-12-30T11:30:00"/>
    <n v="0"/>
    <x v="1"/>
  </r>
  <r>
    <x v="0"/>
    <s v="Egypt"/>
    <x v="26"/>
    <x v="123"/>
    <x v="123"/>
    <m/>
    <m/>
    <s v="Break 30 Morning"/>
    <d v="1899-12-30T14:15:00"/>
    <d v="1899-12-30T14:45:00"/>
    <n v="0"/>
    <x v="1"/>
  </r>
  <r>
    <x v="0"/>
    <s v="Egypt"/>
    <x v="26"/>
    <x v="123"/>
    <x v="123"/>
    <d v="2025-06-03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15:00"/>
    <d v="1899-12-30T11:30:00"/>
    <n v="0"/>
    <x v="1"/>
  </r>
  <r>
    <x v="0"/>
    <s v="Egypt"/>
    <x v="26"/>
    <x v="123"/>
    <x v="123"/>
    <m/>
    <m/>
    <s v="Break 30 Morning"/>
    <d v="1899-12-30T14:15:00"/>
    <d v="1899-12-30T14:45:00"/>
    <n v="0"/>
    <x v="1"/>
  </r>
  <r>
    <x v="0"/>
    <s v="Egypt"/>
    <x v="26"/>
    <x v="123"/>
    <x v="123"/>
    <d v="2025-06-04T00:00:00"/>
    <d v="1899-12-30T08:15:00"/>
    <s v="Annual Exception"/>
    <m/>
    <m/>
    <n v="29700"/>
    <x v="1"/>
  </r>
  <r>
    <x v="0"/>
    <s v="Egypt"/>
    <x v="26"/>
    <x v="123"/>
    <x v="123"/>
    <d v="2025-06-05T00:00:00"/>
    <m/>
    <s v="Day Off"/>
    <m/>
    <m/>
    <n v="0"/>
    <x v="1"/>
  </r>
  <r>
    <x v="0"/>
    <s v="Egypt"/>
    <x v="26"/>
    <x v="123"/>
    <x v="123"/>
    <d v="2025-06-06T00:00:00"/>
    <m/>
    <s v="Day Off"/>
    <m/>
    <m/>
    <n v="0"/>
    <x v="1"/>
  </r>
  <r>
    <x v="0"/>
    <s v="Egypt"/>
    <x v="26"/>
    <x v="123"/>
    <x v="123"/>
    <d v="2025-06-07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2:45:00"/>
    <d v="1899-12-30T13:00:00"/>
    <n v="0"/>
    <x v="1"/>
  </r>
  <r>
    <x v="0"/>
    <s v="Egypt"/>
    <x v="26"/>
    <x v="123"/>
    <x v="123"/>
    <m/>
    <m/>
    <s v="Break 30 Morning"/>
    <d v="1899-12-30T16:30:00"/>
    <d v="1899-12-30T17:00:00"/>
    <n v="0"/>
    <x v="1"/>
  </r>
  <r>
    <x v="0"/>
    <s v="Egypt"/>
    <x v="26"/>
    <x v="123"/>
    <x v="123"/>
    <d v="2025-06-08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3:00:00"/>
    <d v="1899-12-30T13:15:00"/>
    <n v="0"/>
    <x v="1"/>
  </r>
  <r>
    <x v="0"/>
    <s v="Egypt"/>
    <x v="26"/>
    <x v="123"/>
    <x v="123"/>
    <m/>
    <m/>
    <s v="Break 30 Morning"/>
    <d v="1899-12-30T16:15:00"/>
    <d v="1899-12-30T16:45:00"/>
    <n v="0"/>
    <x v="1"/>
  </r>
  <r>
    <x v="0"/>
    <s v="Egypt"/>
    <x v="26"/>
    <x v="123"/>
    <x v="123"/>
    <d v="2025-06-09T00:00:00"/>
    <d v="1899-12-30T08:15:00"/>
    <s v="Public holiday"/>
    <m/>
    <m/>
    <n v="29700"/>
    <x v="1"/>
  </r>
  <r>
    <x v="0"/>
    <s v="Egypt"/>
    <x v="26"/>
    <x v="123"/>
    <x v="123"/>
    <d v="2025-06-10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3:00:00"/>
    <d v="1899-12-30T13:15:00"/>
    <n v="0"/>
    <x v="1"/>
  </r>
  <r>
    <x v="0"/>
    <s v="Egypt"/>
    <x v="26"/>
    <x v="123"/>
    <x v="123"/>
    <m/>
    <m/>
    <s v="Break 30 Morning"/>
    <d v="1899-12-30T16:15:00"/>
    <d v="1899-12-30T16:45:00"/>
    <n v="0"/>
    <x v="1"/>
  </r>
  <r>
    <x v="0"/>
    <s v="Egypt"/>
    <x v="26"/>
    <x v="123"/>
    <x v="123"/>
    <d v="2025-06-11T00:00:00"/>
    <m/>
    <s v="Day Off"/>
    <m/>
    <m/>
    <n v="0"/>
    <x v="1"/>
  </r>
  <r>
    <x v="0"/>
    <s v="Egypt"/>
    <x v="26"/>
    <x v="123"/>
    <x v="123"/>
    <d v="2025-06-12T00:00:00"/>
    <m/>
    <s v="Day Off"/>
    <m/>
    <m/>
    <n v="0"/>
    <x v="1"/>
  </r>
  <r>
    <x v="0"/>
    <s v="Egypt"/>
    <x v="26"/>
    <x v="123"/>
    <x v="123"/>
    <d v="2025-06-13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0:15:00"/>
    <d v="1899-12-30T10:30:00"/>
    <n v="0"/>
    <x v="1"/>
  </r>
  <r>
    <x v="0"/>
    <s v="Egypt"/>
    <x v="26"/>
    <x v="123"/>
    <x v="123"/>
    <m/>
    <m/>
    <s v="Break 30 Morning"/>
    <d v="1899-12-30T14:00:00"/>
    <d v="1899-12-30T14:30:00"/>
    <n v="0"/>
    <x v="1"/>
  </r>
  <r>
    <x v="0"/>
    <s v="Egypt"/>
    <x v="26"/>
    <x v="123"/>
    <x v="123"/>
    <d v="2025-06-14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30:00"/>
    <d v="1899-12-30T11:45:00"/>
    <n v="0"/>
    <x v="1"/>
  </r>
  <r>
    <x v="0"/>
    <s v="Egypt"/>
    <x v="26"/>
    <x v="123"/>
    <x v="123"/>
    <m/>
    <m/>
    <s v="Break 30 Morning"/>
    <d v="1899-12-30T14:15:00"/>
    <d v="1899-12-30T14:45:00"/>
    <n v="0"/>
    <x v="1"/>
  </r>
  <r>
    <x v="0"/>
    <s v="Egypt"/>
    <x v="26"/>
    <x v="123"/>
    <x v="123"/>
    <d v="2025-06-15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00:00"/>
    <d v="1899-12-30T11:15:00"/>
    <n v="0"/>
    <x v="1"/>
  </r>
  <r>
    <x v="0"/>
    <s v="Egypt"/>
    <x v="26"/>
    <x v="123"/>
    <x v="123"/>
    <m/>
    <m/>
    <s v="Break 30 Morning"/>
    <d v="1899-12-30T14:15:00"/>
    <d v="1899-12-30T14:45:00"/>
    <n v="0"/>
    <x v="1"/>
  </r>
  <r>
    <x v="0"/>
    <s v="Egypt"/>
    <x v="26"/>
    <x v="123"/>
    <x v="123"/>
    <d v="2025-06-16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0:00:00"/>
    <d v="1899-12-30T10:15:00"/>
    <n v="0"/>
    <x v="1"/>
  </r>
  <r>
    <x v="0"/>
    <s v="Egypt"/>
    <x v="26"/>
    <x v="123"/>
    <x v="123"/>
    <m/>
    <m/>
    <s v="Break 30 Morning"/>
    <d v="1899-12-30T12:30:00"/>
    <d v="1899-12-30T13:00:00"/>
    <n v="0"/>
    <x v="1"/>
  </r>
  <r>
    <x v="0"/>
    <s v="Egypt"/>
    <x v="26"/>
    <x v="123"/>
    <x v="123"/>
    <d v="2025-06-17T00:00:00"/>
    <m/>
    <s v="Day Off"/>
    <m/>
    <m/>
    <n v="0"/>
    <x v="1"/>
  </r>
  <r>
    <x v="0"/>
    <s v="Egypt"/>
    <x v="26"/>
    <x v="123"/>
    <x v="123"/>
    <d v="2025-06-18T00:00:00"/>
    <m/>
    <s v="Day Off"/>
    <m/>
    <m/>
    <n v="0"/>
    <x v="1"/>
  </r>
  <r>
    <x v="0"/>
    <s v="Egypt"/>
    <x v="26"/>
    <x v="123"/>
    <x v="123"/>
    <d v="2025-06-19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3:45:00"/>
    <d v="1899-12-30T14:00:00"/>
    <n v="0"/>
    <x v="1"/>
  </r>
  <r>
    <x v="0"/>
    <s v="Egypt"/>
    <x v="26"/>
    <x v="123"/>
    <x v="123"/>
    <m/>
    <m/>
    <s v="Break 30 Morning"/>
    <d v="1899-12-30T16:45:00"/>
    <d v="1899-12-30T17:15:00"/>
    <n v="0"/>
    <x v="1"/>
  </r>
  <r>
    <x v="0"/>
    <s v="Egypt"/>
    <x v="26"/>
    <x v="123"/>
    <x v="123"/>
    <d v="2025-06-20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3:15:00"/>
    <d v="1899-12-30T13:30:00"/>
    <n v="0"/>
    <x v="1"/>
  </r>
  <r>
    <x v="0"/>
    <s v="Egypt"/>
    <x v="26"/>
    <x v="123"/>
    <x v="123"/>
    <m/>
    <m/>
    <s v="Break 30 Morning"/>
    <d v="1899-12-30T15:45:00"/>
    <d v="1899-12-30T16:15:00"/>
    <n v="0"/>
    <x v="1"/>
  </r>
  <r>
    <x v="0"/>
    <s v="Egypt"/>
    <x v="26"/>
    <x v="123"/>
    <x v="123"/>
    <d v="2025-06-21T00:00:00"/>
    <d v="1899-12-30T08:15:00"/>
    <s v="Non Telecom Assyot"/>
    <d v="1899-12-30T11:00:00"/>
    <d v="1899-12-30T19:15:00"/>
    <n v="29700"/>
    <x v="0"/>
  </r>
  <r>
    <x v="0"/>
    <s v="Egypt"/>
    <x v="26"/>
    <x v="123"/>
    <x v="123"/>
    <m/>
    <m/>
    <s v="Break 15 Morning"/>
    <d v="1899-12-30T13:15:00"/>
    <d v="1899-12-30T13:30:00"/>
    <n v="0"/>
    <x v="1"/>
  </r>
  <r>
    <x v="0"/>
    <s v="Egypt"/>
    <x v="26"/>
    <x v="123"/>
    <x v="123"/>
    <m/>
    <m/>
    <s v="Break 30 Morning"/>
    <d v="1899-12-30T15:45:00"/>
    <d v="1899-12-30T16:15:00"/>
    <n v="0"/>
    <x v="1"/>
  </r>
  <r>
    <x v="0"/>
    <s v="Egypt"/>
    <x v="26"/>
    <x v="123"/>
    <x v="123"/>
    <d v="2025-06-22T00:00:00"/>
    <d v="1899-12-30T08:15:00"/>
    <s v="Annual Exception"/>
    <m/>
    <m/>
    <n v="29700"/>
    <x v="1"/>
  </r>
  <r>
    <x v="0"/>
    <s v="Egypt"/>
    <x v="26"/>
    <x v="123"/>
    <x v="123"/>
    <d v="2025-06-23T00:00:00"/>
    <m/>
    <s v="Day Off"/>
    <m/>
    <m/>
    <n v="0"/>
    <x v="1"/>
  </r>
  <r>
    <x v="0"/>
    <s v="Egypt"/>
    <x v="26"/>
    <x v="123"/>
    <x v="123"/>
    <d v="2025-06-24T00:00:00"/>
    <m/>
    <s v="Day Off"/>
    <m/>
    <m/>
    <n v="0"/>
    <x v="1"/>
  </r>
  <r>
    <x v="0"/>
    <s v="Egypt"/>
    <x v="26"/>
    <x v="123"/>
    <x v="123"/>
    <d v="2025-06-25T00:00:00"/>
    <d v="1899-12-30T08:15:00"/>
    <s v="Annual Exception"/>
    <m/>
    <m/>
    <n v="29700"/>
    <x v="1"/>
  </r>
  <r>
    <x v="0"/>
    <s v="Egypt"/>
    <x v="26"/>
    <x v="123"/>
    <x v="123"/>
    <d v="2025-06-26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30:00"/>
    <d v="1899-12-30T11:45:00"/>
    <n v="0"/>
    <x v="1"/>
  </r>
  <r>
    <x v="0"/>
    <s v="Egypt"/>
    <x v="26"/>
    <x v="123"/>
    <x v="123"/>
    <m/>
    <m/>
    <s v="Break 30 Morning"/>
    <d v="1899-12-30T14:45:00"/>
    <d v="1899-12-30T15:15:00"/>
    <n v="0"/>
    <x v="1"/>
  </r>
  <r>
    <x v="0"/>
    <s v="Egypt"/>
    <x v="26"/>
    <x v="123"/>
    <x v="123"/>
    <d v="2025-06-27T00:00:00"/>
    <d v="1899-12-30T08:15:00"/>
    <s v="Non Telecom Assyot"/>
    <d v="1899-12-30T09:00:00"/>
    <d v="1899-12-30T17:15:00"/>
    <n v="29700"/>
    <x v="0"/>
  </r>
  <r>
    <x v="0"/>
    <s v="Egypt"/>
    <x v="26"/>
    <x v="123"/>
    <x v="123"/>
    <m/>
    <m/>
    <s v="Break 15 Morning"/>
    <d v="1899-12-30T11:30:00"/>
    <d v="1899-12-30T11:45:00"/>
    <n v="0"/>
    <x v="1"/>
  </r>
  <r>
    <x v="0"/>
    <s v="Egypt"/>
    <x v="26"/>
    <x v="123"/>
    <x v="123"/>
    <m/>
    <m/>
    <s v="Break 30 Morning"/>
    <d v="1899-12-30T15:15:00"/>
    <d v="1899-12-30T15:45:00"/>
    <n v="0"/>
    <x v="1"/>
  </r>
  <r>
    <x v="0"/>
    <s v="Egypt"/>
    <x v="26"/>
    <x v="123"/>
    <x v="123"/>
    <d v="2025-06-28T00:00:00"/>
    <d v="1899-12-30T08:15:00"/>
    <s v="Annual Exception"/>
    <m/>
    <m/>
    <n v="29700"/>
    <x v="1"/>
  </r>
  <r>
    <x v="0"/>
    <s v="Egypt"/>
    <x v="26"/>
    <x v="123"/>
    <x v="123"/>
    <d v="2025-06-29T00:00:00"/>
    <m/>
    <s v="Day Off"/>
    <m/>
    <m/>
    <n v="0"/>
    <x v="1"/>
  </r>
  <r>
    <x v="0"/>
    <s v="Egypt"/>
    <x v="26"/>
    <x v="123"/>
    <x v="123"/>
    <d v="2025-06-30T00:00:00"/>
    <m/>
    <s v="Day Off"/>
    <m/>
    <m/>
    <n v="0"/>
    <x v="1"/>
  </r>
  <r>
    <x v="0"/>
    <s v="Egypt"/>
    <x v="26"/>
    <x v="124"/>
    <x v="124"/>
    <d v="2025-06-05T00:00:00"/>
    <d v="1899-12-30T08:15:00"/>
    <s v="Public holiday"/>
    <m/>
    <m/>
    <n v="29700"/>
    <x v="1"/>
  </r>
  <r>
    <x v="0"/>
    <s v="Egypt"/>
    <x v="26"/>
    <x v="124"/>
    <x v="124"/>
    <d v="2025-06-06T00:00:00"/>
    <m/>
    <s v="Day Off"/>
    <m/>
    <m/>
    <n v="0"/>
    <x v="1"/>
  </r>
  <r>
    <x v="0"/>
    <s v="Egypt"/>
    <x v="26"/>
    <x v="124"/>
    <x v="124"/>
    <d v="2025-06-07T00:00:00"/>
    <m/>
    <s v="Day Off"/>
    <m/>
    <m/>
    <n v="0"/>
    <x v="1"/>
  </r>
  <r>
    <x v="0"/>
    <s v="Egypt"/>
    <x v="26"/>
    <x v="124"/>
    <x v="124"/>
    <d v="2025-06-08T00:00:00"/>
    <d v="1899-12-30T08:15:00"/>
    <s v="Public holiday"/>
    <m/>
    <m/>
    <n v="29700"/>
    <x v="1"/>
  </r>
  <r>
    <x v="0"/>
    <s v="Egypt"/>
    <x v="26"/>
    <x v="124"/>
    <x v="124"/>
    <d v="2025-06-09T00:00:00"/>
    <m/>
    <s v="Day Off"/>
    <m/>
    <m/>
    <n v="0"/>
    <x v="1"/>
  </r>
  <r>
    <x v="0"/>
    <s v="Egypt"/>
    <x v="26"/>
    <x v="124"/>
    <x v="124"/>
    <d v="2025-06-10T00:00:00"/>
    <m/>
    <s v="Day Off"/>
    <m/>
    <m/>
    <n v="0"/>
    <x v="1"/>
  </r>
  <r>
    <x v="0"/>
    <s v="Egypt"/>
    <x v="26"/>
    <x v="124"/>
    <x v="124"/>
    <d v="2025-06-11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0:45:00"/>
    <d v="1899-12-30T11:00:00"/>
    <n v="0"/>
    <x v="1"/>
  </r>
  <r>
    <x v="0"/>
    <s v="Egypt"/>
    <x v="26"/>
    <x v="124"/>
    <x v="124"/>
    <m/>
    <m/>
    <s v="One to One"/>
    <d v="1899-12-30T12:00:00"/>
    <d v="1899-12-30T12:15:00"/>
    <n v="0"/>
    <x v="1"/>
  </r>
  <r>
    <x v="0"/>
    <s v="Egypt"/>
    <x v="26"/>
    <x v="124"/>
    <x v="124"/>
    <m/>
    <m/>
    <s v="Break 30 Morning"/>
    <d v="1899-12-30T14:15:00"/>
    <d v="1899-12-30T14:45:00"/>
    <n v="0"/>
    <x v="1"/>
  </r>
  <r>
    <x v="0"/>
    <s v="Egypt"/>
    <x v="26"/>
    <x v="124"/>
    <x v="124"/>
    <d v="2025-06-12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0:45:00"/>
    <d v="1899-12-30T11:00:00"/>
    <n v="0"/>
    <x v="1"/>
  </r>
  <r>
    <x v="0"/>
    <s v="Egypt"/>
    <x v="26"/>
    <x v="124"/>
    <x v="124"/>
    <m/>
    <m/>
    <s v="One to One"/>
    <d v="1899-12-30T12:00:00"/>
    <d v="1899-12-30T12:15:00"/>
    <n v="0"/>
    <x v="1"/>
  </r>
  <r>
    <x v="0"/>
    <s v="Egypt"/>
    <x v="26"/>
    <x v="124"/>
    <x v="124"/>
    <m/>
    <m/>
    <s v="Break 30 Morning"/>
    <d v="1899-12-30T13:45:00"/>
    <d v="1899-12-30T14:15:00"/>
    <n v="0"/>
    <x v="1"/>
  </r>
  <r>
    <x v="0"/>
    <s v="Egypt"/>
    <x v="26"/>
    <x v="124"/>
    <x v="124"/>
    <d v="2025-06-13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0:15:00"/>
    <d v="1899-12-30T10:30:00"/>
    <n v="0"/>
    <x v="1"/>
  </r>
  <r>
    <x v="0"/>
    <s v="Egypt"/>
    <x v="26"/>
    <x v="124"/>
    <x v="124"/>
    <m/>
    <m/>
    <s v="One to One"/>
    <d v="1899-12-30T11:30:00"/>
    <d v="1899-12-30T11:45:00"/>
    <n v="0"/>
    <x v="1"/>
  </r>
  <r>
    <x v="0"/>
    <s v="Egypt"/>
    <x v="26"/>
    <x v="124"/>
    <x v="124"/>
    <m/>
    <m/>
    <s v="Break 30 Morning"/>
    <d v="1899-12-30T14:00:00"/>
    <d v="1899-12-30T14:30:00"/>
    <n v="0"/>
    <x v="1"/>
  </r>
  <r>
    <x v="0"/>
    <s v="Egypt"/>
    <x v="26"/>
    <x v="124"/>
    <x v="124"/>
    <d v="2025-06-14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1:30:00"/>
    <d v="1899-12-30T11:45:00"/>
    <n v="0"/>
    <x v="1"/>
  </r>
  <r>
    <x v="0"/>
    <s v="Egypt"/>
    <x v="26"/>
    <x v="124"/>
    <x v="124"/>
    <m/>
    <m/>
    <s v="One to One"/>
    <d v="1899-12-30T12:15:00"/>
    <d v="1899-12-30T12:30:00"/>
    <n v="0"/>
    <x v="1"/>
  </r>
  <r>
    <x v="0"/>
    <s v="Egypt"/>
    <x v="26"/>
    <x v="124"/>
    <x v="124"/>
    <m/>
    <m/>
    <s v="Break 30 Morning"/>
    <d v="1899-12-30T14:15:00"/>
    <d v="1899-12-30T14:45:00"/>
    <n v="0"/>
    <x v="1"/>
  </r>
  <r>
    <x v="0"/>
    <s v="Egypt"/>
    <x v="26"/>
    <x v="124"/>
    <x v="124"/>
    <d v="2025-06-15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1:00:00"/>
    <d v="1899-12-30T11:15:00"/>
    <n v="0"/>
    <x v="1"/>
  </r>
  <r>
    <x v="0"/>
    <s v="Egypt"/>
    <x v="26"/>
    <x v="124"/>
    <x v="124"/>
    <m/>
    <m/>
    <s v="Break 30 Morning"/>
    <d v="1899-12-30T14:15:00"/>
    <d v="1899-12-30T14:45:00"/>
    <n v="0"/>
    <x v="1"/>
  </r>
  <r>
    <x v="0"/>
    <s v="Egypt"/>
    <x v="26"/>
    <x v="124"/>
    <x v="124"/>
    <d v="2025-06-16T00:00:00"/>
    <m/>
    <s v="Day Off"/>
    <m/>
    <m/>
    <n v="0"/>
    <x v="1"/>
  </r>
  <r>
    <x v="0"/>
    <s v="Egypt"/>
    <x v="26"/>
    <x v="124"/>
    <x v="124"/>
    <d v="2025-06-17T00:00:00"/>
    <m/>
    <s v="Day Off"/>
    <m/>
    <m/>
    <n v="0"/>
    <x v="1"/>
  </r>
  <r>
    <x v="0"/>
    <s v="Egypt"/>
    <x v="26"/>
    <x v="124"/>
    <x v="124"/>
    <d v="2025-06-18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1:00:00"/>
    <d v="1899-12-30T11:15:00"/>
    <n v="0"/>
    <x v="1"/>
  </r>
  <r>
    <x v="0"/>
    <s v="Egypt"/>
    <x v="26"/>
    <x v="124"/>
    <x v="124"/>
    <m/>
    <m/>
    <s v="Break 30 Morning"/>
    <d v="1899-12-30T13:45:00"/>
    <d v="1899-12-30T14:15:00"/>
    <n v="0"/>
    <x v="1"/>
  </r>
  <r>
    <x v="0"/>
    <s v="Egypt"/>
    <x v="26"/>
    <x v="124"/>
    <x v="124"/>
    <d v="2025-06-19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1:00:00"/>
    <d v="1899-12-30T11:15:00"/>
    <n v="0"/>
    <x v="1"/>
  </r>
  <r>
    <x v="0"/>
    <s v="Egypt"/>
    <x v="26"/>
    <x v="124"/>
    <x v="124"/>
    <m/>
    <m/>
    <s v="Break 30 Morning"/>
    <d v="1899-12-30T13:45:00"/>
    <d v="1899-12-30T14:15:00"/>
    <n v="0"/>
    <x v="1"/>
  </r>
  <r>
    <x v="0"/>
    <s v="Egypt"/>
    <x v="26"/>
    <x v="124"/>
    <x v="124"/>
    <d v="2025-06-20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0:30:00"/>
    <d v="1899-12-30T10:45:00"/>
    <n v="0"/>
    <x v="1"/>
  </r>
  <r>
    <x v="0"/>
    <s v="Egypt"/>
    <x v="26"/>
    <x v="124"/>
    <x v="124"/>
    <m/>
    <m/>
    <s v="Break 30 Morning"/>
    <d v="1899-12-30T13:15:00"/>
    <d v="1899-12-30T13:45:00"/>
    <n v="0"/>
    <x v="1"/>
  </r>
  <r>
    <x v="0"/>
    <s v="Egypt"/>
    <x v="26"/>
    <x v="124"/>
    <x v="124"/>
    <d v="2025-06-21T00:00:00"/>
    <d v="1899-12-30T08:15:00"/>
    <s v="Non Telecom Assyot"/>
    <d v="1899-12-30T09:00:00"/>
    <d v="1899-12-30T17:15:00"/>
    <n v="29700"/>
    <x v="0"/>
  </r>
  <r>
    <x v="0"/>
    <s v="Egypt"/>
    <x v="26"/>
    <x v="124"/>
    <x v="124"/>
    <m/>
    <m/>
    <s v="Break 15 Morning"/>
    <d v="1899-12-30T11:00:00"/>
    <d v="1899-12-30T11:15:00"/>
    <n v="0"/>
    <x v="1"/>
  </r>
  <r>
    <x v="0"/>
    <s v="Egypt"/>
    <x v="26"/>
    <x v="124"/>
    <x v="124"/>
    <m/>
    <m/>
    <s v="Break 30 Morning"/>
    <d v="1899-12-30T13:45:00"/>
    <d v="1899-12-30T14:15:00"/>
    <n v="0"/>
    <x v="1"/>
  </r>
  <r>
    <x v="0"/>
    <s v="Egypt"/>
    <x v="26"/>
    <x v="124"/>
    <x v="124"/>
    <d v="2025-06-22T00:00:00"/>
    <m/>
    <s v="Day Off"/>
    <m/>
    <m/>
    <n v="0"/>
    <x v="1"/>
  </r>
  <r>
    <x v="0"/>
    <s v="Egypt"/>
    <x v="26"/>
    <x v="124"/>
    <x v="124"/>
    <d v="2025-06-23T00:00:00"/>
    <m/>
    <s v="Day Off"/>
    <m/>
    <m/>
    <n v="0"/>
    <x v="1"/>
  </r>
  <r>
    <x v="0"/>
    <s v="Egypt"/>
    <x v="26"/>
    <x v="124"/>
    <x v="124"/>
    <d v="2025-06-24T00:00:00"/>
    <d v="1899-12-30T00:00:00"/>
    <s v="&lt;Exception&gt; -1"/>
    <m/>
    <m/>
    <n v="0"/>
    <x v="1"/>
  </r>
  <r>
    <x v="0"/>
    <s v="Egypt"/>
    <x v="26"/>
    <x v="124"/>
    <x v="124"/>
    <d v="2025-06-25T00:00:00"/>
    <d v="1899-12-30T08:15:00"/>
    <s v="Non Telecom Assyot"/>
    <d v="1899-12-30T11:00:00"/>
    <d v="1899-12-30T19:15:00"/>
    <n v="29700"/>
    <x v="0"/>
  </r>
  <r>
    <x v="0"/>
    <s v="Egypt"/>
    <x v="26"/>
    <x v="124"/>
    <x v="124"/>
    <m/>
    <m/>
    <s v="Break 15 Morning"/>
    <d v="1899-12-30T13:00:00"/>
    <d v="1899-12-30T13:15:00"/>
    <n v="0"/>
    <x v="1"/>
  </r>
  <r>
    <x v="0"/>
    <s v="Egypt"/>
    <x v="26"/>
    <x v="124"/>
    <x v="124"/>
    <m/>
    <m/>
    <s v="Break 30 Morning"/>
    <d v="1899-12-30T15:45:00"/>
    <d v="1899-12-30T16:15:00"/>
    <n v="0"/>
    <x v="1"/>
  </r>
  <r>
    <x v="0"/>
    <s v="Egypt"/>
    <x v="26"/>
    <x v="124"/>
    <x v="124"/>
    <d v="2025-06-26T00:00:00"/>
    <d v="1899-12-30T08:15:00"/>
    <s v="Non Telecom Assyot"/>
    <d v="1899-12-30T11:00:00"/>
    <d v="1899-12-30T19:15:00"/>
    <n v="29700"/>
    <x v="0"/>
  </r>
  <r>
    <x v="0"/>
    <s v="Egypt"/>
    <x v="26"/>
    <x v="124"/>
    <x v="124"/>
    <m/>
    <m/>
    <s v="Break 15 Morning"/>
    <d v="1899-12-30T12:45:00"/>
    <d v="1899-12-30T13:00:00"/>
    <n v="0"/>
    <x v="1"/>
  </r>
  <r>
    <x v="0"/>
    <s v="Egypt"/>
    <x v="26"/>
    <x v="124"/>
    <x v="124"/>
    <m/>
    <m/>
    <s v="Break 30 Morning"/>
    <d v="1899-12-30T16:15:00"/>
    <d v="1899-12-30T16:45:00"/>
    <n v="0"/>
    <x v="1"/>
  </r>
  <r>
    <x v="0"/>
    <s v="Egypt"/>
    <x v="26"/>
    <x v="124"/>
    <x v="124"/>
    <d v="2025-06-27T00:00:00"/>
    <d v="1899-12-30T08:15:00"/>
    <s v="Non Telecom Assyot"/>
    <d v="1899-12-30T11:00:00"/>
    <d v="1899-12-30T19:15:00"/>
    <n v="29700"/>
    <x v="0"/>
  </r>
  <r>
    <x v="0"/>
    <s v="Egypt"/>
    <x v="26"/>
    <x v="124"/>
    <x v="124"/>
    <m/>
    <m/>
    <s v="Break 15 Morning"/>
    <d v="1899-12-30T13:00:00"/>
    <d v="1899-12-30T13:15:00"/>
    <n v="0"/>
    <x v="1"/>
  </r>
  <r>
    <x v="0"/>
    <s v="Egypt"/>
    <x v="26"/>
    <x v="124"/>
    <x v="124"/>
    <m/>
    <m/>
    <s v="Break 30 Morning"/>
    <d v="1899-12-30T16:15:00"/>
    <d v="1899-12-30T16:45:00"/>
    <n v="0"/>
    <x v="1"/>
  </r>
  <r>
    <x v="0"/>
    <s v="Egypt"/>
    <x v="26"/>
    <x v="124"/>
    <x v="124"/>
    <d v="2025-06-28T00:00:00"/>
    <d v="1899-12-30T08:15:00"/>
    <s v="Non Telecom Assyot"/>
    <d v="1899-12-30T11:00:00"/>
    <d v="1899-12-30T19:15:00"/>
    <n v="29700"/>
    <x v="0"/>
  </r>
  <r>
    <x v="0"/>
    <s v="Egypt"/>
    <x v="26"/>
    <x v="124"/>
    <x v="124"/>
    <m/>
    <m/>
    <s v="Break 15 Morning"/>
    <d v="1899-12-30T13:00:00"/>
    <d v="1899-12-30T13:15:00"/>
    <n v="0"/>
    <x v="1"/>
  </r>
  <r>
    <x v="0"/>
    <s v="Egypt"/>
    <x v="26"/>
    <x v="124"/>
    <x v="124"/>
    <m/>
    <m/>
    <s v="Break 30 Morning"/>
    <d v="1899-12-30T16:15:00"/>
    <d v="1899-12-30T16:45:00"/>
    <n v="0"/>
    <x v="1"/>
  </r>
  <r>
    <x v="0"/>
    <s v="Egypt"/>
    <x v="26"/>
    <x v="124"/>
    <x v="124"/>
    <d v="2025-06-29T00:00:00"/>
    <m/>
    <s v="Day Off"/>
    <m/>
    <m/>
    <n v="0"/>
    <x v="1"/>
  </r>
  <r>
    <x v="0"/>
    <s v="Egypt"/>
    <x v="26"/>
    <x v="124"/>
    <x v="124"/>
    <d v="2025-06-30T00:00:00"/>
    <m/>
    <s v="Day Off"/>
    <m/>
    <m/>
    <n v="0"/>
    <x v="1"/>
  </r>
  <r>
    <x v="0"/>
    <s v="Egypt"/>
    <x v="26"/>
    <x v="125"/>
    <x v="125"/>
    <d v="2025-06-01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45:00"/>
    <d v="1899-12-30T12:00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m/>
    <m/>
    <s v="Leave Early"/>
    <d v="1899-12-30T15:15:00"/>
    <d v="1899-12-30T17:15:00"/>
    <n v="0"/>
    <x v="1"/>
  </r>
  <r>
    <x v="0"/>
    <s v="Egypt"/>
    <x v="26"/>
    <x v="125"/>
    <x v="125"/>
    <d v="2025-06-02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30:00"/>
    <d v="1899-12-30T11:45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03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30:00"/>
    <d v="1899-12-30T11:45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04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15:00"/>
    <d v="1899-12-30T13:30:00"/>
    <n v="0"/>
    <x v="1"/>
  </r>
  <r>
    <x v="0"/>
    <s v="Egypt"/>
    <x v="26"/>
    <x v="125"/>
    <x v="125"/>
    <m/>
    <m/>
    <s v="Break 30 Morning"/>
    <d v="1899-12-30T16:15:00"/>
    <d v="1899-12-30T16:45:00"/>
    <n v="0"/>
    <x v="1"/>
  </r>
  <r>
    <x v="0"/>
    <s v="Egypt"/>
    <x v="26"/>
    <x v="125"/>
    <x v="125"/>
    <d v="2025-06-05T00:00:00"/>
    <m/>
    <s v="Day Off"/>
    <m/>
    <m/>
    <n v="0"/>
    <x v="1"/>
  </r>
  <r>
    <x v="0"/>
    <s v="Egypt"/>
    <x v="26"/>
    <x v="125"/>
    <x v="125"/>
    <d v="2025-06-06T00:00:00"/>
    <m/>
    <s v="Day Off"/>
    <m/>
    <m/>
    <n v="0"/>
    <x v="1"/>
  </r>
  <r>
    <x v="0"/>
    <s v="Egypt"/>
    <x v="26"/>
    <x v="125"/>
    <x v="125"/>
    <d v="2025-06-07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00:00"/>
    <d v="1899-12-30T13:15:00"/>
    <n v="0"/>
    <x v="1"/>
  </r>
  <r>
    <x v="0"/>
    <s v="Egypt"/>
    <x v="26"/>
    <x v="125"/>
    <x v="125"/>
    <m/>
    <m/>
    <s v="Break 30 Morning"/>
    <d v="1899-12-30T16:30:00"/>
    <d v="1899-12-30T17:00:00"/>
    <n v="0"/>
    <x v="1"/>
  </r>
  <r>
    <x v="0"/>
    <s v="Egypt"/>
    <x v="26"/>
    <x v="125"/>
    <x v="125"/>
    <d v="2025-06-08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00:00"/>
    <d v="1899-12-30T13:15:00"/>
    <n v="0"/>
    <x v="1"/>
  </r>
  <r>
    <x v="0"/>
    <s v="Egypt"/>
    <x v="26"/>
    <x v="125"/>
    <x v="125"/>
    <m/>
    <m/>
    <s v="Break 30 Morning"/>
    <d v="1899-12-30T16:15:00"/>
    <d v="1899-12-30T16:45:00"/>
    <n v="0"/>
    <x v="1"/>
  </r>
  <r>
    <x v="0"/>
    <s v="Egypt"/>
    <x v="26"/>
    <x v="125"/>
    <x v="125"/>
    <d v="2025-06-09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00:00"/>
    <d v="1899-12-30T13:15:00"/>
    <n v="0"/>
    <x v="1"/>
  </r>
  <r>
    <x v="0"/>
    <s v="Egypt"/>
    <x v="26"/>
    <x v="125"/>
    <x v="125"/>
    <m/>
    <m/>
    <s v="Break 30 Morning"/>
    <d v="1899-12-30T16:30:00"/>
    <d v="1899-12-30T17:00:00"/>
    <n v="0"/>
    <x v="1"/>
  </r>
  <r>
    <x v="0"/>
    <s v="Egypt"/>
    <x v="26"/>
    <x v="125"/>
    <x v="125"/>
    <d v="2025-06-10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00:00"/>
    <d v="1899-12-30T13:15:00"/>
    <n v="0"/>
    <x v="1"/>
  </r>
  <r>
    <x v="0"/>
    <s v="Egypt"/>
    <x v="26"/>
    <x v="125"/>
    <x v="125"/>
    <m/>
    <m/>
    <s v="Break 30 Morning"/>
    <d v="1899-12-30T16:15:00"/>
    <d v="1899-12-30T16:45:00"/>
    <n v="0"/>
    <x v="1"/>
  </r>
  <r>
    <x v="0"/>
    <s v="Egypt"/>
    <x v="26"/>
    <x v="125"/>
    <x v="125"/>
    <d v="2025-06-11T00:00:00"/>
    <m/>
    <s v="Day Off"/>
    <m/>
    <m/>
    <n v="0"/>
    <x v="1"/>
  </r>
  <r>
    <x v="0"/>
    <s v="Egypt"/>
    <x v="26"/>
    <x v="125"/>
    <x v="125"/>
    <d v="2025-06-12T00:00:00"/>
    <m/>
    <s v="Day Off"/>
    <m/>
    <m/>
    <n v="0"/>
    <x v="1"/>
  </r>
  <r>
    <x v="0"/>
    <s v="Egypt"/>
    <x v="26"/>
    <x v="125"/>
    <x v="125"/>
    <d v="2025-06-13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0:45:00"/>
    <d v="1899-12-30T11:00:00"/>
    <n v="0"/>
    <x v="1"/>
  </r>
  <r>
    <x v="0"/>
    <s v="Egypt"/>
    <x v="26"/>
    <x v="125"/>
    <x v="125"/>
    <m/>
    <m/>
    <s v="Break 30 Morning"/>
    <d v="1899-12-30T14:00:00"/>
    <d v="1899-12-30T14:30:00"/>
    <n v="0"/>
    <x v="1"/>
  </r>
  <r>
    <x v="0"/>
    <s v="Egypt"/>
    <x v="26"/>
    <x v="125"/>
    <x v="125"/>
    <d v="2025-06-14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45:00"/>
    <d v="1899-12-30T12:00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15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15:00"/>
    <d v="1899-12-30T11:30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16T00:00:00"/>
    <d v="1899-12-30T08:15:00"/>
    <s v="No show"/>
    <d v="1899-12-30T09:00:00"/>
    <d v="1899-12-30T17:15:00"/>
    <n v="29700"/>
    <x v="1"/>
  </r>
  <r>
    <x v="0"/>
    <s v="Egypt"/>
    <x v="26"/>
    <x v="125"/>
    <x v="125"/>
    <d v="2025-06-17T00:00:00"/>
    <m/>
    <s v="Day Off"/>
    <m/>
    <m/>
    <n v="0"/>
    <x v="1"/>
  </r>
  <r>
    <x v="0"/>
    <s v="Egypt"/>
    <x v="26"/>
    <x v="125"/>
    <x v="125"/>
    <d v="2025-06-18T00:00:00"/>
    <m/>
    <s v="Day Off"/>
    <m/>
    <m/>
    <n v="0"/>
    <x v="1"/>
  </r>
  <r>
    <x v="0"/>
    <s v="Egypt"/>
    <x v="26"/>
    <x v="125"/>
    <x v="125"/>
    <d v="2025-06-19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4:00:00"/>
    <d v="1899-12-30T14:15:00"/>
    <n v="0"/>
    <x v="1"/>
  </r>
  <r>
    <x v="0"/>
    <s v="Egypt"/>
    <x v="26"/>
    <x v="125"/>
    <x v="125"/>
    <m/>
    <m/>
    <s v="Break 30 Morning"/>
    <d v="1899-12-30T16:45:00"/>
    <d v="1899-12-30T17:15:00"/>
    <n v="0"/>
    <x v="1"/>
  </r>
  <r>
    <x v="0"/>
    <s v="Egypt"/>
    <x v="26"/>
    <x v="125"/>
    <x v="125"/>
    <d v="2025-06-20T00:00:00"/>
    <d v="1899-12-30T08:15:00"/>
    <s v="Annual Exception"/>
    <m/>
    <m/>
    <n v="29700"/>
    <x v="1"/>
  </r>
  <r>
    <x v="0"/>
    <s v="Egypt"/>
    <x v="26"/>
    <x v="125"/>
    <x v="125"/>
    <d v="2025-06-21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30:00"/>
    <d v="1899-12-30T13:45:00"/>
    <n v="0"/>
    <x v="1"/>
  </r>
  <r>
    <x v="0"/>
    <s v="Egypt"/>
    <x v="26"/>
    <x v="125"/>
    <x v="125"/>
    <m/>
    <m/>
    <s v="Break 30 Morning"/>
    <d v="1899-12-30T16:15:00"/>
    <d v="1899-12-30T16:45:00"/>
    <n v="0"/>
    <x v="1"/>
  </r>
  <r>
    <x v="0"/>
    <s v="Egypt"/>
    <x v="26"/>
    <x v="125"/>
    <x v="125"/>
    <d v="2025-06-22T00:00:00"/>
    <d v="1899-12-30T08:15:00"/>
    <s v="Annual Exception"/>
    <m/>
    <m/>
    <n v="29700"/>
    <x v="1"/>
  </r>
  <r>
    <x v="0"/>
    <s v="Egypt"/>
    <x v="26"/>
    <x v="125"/>
    <x v="125"/>
    <d v="2025-06-23T00:00:00"/>
    <m/>
    <s v="Day Off"/>
    <m/>
    <m/>
    <n v="0"/>
    <x v="1"/>
  </r>
  <r>
    <x v="0"/>
    <s v="Egypt"/>
    <x v="26"/>
    <x v="125"/>
    <x v="125"/>
    <d v="2025-06-24T00:00:00"/>
    <m/>
    <s v="Day Off"/>
    <m/>
    <m/>
    <n v="0"/>
    <x v="1"/>
  </r>
  <r>
    <x v="0"/>
    <s v="Egypt"/>
    <x v="26"/>
    <x v="125"/>
    <x v="125"/>
    <d v="2025-06-25T00:00:00"/>
    <d v="1899-12-30T08:15:00"/>
    <s v="Annual Exception"/>
    <m/>
    <m/>
    <n v="29700"/>
    <x v="1"/>
  </r>
  <r>
    <x v="0"/>
    <s v="Egypt"/>
    <x v="26"/>
    <x v="125"/>
    <x v="125"/>
    <d v="2025-06-26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30:00"/>
    <d v="1899-12-30T11:45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27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45:00"/>
    <d v="1899-12-30T12:00:00"/>
    <n v="0"/>
    <x v="1"/>
  </r>
  <r>
    <x v="0"/>
    <s v="Egypt"/>
    <x v="26"/>
    <x v="125"/>
    <x v="125"/>
    <m/>
    <m/>
    <s v="Break 30 Morning"/>
    <d v="1899-12-30T15:15:00"/>
    <d v="1899-12-30T15:45:00"/>
    <n v="0"/>
    <x v="1"/>
  </r>
  <r>
    <x v="0"/>
    <s v="Egypt"/>
    <x v="26"/>
    <x v="125"/>
    <x v="125"/>
    <d v="2025-06-28T00:00:00"/>
    <d v="1899-12-30T08:15:00"/>
    <s v="Non Telecom Assyot"/>
    <d v="1899-12-30T09:00:00"/>
    <d v="1899-12-30T17:15:00"/>
    <n v="29700"/>
    <x v="0"/>
  </r>
  <r>
    <x v="0"/>
    <s v="Egypt"/>
    <x v="26"/>
    <x v="125"/>
    <x v="125"/>
    <m/>
    <m/>
    <s v="Break 15 Morning"/>
    <d v="1899-12-30T11:45:00"/>
    <d v="1899-12-30T12:00:00"/>
    <n v="0"/>
    <x v="1"/>
  </r>
  <r>
    <x v="0"/>
    <s v="Egypt"/>
    <x v="26"/>
    <x v="125"/>
    <x v="125"/>
    <m/>
    <m/>
    <s v="Break 30 Morning"/>
    <d v="1899-12-30T14:45:00"/>
    <d v="1899-12-30T15:15:00"/>
    <n v="0"/>
    <x v="1"/>
  </r>
  <r>
    <x v="0"/>
    <s v="Egypt"/>
    <x v="26"/>
    <x v="125"/>
    <x v="125"/>
    <d v="2025-06-29T00:00:00"/>
    <m/>
    <s v="Day Off"/>
    <m/>
    <m/>
    <n v="0"/>
    <x v="1"/>
  </r>
  <r>
    <x v="0"/>
    <s v="Egypt"/>
    <x v="26"/>
    <x v="125"/>
    <x v="125"/>
    <d v="2025-06-30T00:00:00"/>
    <d v="1899-12-30T08:15:00"/>
    <s v="Non Telecom Assyot"/>
    <d v="1899-12-30T11:00:00"/>
    <d v="1899-12-30T19:15:00"/>
    <n v="29700"/>
    <x v="0"/>
  </r>
  <r>
    <x v="0"/>
    <s v="Egypt"/>
    <x v="26"/>
    <x v="125"/>
    <x v="125"/>
    <m/>
    <m/>
    <s v="Break 15 Morning"/>
    <d v="1899-12-30T13:00:00"/>
    <d v="1899-12-30T13:15:00"/>
    <n v="0"/>
    <x v="1"/>
  </r>
  <r>
    <x v="0"/>
    <s v="Egypt"/>
    <x v="26"/>
    <x v="125"/>
    <x v="125"/>
    <m/>
    <m/>
    <s v="Break 30 Morning"/>
    <d v="1899-12-30T16:15:00"/>
    <d v="1899-12-30T16:45:00"/>
    <n v="0"/>
    <x v="1"/>
  </r>
  <r>
    <x v="0"/>
    <s v="Egypt"/>
    <x v="27"/>
    <x v="126"/>
    <x v="126"/>
    <d v="2025-06-01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30:00"/>
    <d v="1899-12-30T15:45:00"/>
    <n v="0"/>
    <x v="1"/>
  </r>
  <r>
    <x v="0"/>
    <s v="Egypt"/>
    <x v="27"/>
    <x v="126"/>
    <x v="126"/>
    <m/>
    <m/>
    <s v="Break 30 Morning"/>
    <d v="1899-12-30T19:00:00"/>
    <d v="1899-12-30T19:30:00"/>
    <n v="0"/>
    <x v="1"/>
  </r>
  <r>
    <x v="0"/>
    <s v="Egypt"/>
    <x v="27"/>
    <x v="126"/>
    <x v="126"/>
    <d v="2025-06-02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30:00"/>
    <d v="1899-12-30T15:45:00"/>
    <n v="0"/>
    <x v="1"/>
  </r>
  <r>
    <x v="0"/>
    <s v="Egypt"/>
    <x v="27"/>
    <x v="126"/>
    <x v="126"/>
    <m/>
    <m/>
    <s v="Break 30 Morning"/>
    <d v="1899-12-30T18:45:00"/>
    <d v="1899-12-30T19:15:00"/>
    <n v="0"/>
    <x v="1"/>
  </r>
  <r>
    <x v="0"/>
    <s v="Egypt"/>
    <x v="27"/>
    <x v="126"/>
    <x v="126"/>
    <d v="2025-06-03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45:00"/>
    <d v="1899-12-30T16:00:00"/>
    <n v="0"/>
    <x v="1"/>
  </r>
  <r>
    <x v="0"/>
    <s v="Egypt"/>
    <x v="27"/>
    <x v="126"/>
    <x v="126"/>
    <m/>
    <m/>
    <s v="Break 30 Morning"/>
    <d v="1899-12-30T18:45:00"/>
    <d v="1899-12-30T19:15:00"/>
    <n v="0"/>
    <x v="1"/>
  </r>
  <r>
    <x v="0"/>
    <s v="Egypt"/>
    <x v="27"/>
    <x v="126"/>
    <x v="126"/>
    <d v="2025-06-04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00:00"/>
    <d v="1899-12-30T15:15:00"/>
    <n v="0"/>
    <x v="1"/>
  </r>
  <r>
    <x v="0"/>
    <s v="Egypt"/>
    <x v="27"/>
    <x v="126"/>
    <x v="126"/>
    <m/>
    <m/>
    <s v="Break 30 Morning"/>
    <d v="1899-12-30T18:15:00"/>
    <d v="1899-12-30T18:45:00"/>
    <n v="0"/>
    <x v="1"/>
  </r>
  <r>
    <x v="0"/>
    <s v="Egypt"/>
    <x v="27"/>
    <x v="126"/>
    <x v="126"/>
    <d v="2025-06-05T00:00:00"/>
    <m/>
    <s v="Day Off"/>
    <m/>
    <m/>
    <n v="0"/>
    <x v="1"/>
  </r>
  <r>
    <x v="0"/>
    <s v="Egypt"/>
    <x v="27"/>
    <x v="126"/>
    <x v="126"/>
    <d v="2025-06-06T00:00:00"/>
    <m/>
    <s v="Day Off"/>
    <m/>
    <m/>
    <n v="0"/>
    <x v="1"/>
  </r>
  <r>
    <x v="0"/>
    <s v="Egypt"/>
    <x v="27"/>
    <x v="126"/>
    <x v="126"/>
    <d v="2025-06-07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9:00:00"/>
    <d v="1899-12-30T19:15:00"/>
    <n v="0"/>
    <x v="1"/>
  </r>
  <r>
    <x v="0"/>
    <s v="Egypt"/>
    <x v="27"/>
    <x v="126"/>
    <x v="126"/>
    <m/>
    <m/>
    <s v="Break 30 Night"/>
    <d v="1899-12-30T22:00:00"/>
    <d v="1899-12-30T22:30:00"/>
    <n v="0"/>
    <x v="1"/>
  </r>
  <r>
    <x v="0"/>
    <s v="Egypt"/>
    <x v="27"/>
    <x v="126"/>
    <x v="126"/>
    <d v="2025-06-08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8:45:00"/>
    <d v="1899-12-30T19:00:00"/>
    <n v="0"/>
    <x v="1"/>
  </r>
  <r>
    <x v="0"/>
    <s v="Egypt"/>
    <x v="27"/>
    <x v="126"/>
    <x v="126"/>
    <m/>
    <m/>
    <s v="Break 30 Night"/>
    <d v="1899-12-30T22:15:00"/>
    <d v="1899-12-30T22:45:00"/>
    <n v="0"/>
    <x v="1"/>
  </r>
  <r>
    <x v="0"/>
    <s v="Egypt"/>
    <x v="27"/>
    <x v="126"/>
    <x v="126"/>
    <d v="2025-06-09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8:30:00"/>
    <d v="1899-12-30T18:45:00"/>
    <n v="0"/>
    <x v="1"/>
  </r>
  <r>
    <x v="0"/>
    <s v="Egypt"/>
    <x v="27"/>
    <x v="126"/>
    <x v="126"/>
    <m/>
    <m/>
    <s v="Break 30 Night"/>
    <d v="1899-12-30T21:30:00"/>
    <d v="1899-12-30T22:00:00"/>
    <n v="0"/>
    <x v="1"/>
  </r>
  <r>
    <x v="0"/>
    <s v="Egypt"/>
    <x v="27"/>
    <x v="126"/>
    <x v="126"/>
    <d v="2025-06-10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8:45:00"/>
    <d v="1899-12-30T19:00:00"/>
    <n v="0"/>
    <x v="1"/>
  </r>
  <r>
    <x v="0"/>
    <s v="Egypt"/>
    <x v="27"/>
    <x v="126"/>
    <x v="126"/>
    <m/>
    <m/>
    <s v="Break 30 Night"/>
    <d v="1899-12-30T22:00:00"/>
    <d v="1899-12-30T22:30:00"/>
    <n v="0"/>
    <x v="1"/>
  </r>
  <r>
    <x v="0"/>
    <s v="Egypt"/>
    <x v="27"/>
    <x v="126"/>
    <x v="126"/>
    <d v="2025-06-11T00:00:00"/>
    <m/>
    <s v="Day Off"/>
    <m/>
    <m/>
    <n v="0"/>
    <x v="1"/>
  </r>
  <r>
    <x v="0"/>
    <s v="Egypt"/>
    <x v="27"/>
    <x v="126"/>
    <x v="126"/>
    <d v="2025-06-12T00:00:00"/>
    <m/>
    <s v="Day Off"/>
    <m/>
    <m/>
    <n v="0"/>
    <x v="1"/>
  </r>
  <r>
    <x v="0"/>
    <s v="Egypt"/>
    <x v="27"/>
    <x v="126"/>
    <x v="126"/>
    <d v="2025-06-13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15:00"/>
    <d v="1899-12-30T15:30:00"/>
    <n v="0"/>
    <x v="1"/>
  </r>
  <r>
    <x v="0"/>
    <s v="Egypt"/>
    <x v="27"/>
    <x v="126"/>
    <x v="126"/>
    <m/>
    <m/>
    <s v="Break 30 Morning"/>
    <d v="1899-12-30T18:30:00"/>
    <d v="1899-12-30T19:00:00"/>
    <n v="0"/>
    <x v="1"/>
  </r>
  <r>
    <x v="0"/>
    <s v="Egypt"/>
    <x v="27"/>
    <x v="126"/>
    <x v="126"/>
    <d v="2025-06-14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00:00"/>
    <d v="1899-12-30T15:15:00"/>
    <n v="0"/>
    <x v="1"/>
  </r>
  <r>
    <x v="0"/>
    <s v="Egypt"/>
    <x v="27"/>
    <x v="126"/>
    <x v="126"/>
    <m/>
    <m/>
    <s v="Break 30 Morning"/>
    <d v="1899-12-30T18:15:00"/>
    <d v="1899-12-30T18:45:00"/>
    <n v="0"/>
    <x v="1"/>
  </r>
  <r>
    <x v="0"/>
    <s v="Egypt"/>
    <x v="27"/>
    <x v="126"/>
    <x v="126"/>
    <d v="2025-06-15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6:30:00"/>
    <d v="1899-12-30T16:45:00"/>
    <n v="0"/>
    <x v="1"/>
  </r>
  <r>
    <x v="0"/>
    <s v="Egypt"/>
    <x v="27"/>
    <x v="126"/>
    <x v="126"/>
    <m/>
    <m/>
    <s v="Break 30 Morning"/>
    <d v="1899-12-30T19:15:00"/>
    <d v="1899-12-30T19:45:00"/>
    <n v="0"/>
    <x v="1"/>
  </r>
  <r>
    <x v="0"/>
    <s v="Egypt"/>
    <x v="27"/>
    <x v="126"/>
    <x v="126"/>
    <d v="2025-06-16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15:00"/>
    <d v="1899-12-30T15:30:00"/>
    <n v="0"/>
    <x v="1"/>
  </r>
  <r>
    <x v="0"/>
    <s v="Egypt"/>
    <x v="27"/>
    <x v="126"/>
    <x v="126"/>
    <m/>
    <m/>
    <s v="Break 30 Morning"/>
    <d v="1899-12-30T18:30:00"/>
    <d v="1899-12-30T19:00:00"/>
    <n v="0"/>
    <x v="1"/>
  </r>
  <r>
    <x v="0"/>
    <s v="Egypt"/>
    <x v="27"/>
    <x v="126"/>
    <x v="126"/>
    <d v="2025-06-17T00:00:00"/>
    <m/>
    <s v="Day Off"/>
    <m/>
    <m/>
    <n v="0"/>
    <x v="1"/>
  </r>
  <r>
    <x v="0"/>
    <s v="Egypt"/>
    <x v="27"/>
    <x v="126"/>
    <x v="126"/>
    <d v="2025-06-18T00:00:00"/>
    <m/>
    <s v="Day Off"/>
    <m/>
    <m/>
    <n v="0"/>
    <x v="1"/>
  </r>
  <r>
    <x v="0"/>
    <s v="Egypt"/>
    <x v="27"/>
    <x v="126"/>
    <x v="126"/>
    <d v="2025-06-19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9:15:00"/>
    <d v="1899-12-30T19:30:00"/>
    <n v="0"/>
    <x v="1"/>
  </r>
  <r>
    <x v="0"/>
    <s v="Egypt"/>
    <x v="27"/>
    <x v="126"/>
    <x v="126"/>
    <m/>
    <m/>
    <s v="Break 30 Night"/>
    <d v="1899-12-30T22:00:00"/>
    <d v="1899-12-30T22:30:00"/>
    <n v="0"/>
    <x v="1"/>
  </r>
  <r>
    <x v="0"/>
    <s v="Egypt"/>
    <x v="27"/>
    <x v="126"/>
    <x v="126"/>
    <d v="2025-06-20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9:30:00"/>
    <d v="1899-12-30T19:45:00"/>
    <n v="0"/>
    <x v="1"/>
  </r>
  <r>
    <x v="0"/>
    <s v="Egypt"/>
    <x v="27"/>
    <x v="126"/>
    <x v="126"/>
    <m/>
    <m/>
    <s v="Break 30 Night"/>
    <d v="1899-12-30T22:15:00"/>
    <d v="1899-12-30T22:45:00"/>
    <n v="0"/>
    <x v="1"/>
  </r>
  <r>
    <x v="0"/>
    <s v="Egypt"/>
    <x v="27"/>
    <x v="126"/>
    <x v="126"/>
    <d v="2025-06-21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19:15:00"/>
    <d v="1899-12-30T19:30:00"/>
    <n v="0"/>
    <x v="1"/>
  </r>
  <r>
    <x v="0"/>
    <s v="Egypt"/>
    <x v="27"/>
    <x v="126"/>
    <x v="126"/>
    <m/>
    <m/>
    <s v="Break 30 Night"/>
    <d v="1899-12-30T22:00:00"/>
    <d v="1899-12-30T22:30:00"/>
    <n v="0"/>
    <x v="1"/>
  </r>
  <r>
    <x v="0"/>
    <s v="Egypt"/>
    <x v="27"/>
    <x v="126"/>
    <x v="126"/>
    <d v="2025-06-22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20:00:00"/>
    <d v="1899-12-30T20:15:00"/>
    <n v="0"/>
    <x v="1"/>
  </r>
  <r>
    <x v="0"/>
    <s v="Egypt"/>
    <x v="27"/>
    <x v="126"/>
    <x v="126"/>
    <m/>
    <m/>
    <s v="Break 30 Night"/>
    <d v="1899-12-30T22:15:00"/>
    <d v="1899-12-30T22:45:00"/>
    <n v="0"/>
    <x v="1"/>
  </r>
  <r>
    <x v="0"/>
    <s v="Egypt"/>
    <x v="27"/>
    <x v="126"/>
    <x v="126"/>
    <d v="2025-06-23T00:00:00"/>
    <d v="1899-12-30T08:15:00"/>
    <s v="Non Telecom Assyot"/>
    <d v="1899-12-30T17:15:00"/>
    <s v="+1:30 AM"/>
    <n v="29700"/>
    <x v="0"/>
  </r>
  <r>
    <x v="0"/>
    <s v="Egypt"/>
    <x v="27"/>
    <x v="126"/>
    <x v="126"/>
    <m/>
    <m/>
    <s v="Break 15 Night"/>
    <d v="1899-12-30T20:15:00"/>
    <d v="1899-12-30T20:30:00"/>
    <n v="0"/>
    <x v="1"/>
  </r>
  <r>
    <x v="0"/>
    <s v="Egypt"/>
    <x v="27"/>
    <x v="126"/>
    <x v="126"/>
    <m/>
    <m/>
    <s v="Break 30 Night"/>
    <d v="1899-12-30T22:45:00"/>
    <d v="1899-12-30T23:15:00"/>
    <n v="0"/>
    <x v="1"/>
  </r>
  <r>
    <x v="0"/>
    <s v="Egypt"/>
    <x v="27"/>
    <x v="126"/>
    <x v="126"/>
    <d v="2025-06-24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6:15:00"/>
    <d v="1899-12-30T16:30:00"/>
    <n v="0"/>
    <x v="1"/>
  </r>
  <r>
    <x v="0"/>
    <s v="Egypt"/>
    <x v="27"/>
    <x v="126"/>
    <x v="126"/>
    <m/>
    <m/>
    <s v="Break 30 Morning"/>
    <d v="1899-12-30T18:45:00"/>
    <d v="1899-12-30T19:15:00"/>
    <n v="0"/>
    <x v="1"/>
  </r>
  <r>
    <x v="0"/>
    <s v="Egypt"/>
    <x v="27"/>
    <x v="126"/>
    <x v="126"/>
    <d v="2025-06-25T00:00:00"/>
    <m/>
    <s v="Day Off"/>
    <m/>
    <m/>
    <n v="0"/>
    <x v="1"/>
  </r>
  <r>
    <x v="0"/>
    <s v="Egypt"/>
    <x v="27"/>
    <x v="126"/>
    <x v="126"/>
    <d v="2025-06-26T00:00:00"/>
    <m/>
    <s v="Day Off"/>
    <m/>
    <m/>
    <n v="0"/>
    <x v="1"/>
  </r>
  <r>
    <x v="0"/>
    <s v="Egypt"/>
    <x v="27"/>
    <x v="126"/>
    <x v="126"/>
    <d v="2025-06-27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15:00"/>
    <d v="1899-12-30T15:30:00"/>
    <n v="0"/>
    <x v="1"/>
  </r>
  <r>
    <x v="0"/>
    <s v="Egypt"/>
    <x v="27"/>
    <x v="126"/>
    <x v="126"/>
    <m/>
    <m/>
    <s v="Break 30 Morning"/>
    <d v="1899-12-30T18:45:00"/>
    <d v="1899-12-30T19:15:00"/>
    <n v="0"/>
    <x v="1"/>
  </r>
  <r>
    <x v="0"/>
    <s v="Egypt"/>
    <x v="27"/>
    <x v="126"/>
    <x v="126"/>
    <d v="2025-06-28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15:00"/>
    <d v="1899-12-30T15:30:00"/>
    <n v="0"/>
    <x v="1"/>
  </r>
  <r>
    <x v="0"/>
    <s v="Egypt"/>
    <x v="27"/>
    <x v="126"/>
    <x v="126"/>
    <m/>
    <m/>
    <s v="Break 30 Morning"/>
    <d v="1899-12-30T19:00:00"/>
    <d v="1899-12-30T19:30:00"/>
    <n v="0"/>
    <x v="1"/>
  </r>
  <r>
    <x v="0"/>
    <s v="Egypt"/>
    <x v="27"/>
    <x v="126"/>
    <x v="126"/>
    <d v="2025-06-29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5:30:00"/>
    <d v="1899-12-30T15:45:00"/>
    <n v="0"/>
    <x v="1"/>
  </r>
  <r>
    <x v="0"/>
    <s v="Egypt"/>
    <x v="27"/>
    <x v="126"/>
    <x v="126"/>
    <m/>
    <m/>
    <s v="Break 30 Morning"/>
    <d v="1899-12-30T19:00:00"/>
    <d v="1899-12-30T19:30:00"/>
    <n v="0"/>
    <x v="1"/>
  </r>
  <r>
    <x v="0"/>
    <s v="Egypt"/>
    <x v="27"/>
    <x v="126"/>
    <x v="126"/>
    <d v="2025-06-30T00:00:00"/>
    <d v="1899-12-30T08:15:00"/>
    <s v="Non Telecom Assyot"/>
    <d v="1899-12-30T14:00:00"/>
    <d v="1899-12-30T22:15:00"/>
    <n v="29700"/>
    <x v="0"/>
  </r>
  <r>
    <x v="0"/>
    <s v="Egypt"/>
    <x v="27"/>
    <x v="126"/>
    <x v="126"/>
    <m/>
    <m/>
    <s v="Break 15 Morning"/>
    <d v="1899-12-30T16:15:00"/>
    <d v="1899-12-30T16:30:00"/>
    <n v="0"/>
    <x v="1"/>
  </r>
  <r>
    <x v="0"/>
    <s v="Egypt"/>
    <x v="27"/>
    <x v="126"/>
    <x v="126"/>
    <m/>
    <m/>
    <s v="Break 30 Morning"/>
    <d v="1899-12-30T19:30:00"/>
    <d v="1899-12-30T20:00:00"/>
    <n v="0"/>
    <x v="1"/>
  </r>
  <r>
    <x v="0"/>
    <s v="Egypt"/>
    <x v="27"/>
    <x v="127"/>
    <x v="127"/>
    <d v="2025-06-05T00:00:00"/>
    <d v="1899-12-30T08:15:00"/>
    <s v="Public holiday"/>
    <m/>
    <m/>
    <n v="29700"/>
    <x v="1"/>
  </r>
  <r>
    <x v="0"/>
    <s v="Egypt"/>
    <x v="27"/>
    <x v="127"/>
    <x v="127"/>
    <d v="2025-06-06T00:00:00"/>
    <m/>
    <s v="Day Off"/>
    <m/>
    <m/>
    <n v="0"/>
    <x v="1"/>
  </r>
  <r>
    <x v="0"/>
    <s v="Egypt"/>
    <x v="27"/>
    <x v="127"/>
    <x v="127"/>
    <d v="2025-06-07T00:00:00"/>
    <m/>
    <s v="Day Off"/>
    <m/>
    <m/>
    <n v="0"/>
    <x v="1"/>
  </r>
  <r>
    <x v="0"/>
    <s v="Egypt"/>
    <x v="27"/>
    <x v="127"/>
    <x v="127"/>
    <d v="2025-06-08T00:00:00"/>
    <d v="1899-12-30T08:15:00"/>
    <s v="Public holiday"/>
    <m/>
    <m/>
    <n v="29700"/>
    <x v="1"/>
  </r>
  <r>
    <x v="0"/>
    <s v="Egypt"/>
    <x v="27"/>
    <x v="127"/>
    <x v="127"/>
    <d v="2025-06-09T00:00:00"/>
    <m/>
    <s v="Day Off"/>
    <m/>
    <m/>
    <n v="0"/>
    <x v="1"/>
  </r>
  <r>
    <x v="0"/>
    <s v="Egypt"/>
    <x v="27"/>
    <x v="127"/>
    <x v="127"/>
    <d v="2025-06-10T00:00:00"/>
    <m/>
    <s v="Day Off"/>
    <m/>
    <m/>
    <n v="0"/>
    <x v="1"/>
  </r>
  <r>
    <x v="0"/>
    <s v="Egypt"/>
    <x v="27"/>
    <x v="127"/>
    <x v="127"/>
    <d v="2025-06-11T00:00:00"/>
    <d v="1899-12-30T08:15:00"/>
    <s v="Non Telecom Assyot"/>
    <d v="1899-12-30T11:00:00"/>
    <d v="1899-12-30T19:15:00"/>
    <n v="29700"/>
    <x v="0"/>
  </r>
  <r>
    <x v="0"/>
    <s v="Egypt"/>
    <x v="27"/>
    <x v="127"/>
    <x v="127"/>
    <m/>
    <m/>
    <s v="Break 15 Morning"/>
    <d v="1899-12-30T12:45:00"/>
    <d v="1899-12-30T13:00:00"/>
    <n v="0"/>
    <x v="1"/>
  </r>
  <r>
    <x v="0"/>
    <s v="Egypt"/>
    <x v="27"/>
    <x v="127"/>
    <x v="127"/>
    <m/>
    <m/>
    <s v="One to One"/>
    <d v="1899-12-30T14:15:00"/>
    <d v="1899-12-30T14:30:00"/>
    <n v="0"/>
    <x v="1"/>
  </r>
  <r>
    <x v="0"/>
    <s v="Egypt"/>
    <x v="27"/>
    <x v="127"/>
    <x v="127"/>
    <m/>
    <m/>
    <s v="Break 30 Morning"/>
    <d v="1899-12-30T16:15:00"/>
    <d v="1899-12-30T16:45:00"/>
    <n v="0"/>
    <x v="1"/>
  </r>
  <r>
    <x v="0"/>
    <s v="Egypt"/>
    <x v="27"/>
    <x v="127"/>
    <x v="127"/>
    <d v="2025-06-12T00:00:00"/>
    <d v="1899-12-30T08:15:00"/>
    <s v="Non Telecom Assyot"/>
    <d v="1899-12-30T11:00:00"/>
    <d v="1899-12-30T19:15:00"/>
    <n v="29700"/>
    <x v="0"/>
  </r>
  <r>
    <x v="0"/>
    <s v="Egypt"/>
    <x v="27"/>
    <x v="127"/>
    <x v="127"/>
    <m/>
    <m/>
    <s v="Break 15 Morning"/>
    <d v="1899-12-30T12:30:00"/>
    <d v="1899-12-30T12:45:00"/>
    <n v="0"/>
    <x v="1"/>
  </r>
  <r>
    <x v="0"/>
    <s v="Egypt"/>
    <x v="27"/>
    <x v="127"/>
    <x v="127"/>
    <m/>
    <m/>
    <s v="One to One"/>
    <d v="1899-12-30T14:15:00"/>
    <d v="1899-12-30T14:30:00"/>
    <n v="0"/>
    <x v="1"/>
  </r>
  <r>
    <x v="0"/>
    <s v="Egypt"/>
    <x v="27"/>
    <x v="127"/>
    <x v="127"/>
    <m/>
    <m/>
    <s v="Break 30 Morning"/>
    <d v="1899-12-30T15:15:00"/>
    <d v="1899-12-30T15:45:00"/>
    <n v="0"/>
    <x v="1"/>
  </r>
  <r>
    <x v="0"/>
    <s v="Egypt"/>
    <x v="27"/>
    <x v="127"/>
    <x v="127"/>
    <d v="2025-06-13T00:00:00"/>
    <d v="1899-12-30T08:15:00"/>
    <s v="Non Telecom Assyot"/>
    <d v="1899-12-30T11:00:00"/>
    <d v="1899-12-30T19:15:00"/>
    <n v="29700"/>
    <x v="0"/>
  </r>
  <r>
    <x v="0"/>
    <s v="Egypt"/>
    <x v="27"/>
    <x v="127"/>
    <x v="127"/>
    <m/>
    <m/>
    <s v="Break 15 Morning"/>
    <d v="1899-12-30T12:15:00"/>
    <d v="1899-12-30T12:30:00"/>
    <n v="0"/>
    <x v="1"/>
  </r>
  <r>
    <x v="0"/>
    <s v="Egypt"/>
    <x v="27"/>
    <x v="127"/>
    <x v="127"/>
    <m/>
    <m/>
    <s v="Friday Pray"/>
    <d v="1899-12-30T12:55:00"/>
    <d v="1899-12-30T13:50:00"/>
    <n v="0"/>
    <x v="1"/>
  </r>
  <r>
    <x v="0"/>
    <s v="Egypt"/>
    <x v="27"/>
    <x v="127"/>
    <x v="127"/>
    <m/>
    <m/>
    <s v="One to One"/>
    <d v="1899-12-30T13:50:00"/>
    <d v="1899-12-30T14:00:00"/>
    <n v="0"/>
    <x v="1"/>
  </r>
  <r>
    <x v="0"/>
    <s v="Egypt"/>
    <x v="27"/>
    <x v="127"/>
    <x v="127"/>
    <m/>
    <m/>
    <s v="Break 30 Morning"/>
    <d v="1899-12-30T15:30:00"/>
    <d v="1899-12-30T16:00:00"/>
    <n v="0"/>
    <x v="1"/>
  </r>
  <r>
    <x v="0"/>
    <s v="Egypt"/>
    <x v="27"/>
    <x v="127"/>
    <x v="127"/>
    <d v="2025-06-14T00:00:00"/>
    <d v="1899-12-30T08:15:00"/>
    <s v="Non Telecom Assyot"/>
    <d v="1899-12-30T11:00:00"/>
    <d v="1899-12-30T19:15:00"/>
    <n v="29700"/>
    <x v="0"/>
  </r>
  <r>
    <x v="0"/>
    <s v="Egypt"/>
    <x v="27"/>
    <x v="127"/>
    <x v="127"/>
    <m/>
    <m/>
    <s v="Break 15 Morning"/>
    <d v="1899-12-30T12:45:00"/>
    <d v="1899-12-30T13:00:00"/>
    <n v="0"/>
    <x v="1"/>
  </r>
  <r>
    <x v="0"/>
    <s v="Egypt"/>
    <x v="27"/>
    <x v="127"/>
    <x v="127"/>
    <m/>
    <m/>
    <s v="One to One"/>
    <d v="1899-12-30T14:30:00"/>
    <d v="1899-12-30T14:45:00"/>
    <n v="0"/>
    <x v="1"/>
  </r>
  <r>
    <x v="0"/>
    <s v="Egypt"/>
    <x v="27"/>
    <x v="127"/>
    <x v="127"/>
    <m/>
    <m/>
    <s v="Break 30 Morning"/>
    <d v="1899-12-30T15:45:00"/>
    <d v="1899-12-30T16:15:00"/>
    <n v="0"/>
    <x v="1"/>
  </r>
  <r>
    <x v="0"/>
    <s v="Egypt"/>
    <x v="27"/>
    <x v="127"/>
    <x v="127"/>
    <d v="2025-06-15T00:00:00"/>
    <d v="1899-12-30T08:15:00"/>
    <s v="Non Telecom Assyot"/>
    <d v="1899-12-30T11:00:00"/>
    <d v="1899-12-30T19:15:00"/>
    <n v="29700"/>
    <x v="0"/>
  </r>
  <r>
    <x v="0"/>
    <s v="Egypt"/>
    <x v="27"/>
    <x v="127"/>
    <x v="127"/>
    <m/>
    <m/>
    <s v="Break 15 Morning"/>
    <d v="1899-12-30T12:30:00"/>
    <d v="1899-12-30T12:45:00"/>
    <n v="0"/>
    <x v="1"/>
  </r>
  <r>
    <x v="0"/>
    <s v="Egypt"/>
    <x v="27"/>
    <x v="127"/>
    <x v="127"/>
    <m/>
    <m/>
    <s v="Break 30 Morning"/>
    <d v="1899-12-30T16:15:00"/>
    <d v="1899-12-30T16:45:00"/>
    <n v="0"/>
    <x v="1"/>
  </r>
  <r>
    <x v="0"/>
    <s v="Egypt"/>
    <x v="27"/>
    <x v="127"/>
    <x v="127"/>
    <d v="2025-06-16T00:00:00"/>
    <m/>
    <s v="Day Off"/>
    <m/>
    <m/>
    <n v="0"/>
    <x v="1"/>
  </r>
  <r>
    <x v="0"/>
    <s v="Egypt"/>
    <x v="27"/>
    <x v="127"/>
    <x v="127"/>
    <d v="2025-06-17T00:00:00"/>
    <m/>
    <s v="Day Off"/>
    <m/>
    <m/>
    <n v="0"/>
    <x v="1"/>
  </r>
  <r>
    <x v="0"/>
    <s v="Egypt"/>
    <x v="27"/>
    <x v="127"/>
    <x v="127"/>
    <d v="2025-06-18T00:00:00"/>
    <d v="1899-12-30T08:15:00"/>
    <s v="Non Telecom Assyot"/>
    <d v="1899-12-30T17:15:00"/>
    <s v="+1:30 AM"/>
    <n v="29700"/>
    <x v="0"/>
  </r>
  <r>
    <x v="0"/>
    <s v="Egypt"/>
    <x v="27"/>
    <x v="127"/>
    <x v="127"/>
    <m/>
    <m/>
    <s v="Break 15 Night"/>
    <d v="1899-12-30T19:15:00"/>
    <d v="1899-12-30T19:30:00"/>
    <n v="0"/>
    <x v="1"/>
  </r>
  <r>
    <x v="0"/>
    <s v="Egypt"/>
    <x v="27"/>
    <x v="127"/>
    <x v="127"/>
    <m/>
    <m/>
    <s v="Break 30 Night"/>
    <d v="1899-12-30T22:15:00"/>
    <d v="1899-12-30T22:45:00"/>
    <n v="0"/>
    <x v="1"/>
  </r>
  <r>
    <x v="0"/>
    <s v="Egypt"/>
    <x v="27"/>
    <x v="127"/>
    <x v="127"/>
    <d v="2025-06-19T00:00:00"/>
    <d v="1899-12-30T08:15:00"/>
    <s v="Non Telecom Assyot"/>
    <d v="1899-12-30T17:15:00"/>
    <s v="+1:30 AM"/>
    <n v="29700"/>
    <x v="0"/>
  </r>
  <r>
    <x v="0"/>
    <s v="Egypt"/>
    <x v="27"/>
    <x v="127"/>
    <x v="127"/>
    <m/>
    <m/>
    <s v="Break 15 Night"/>
    <d v="1899-12-30T19:15:00"/>
    <d v="1899-12-30T19:30:00"/>
    <n v="0"/>
    <x v="1"/>
  </r>
  <r>
    <x v="0"/>
    <s v="Egypt"/>
    <x v="27"/>
    <x v="127"/>
    <x v="127"/>
    <m/>
    <m/>
    <s v="Break 30 Night"/>
    <d v="1899-12-30T22:15:00"/>
    <d v="1899-12-30T22:45:00"/>
    <n v="0"/>
    <x v="1"/>
  </r>
  <r>
    <x v="0"/>
    <s v="Egypt"/>
    <x v="27"/>
    <x v="127"/>
    <x v="127"/>
    <d v="2025-06-20T00:00:00"/>
    <d v="1899-12-30T08:15:00"/>
    <s v="Non Telecom Assyot"/>
    <d v="1899-12-30T17:15:00"/>
    <s v="+1:30 AM"/>
    <n v="29700"/>
    <x v="0"/>
  </r>
  <r>
    <x v="0"/>
    <s v="Egypt"/>
    <x v="27"/>
    <x v="127"/>
    <x v="127"/>
    <m/>
    <m/>
    <s v="Break 15 Night"/>
    <d v="1899-12-30T19:30:00"/>
    <d v="1899-12-30T19:45:00"/>
    <n v="0"/>
    <x v="1"/>
  </r>
  <r>
    <x v="0"/>
    <s v="Egypt"/>
    <x v="27"/>
    <x v="127"/>
    <x v="127"/>
    <m/>
    <m/>
    <s v="Break 30 Night"/>
    <d v="1899-12-30T22:15:00"/>
    <d v="1899-12-30T22:45:00"/>
    <n v="0"/>
    <x v="1"/>
  </r>
  <r>
    <x v="0"/>
    <s v="Egypt"/>
    <x v="27"/>
    <x v="127"/>
    <x v="127"/>
    <d v="2025-06-21T00:00:00"/>
    <d v="1899-12-30T08:15:00"/>
    <s v="Non Telecom Assyot"/>
    <d v="1899-12-30T17:15:00"/>
    <s v="+1:30 AM"/>
    <n v="29700"/>
    <x v="0"/>
  </r>
  <r>
    <x v="0"/>
    <s v="Egypt"/>
    <x v="27"/>
    <x v="127"/>
    <x v="127"/>
    <m/>
    <m/>
    <s v="Break 15 Night"/>
    <d v="1899-12-30T19:15:00"/>
    <d v="1899-12-30T19:30:00"/>
    <n v="0"/>
    <x v="1"/>
  </r>
  <r>
    <x v="0"/>
    <s v="Egypt"/>
    <x v="27"/>
    <x v="127"/>
    <x v="127"/>
    <m/>
    <m/>
    <s v="Break 30 Night"/>
    <d v="1899-12-30T22:30:00"/>
    <d v="1899-12-30T23:00:00"/>
    <n v="0"/>
    <x v="1"/>
  </r>
  <r>
    <x v="0"/>
    <s v="Egypt"/>
    <x v="27"/>
    <x v="127"/>
    <x v="127"/>
    <d v="2025-06-22T00:00:00"/>
    <d v="1899-12-30T08:15:00"/>
    <s v="Non Telecom Assyot"/>
    <d v="1899-12-30T14:00:00"/>
    <d v="1899-12-30T22:15:00"/>
    <n v="29700"/>
    <x v="0"/>
  </r>
  <r>
    <x v="0"/>
    <s v="Egypt"/>
    <x v="27"/>
    <x v="127"/>
    <x v="127"/>
    <m/>
    <m/>
    <s v="Break 15 Morning"/>
    <d v="1899-12-30T15:45:00"/>
    <d v="1899-12-30T16:00:00"/>
    <n v="0"/>
    <x v="1"/>
  </r>
  <r>
    <x v="0"/>
    <s v="Egypt"/>
    <x v="27"/>
    <x v="127"/>
    <x v="127"/>
    <m/>
    <m/>
    <s v="Break 30 Morning"/>
    <d v="1899-12-30T18:15:00"/>
    <d v="1899-12-30T18:45:00"/>
    <n v="0"/>
    <x v="1"/>
  </r>
  <r>
    <x v="0"/>
    <s v="Egypt"/>
    <x v="27"/>
    <x v="127"/>
    <x v="127"/>
    <d v="2025-06-23T00:00:00"/>
    <m/>
    <s v="Day Off"/>
    <m/>
    <m/>
    <n v="0"/>
    <x v="1"/>
  </r>
  <r>
    <x v="0"/>
    <s v="Egypt"/>
    <x v="27"/>
    <x v="127"/>
    <x v="127"/>
    <d v="2025-06-24T00:00:00"/>
    <m/>
    <s v="Day Off"/>
    <m/>
    <m/>
    <n v="0"/>
    <x v="1"/>
  </r>
  <r>
    <x v="0"/>
    <s v="Egypt"/>
    <x v="27"/>
    <x v="127"/>
    <x v="127"/>
    <d v="2025-06-25T00:00:00"/>
    <d v="1899-12-30T08:15:00"/>
    <s v="Non Telecom Assyot"/>
    <d v="1899-12-30T14:00:00"/>
    <d v="1899-12-30T22:15:00"/>
    <n v="29700"/>
    <x v="0"/>
  </r>
  <r>
    <x v="0"/>
    <s v="Egypt"/>
    <x v="27"/>
    <x v="127"/>
    <x v="127"/>
    <m/>
    <m/>
    <s v="Break 15 Morning"/>
    <d v="1899-12-30T16:00:00"/>
    <d v="1899-12-30T16:15:00"/>
    <n v="0"/>
    <x v="1"/>
  </r>
  <r>
    <x v="0"/>
    <s v="Egypt"/>
    <x v="27"/>
    <x v="127"/>
    <x v="127"/>
    <m/>
    <m/>
    <s v="Break 30 Morning"/>
    <d v="1899-12-30T18:15:00"/>
    <d v="1899-12-30T18:45:00"/>
    <n v="0"/>
    <x v="1"/>
  </r>
  <r>
    <x v="0"/>
    <s v="Egypt"/>
    <x v="27"/>
    <x v="127"/>
    <x v="127"/>
    <d v="2025-06-26T00:00:00"/>
    <d v="1899-12-30T08:15:00"/>
    <s v="Non Telecom Assyot"/>
    <d v="1899-12-30T14:00:00"/>
    <d v="1899-12-30T22:15:00"/>
    <n v="29700"/>
    <x v="0"/>
  </r>
  <r>
    <x v="0"/>
    <s v="Egypt"/>
    <x v="27"/>
    <x v="127"/>
    <x v="127"/>
    <m/>
    <m/>
    <s v="Break 15 Morning"/>
    <d v="1899-12-30T15:00:00"/>
    <d v="1899-12-30T15:15:00"/>
    <n v="0"/>
    <x v="1"/>
  </r>
  <r>
    <x v="0"/>
    <s v="Egypt"/>
    <x v="27"/>
    <x v="127"/>
    <x v="127"/>
    <m/>
    <m/>
    <s v="Break 30 Morning"/>
    <d v="1899-12-30T18:30:00"/>
    <d v="1899-12-30T19:00:00"/>
    <n v="0"/>
    <x v="1"/>
  </r>
  <r>
    <x v="0"/>
    <s v="Egypt"/>
    <x v="27"/>
    <x v="127"/>
    <x v="127"/>
    <d v="2025-06-27T00:00:00"/>
    <d v="1899-12-30T08:15:00"/>
    <s v="Non Telecom Assyot"/>
    <d v="1899-12-30T14:00:00"/>
    <d v="1899-12-30T22:15:00"/>
    <n v="29700"/>
    <x v="0"/>
  </r>
  <r>
    <x v="0"/>
    <s v="Egypt"/>
    <x v="27"/>
    <x v="127"/>
    <x v="127"/>
    <m/>
    <m/>
    <s v="Break 15 Morning"/>
    <d v="1899-12-30T15:30:00"/>
    <d v="1899-12-30T15:45:00"/>
    <n v="0"/>
    <x v="1"/>
  </r>
  <r>
    <x v="0"/>
    <s v="Egypt"/>
    <x v="27"/>
    <x v="127"/>
    <x v="127"/>
    <m/>
    <m/>
    <s v="Break 30 Morning"/>
    <d v="1899-12-30T18:45:00"/>
    <d v="1899-12-30T19:15:00"/>
    <n v="0"/>
    <x v="1"/>
  </r>
  <r>
    <x v="0"/>
    <s v="Egypt"/>
    <x v="27"/>
    <x v="127"/>
    <x v="127"/>
    <d v="2025-06-28T00:00:00"/>
    <d v="1899-12-30T08:15:00"/>
    <s v="Non Telecom Assyot"/>
    <d v="1899-12-30T14:00:00"/>
    <d v="1899-12-30T22:15:00"/>
    <n v="29700"/>
    <x v="0"/>
  </r>
  <r>
    <x v="0"/>
    <s v="Egypt"/>
    <x v="27"/>
    <x v="127"/>
    <x v="127"/>
    <m/>
    <m/>
    <s v="Break 15 Morning"/>
    <d v="1899-12-30T15:30:00"/>
    <d v="1899-12-30T15:45:00"/>
    <n v="0"/>
    <x v="1"/>
  </r>
  <r>
    <x v="0"/>
    <s v="Egypt"/>
    <x v="27"/>
    <x v="127"/>
    <x v="127"/>
    <m/>
    <m/>
    <s v="Break 30 Morning"/>
    <d v="1899-12-30T19:00:00"/>
    <d v="1899-12-30T19:30:00"/>
    <n v="0"/>
    <x v="1"/>
  </r>
  <r>
    <x v="0"/>
    <s v="Egypt"/>
    <x v="27"/>
    <x v="127"/>
    <x v="127"/>
    <d v="2025-06-29T00:00:00"/>
    <m/>
    <s v="Day Off"/>
    <m/>
    <m/>
    <n v="0"/>
    <x v="1"/>
  </r>
  <r>
    <x v="0"/>
    <s v="Egypt"/>
    <x v="27"/>
    <x v="127"/>
    <x v="127"/>
    <d v="2025-06-30T00:00:00"/>
    <m/>
    <s v="Day Off"/>
    <m/>
    <m/>
    <n v="0"/>
    <x v="1"/>
  </r>
  <r>
    <x v="0"/>
    <s v="Egypt"/>
    <x v="27"/>
    <x v="128"/>
    <x v="128"/>
    <d v="2025-06-01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6:00:00"/>
    <d v="1899-12-30T16:15:00"/>
    <n v="0"/>
    <x v="1"/>
  </r>
  <r>
    <x v="0"/>
    <s v="Egypt"/>
    <x v="27"/>
    <x v="128"/>
    <x v="128"/>
    <m/>
    <m/>
    <s v="Break 30 Morning"/>
    <d v="1899-12-30T19:15:00"/>
    <d v="1899-12-30T19:45:00"/>
    <n v="0"/>
    <x v="1"/>
  </r>
  <r>
    <x v="0"/>
    <s v="Egypt"/>
    <x v="27"/>
    <x v="128"/>
    <x v="128"/>
    <d v="2025-06-02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6:00:00"/>
    <d v="1899-12-30T16:15:00"/>
    <n v="0"/>
    <x v="1"/>
  </r>
  <r>
    <x v="0"/>
    <s v="Egypt"/>
    <x v="27"/>
    <x v="128"/>
    <x v="128"/>
    <m/>
    <m/>
    <s v="Break 30 Morning"/>
    <d v="1899-12-30T19:15:00"/>
    <d v="1899-12-30T19:45:00"/>
    <n v="0"/>
    <x v="1"/>
  </r>
  <r>
    <x v="0"/>
    <s v="Egypt"/>
    <x v="27"/>
    <x v="128"/>
    <x v="128"/>
    <d v="2025-06-03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6:00:00"/>
    <d v="1899-12-30T16:15:00"/>
    <n v="0"/>
    <x v="1"/>
  </r>
  <r>
    <x v="0"/>
    <s v="Egypt"/>
    <x v="27"/>
    <x v="128"/>
    <x v="128"/>
    <m/>
    <m/>
    <s v="Break 30 Morning"/>
    <d v="1899-12-30T18:45:00"/>
    <d v="1899-12-30T19:15:00"/>
    <n v="0"/>
    <x v="1"/>
  </r>
  <r>
    <x v="0"/>
    <s v="Egypt"/>
    <x v="27"/>
    <x v="128"/>
    <x v="128"/>
    <d v="2025-06-04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5:30:00"/>
    <d v="1899-12-30T15:45:00"/>
    <n v="0"/>
    <x v="1"/>
  </r>
  <r>
    <x v="0"/>
    <s v="Egypt"/>
    <x v="27"/>
    <x v="128"/>
    <x v="128"/>
    <m/>
    <m/>
    <s v="Break 30 Morning"/>
    <d v="1899-12-30T19:00:00"/>
    <d v="1899-12-30T19:30:00"/>
    <n v="0"/>
    <x v="1"/>
  </r>
  <r>
    <x v="0"/>
    <s v="Egypt"/>
    <x v="27"/>
    <x v="128"/>
    <x v="128"/>
    <d v="2025-06-05T00:00:00"/>
    <m/>
    <s v="Day Off"/>
    <m/>
    <m/>
    <n v="0"/>
    <x v="1"/>
  </r>
  <r>
    <x v="0"/>
    <s v="Egypt"/>
    <x v="27"/>
    <x v="128"/>
    <x v="128"/>
    <d v="2025-06-06T00:00:00"/>
    <m/>
    <s v="Day Off"/>
    <m/>
    <m/>
    <n v="0"/>
    <x v="1"/>
  </r>
  <r>
    <x v="0"/>
    <s v="Egypt"/>
    <x v="27"/>
    <x v="128"/>
    <x v="128"/>
    <d v="2025-06-07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15:00"/>
    <d v="1899-12-30T19:30:00"/>
    <n v="0"/>
    <x v="1"/>
  </r>
  <r>
    <x v="0"/>
    <s v="Egypt"/>
    <x v="27"/>
    <x v="128"/>
    <x v="128"/>
    <m/>
    <m/>
    <s v="Break 30 Night"/>
    <d v="1899-12-30T22:00:00"/>
    <d v="1899-12-30T22:30:00"/>
    <n v="0"/>
    <x v="1"/>
  </r>
  <r>
    <x v="0"/>
    <s v="Egypt"/>
    <x v="27"/>
    <x v="128"/>
    <x v="128"/>
    <d v="2025-06-08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15:00"/>
    <d v="1899-12-30T19:30:00"/>
    <n v="0"/>
    <x v="1"/>
  </r>
  <r>
    <x v="0"/>
    <s v="Egypt"/>
    <x v="27"/>
    <x v="128"/>
    <x v="128"/>
    <m/>
    <m/>
    <s v="Break 30 Night"/>
    <d v="1899-12-30T22:15:00"/>
    <d v="1899-12-30T22:45:00"/>
    <n v="0"/>
    <x v="1"/>
  </r>
  <r>
    <x v="0"/>
    <s v="Egypt"/>
    <x v="27"/>
    <x v="128"/>
    <x v="128"/>
    <d v="2025-06-09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00:00"/>
    <d v="1899-12-30T19:15:00"/>
    <n v="0"/>
    <x v="1"/>
  </r>
  <r>
    <x v="0"/>
    <s v="Egypt"/>
    <x v="27"/>
    <x v="128"/>
    <x v="128"/>
    <m/>
    <m/>
    <s v="Break 30 Night"/>
    <d v="1899-12-30T22:00:00"/>
    <d v="1899-12-30T22:30:00"/>
    <n v="0"/>
    <x v="1"/>
  </r>
  <r>
    <x v="0"/>
    <s v="Egypt"/>
    <x v="27"/>
    <x v="128"/>
    <x v="128"/>
    <d v="2025-06-10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15:00"/>
    <d v="1899-12-30T19:30:00"/>
    <n v="0"/>
    <x v="1"/>
  </r>
  <r>
    <x v="0"/>
    <s v="Egypt"/>
    <x v="27"/>
    <x v="128"/>
    <x v="128"/>
    <m/>
    <m/>
    <s v="Break 30 Night"/>
    <d v="1899-12-30T22:30:00"/>
    <d v="1899-12-30T23:00:00"/>
    <n v="0"/>
    <x v="1"/>
  </r>
  <r>
    <x v="0"/>
    <s v="Egypt"/>
    <x v="27"/>
    <x v="128"/>
    <x v="128"/>
    <d v="2025-06-11T00:00:00"/>
    <m/>
    <s v="Day Off"/>
    <m/>
    <m/>
    <n v="0"/>
    <x v="1"/>
  </r>
  <r>
    <x v="0"/>
    <s v="Egypt"/>
    <x v="27"/>
    <x v="128"/>
    <x v="128"/>
    <d v="2025-06-12T00:00:00"/>
    <m/>
    <s v="Day Off"/>
    <m/>
    <m/>
    <n v="0"/>
    <x v="1"/>
  </r>
  <r>
    <x v="0"/>
    <s v="Egypt"/>
    <x v="27"/>
    <x v="128"/>
    <x v="128"/>
    <d v="2025-06-13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30:00"/>
    <d v="1899-12-30T19:45:00"/>
    <n v="0"/>
    <x v="1"/>
  </r>
  <r>
    <x v="0"/>
    <s v="Egypt"/>
    <x v="27"/>
    <x v="128"/>
    <x v="128"/>
    <m/>
    <m/>
    <s v="Break 30 Night"/>
    <d v="1899-12-30T22:30:00"/>
    <d v="1899-12-30T23:00:00"/>
    <n v="0"/>
    <x v="1"/>
  </r>
  <r>
    <x v="0"/>
    <s v="Egypt"/>
    <x v="27"/>
    <x v="128"/>
    <x v="128"/>
    <d v="2025-06-14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30:00"/>
    <d v="1899-12-30T19:45:00"/>
    <n v="0"/>
    <x v="1"/>
  </r>
  <r>
    <x v="0"/>
    <s v="Egypt"/>
    <x v="27"/>
    <x v="128"/>
    <x v="128"/>
    <m/>
    <m/>
    <s v="Break 30 Night"/>
    <d v="1899-12-30T22:30:00"/>
    <d v="1899-12-30T23:00:00"/>
    <n v="0"/>
    <x v="1"/>
  </r>
  <r>
    <x v="0"/>
    <s v="Egypt"/>
    <x v="27"/>
    <x v="128"/>
    <x v="128"/>
    <d v="2025-06-15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6:45:00"/>
    <d v="1899-12-30T17:00:00"/>
    <n v="0"/>
    <x v="1"/>
  </r>
  <r>
    <x v="0"/>
    <s v="Egypt"/>
    <x v="27"/>
    <x v="128"/>
    <x v="128"/>
    <m/>
    <m/>
    <s v="Break 30 Morning"/>
    <d v="1899-12-30T19:45:00"/>
    <d v="1899-12-30T20:15:00"/>
    <n v="0"/>
    <x v="1"/>
  </r>
  <r>
    <x v="0"/>
    <s v="Egypt"/>
    <x v="27"/>
    <x v="128"/>
    <x v="128"/>
    <d v="2025-06-16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5:45:00"/>
    <d v="1899-12-30T16:00:00"/>
    <n v="0"/>
    <x v="1"/>
  </r>
  <r>
    <x v="0"/>
    <s v="Egypt"/>
    <x v="27"/>
    <x v="128"/>
    <x v="128"/>
    <m/>
    <m/>
    <s v="Break 30 Morning"/>
    <d v="1899-12-30T19:30:00"/>
    <d v="1899-12-30T20:00:00"/>
    <n v="0"/>
    <x v="1"/>
  </r>
  <r>
    <x v="0"/>
    <s v="Egypt"/>
    <x v="27"/>
    <x v="128"/>
    <x v="128"/>
    <d v="2025-06-17T00:00:00"/>
    <m/>
    <s v="Day Off"/>
    <m/>
    <m/>
    <n v="0"/>
    <x v="1"/>
  </r>
  <r>
    <x v="0"/>
    <s v="Egypt"/>
    <x v="27"/>
    <x v="128"/>
    <x v="128"/>
    <d v="2025-06-18T00:00:00"/>
    <m/>
    <s v="Day Off"/>
    <m/>
    <m/>
    <n v="0"/>
    <x v="1"/>
  </r>
  <r>
    <x v="0"/>
    <s v="Egypt"/>
    <x v="27"/>
    <x v="128"/>
    <x v="128"/>
    <d v="2025-06-19T00:00:00"/>
    <d v="1899-12-30T08:15:00"/>
    <s v="No show"/>
    <d v="1899-12-30T17:15:00"/>
    <s v="+1:30 AM"/>
    <n v="29700"/>
    <x v="1"/>
  </r>
  <r>
    <x v="0"/>
    <s v="Egypt"/>
    <x v="27"/>
    <x v="128"/>
    <x v="128"/>
    <d v="2025-06-20T00:00:00"/>
    <d v="1899-12-30T08:15:00"/>
    <s v="No show"/>
    <d v="1899-12-30T17:15:00"/>
    <s v="+1:30 AM"/>
    <n v="29700"/>
    <x v="1"/>
  </r>
  <r>
    <x v="0"/>
    <s v="Egypt"/>
    <x v="27"/>
    <x v="128"/>
    <x v="128"/>
    <d v="2025-06-21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15:00"/>
    <d v="1899-12-30T19:30:00"/>
    <n v="0"/>
    <x v="1"/>
  </r>
  <r>
    <x v="0"/>
    <s v="Egypt"/>
    <x v="27"/>
    <x v="128"/>
    <x v="128"/>
    <m/>
    <m/>
    <s v="Break 30 Night"/>
    <d v="1899-12-30T22:30:00"/>
    <d v="1899-12-30T23:00:00"/>
    <n v="0"/>
    <x v="1"/>
  </r>
  <r>
    <x v="0"/>
    <s v="Egypt"/>
    <x v="27"/>
    <x v="128"/>
    <x v="128"/>
    <d v="2025-06-22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20:15:00"/>
    <d v="1899-12-30T20:30:00"/>
    <n v="0"/>
    <x v="1"/>
  </r>
  <r>
    <x v="0"/>
    <s v="Egypt"/>
    <x v="27"/>
    <x v="128"/>
    <x v="128"/>
    <m/>
    <m/>
    <s v="Break 30 Night"/>
    <d v="1899-12-30T22:45:00"/>
    <d v="1899-12-30T23:15:00"/>
    <n v="0"/>
    <x v="1"/>
  </r>
  <r>
    <x v="0"/>
    <s v="Egypt"/>
    <x v="27"/>
    <x v="128"/>
    <x v="128"/>
    <d v="2025-06-23T00:00:00"/>
    <m/>
    <s v="Day Off"/>
    <m/>
    <m/>
    <n v="0"/>
    <x v="1"/>
  </r>
  <r>
    <x v="0"/>
    <s v="Egypt"/>
    <x v="27"/>
    <x v="128"/>
    <x v="128"/>
    <d v="2025-06-24T00:00:00"/>
    <m/>
    <s v="Day Off"/>
    <m/>
    <m/>
    <n v="0"/>
    <x v="1"/>
  </r>
  <r>
    <x v="0"/>
    <s v="Egypt"/>
    <x v="27"/>
    <x v="128"/>
    <x v="128"/>
    <d v="2025-06-25T00:00:00"/>
    <d v="1899-12-30T08:15:00"/>
    <s v="No show"/>
    <d v="1899-12-30T14:00:00"/>
    <d v="1899-12-30T22:15:00"/>
    <n v="29700"/>
    <x v="1"/>
  </r>
  <r>
    <x v="0"/>
    <s v="Egypt"/>
    <x v="27"/>
    <x v="128"/>
    <x v="128"/>
    <d v="2025-06-26T00:00:00"/>
    <d v="1899-12-30T08:15:00"/>
    <s v="Non Telecom Assyot"/>
    <d v="1899-12-30T17:15:00"/>
    <s v="+1:30 AM"/>
    <n v="29700"/>
    <x v="0"/>
  </r>
  <r>
    <x v="0"/>
    <s v="Egypt"/>
    <x v="27"/>
    <x v="128"/>
    <x v="128"/>
    <m/>
    <m/>
    <s v="Break 15 Night"/>
    <d v="1899-12-30T19:30:00"/>
    <d v="1899-12-30T19:45:00"/>
    <n v="0"/>
    <x v="1"/>
  </r>
  <r>
    <x v="0"/>
    <s v="Egypt"/>
    <x v="27"/>
    <x v="128"/>
    <x v="128"/>
    <m/>
    <m/>
    <s v="Break 30 Night"/>
    <d v="1899-12-30T22:30:00"/>
    <d v="1899-12-30T23:00:00"/>
    <n v="0"/>
    <x v="1"/>
  </r>
  <r>
    <x v="0"/>
    <s v="Egypt"/>
    <x v="27"/>
    <x v="128"/>
    <x v="128"/>
    <d v="2025-06-27T00:00:00"/>
    <d v="1899-12-30T09:15:00"/>
    <s v="Non Telecom Assyot"/>
    <d v="1899-12-30T16:15:00"/>
    <s v="+1:30 AM"/>
    <n v="33300"/>
    <x v="0"/>
  </r>
  <r>
    <x v="0"/>
    <s v="Egypt"/>
    <x v="27"/>
    <x v="128"/>
    <x v="128"/>
    <m/>
    <m/>
    <s v="Shift Move"/>
    <d v="1899-12-30T16:15:00"/>
    <d v="1899-12-30T17:15:00"/>
    <n v="0"/>
    <x v="1"/>
  </r>
  <r>
    <x v="0"/>
    <s v="Egypt"/>
    <x v="27"/>
    <x v="128"/>
    <x v="128"/>
    <m/>
    <m/>
    <s v="Break 15 Night"/>
    <d v="1899-12-30T19:15:00"/>
    <d v="1899-12-30T19:30:00"/>
    <n v="0"/>
    <x v="1"/>
  </r>
  <r>
    <x v="0"/>
    <s v="Egypt"/>
    <x v="27"/>
    <x v="128"/>
    <x v="128"/>
    <m/>
    <m/>
    <s v="Break 30 Night"/>
    <d v="1899-12-30T22:15:00"/>
    <d v="1899-12-30T22:45:00"/>
    <n v="0"/>
    <x v="1"/>
  </r>
  <r>
    <x v="0"/>
    <s v="Egypt"/>
    <x v="27"/>
    <x v="128"/>
    <x v="128"/>
    <d v="2025-06-28T00:00:00"/>
    <d v="1899-12-30T08:15:00"/>
    <s v="Non Telecom Assyot"/>
    <d v="1899-12-30T14:00:00"/>
    <d v="1899-12-30T22:15:00"/>
    <n v="29700"/>
    <x v="0"/>
  </r>
  <r>
    <x v="0"/>
    <s v="Egypt"/>
    <x v="27"/>
    <x v="128"/>
    <x v="128"/>
    <m/>
    <m/>
    <s v="Break 15 Morning"/>
    <d v="1899-12-30T15:30:00"/>
    <d v="1899-12-30T15:45:00"/>
    <n v="0"/>
    <x v="1"/>
  </r>
  <r>
    <x v="0"/>
    <s v="Egypt"/>
    <x v="27"/>
    <x v="128"/>
    <x v="128"/>
    <m/>
    <m/>
    <s v="Break 30 Morning"/>
    <d v="1899-12-30T19:00:00"/>
    <d v="1899-12-30T19:30:00"/>
    <n v="0"/>
    <x v="1"/>
  </r>
  <r>
    <x v="0"/>
    <s v="Egypt"/>
    <x v="27"/>
    <x v="128"/>
    <x v="128"/>
    <d v="2025-06-29T00:00:00"/>
    <m/>
    <s v="Day Off"/>
    <m/>
    <m/>
    <n v="0"/>
    <x v="1"/>
  </r>
  <r>
    <x v="0"/>
    <s v="Egypt"/>
    <x v="27"/>
    <x v="128"/>
    <x v="128"/>
    <d v="2025-06-30T00:00:00"/>
    <m/>
    <s v="Day Off"/>
    <m/>
    <m/>
    <n v="0"/>
    <x v="1"/>
  </r>
  <r>
    <x v="0"/>
    <s v="Egypt"/>
    <x v="27"/>
    <x v="129"/>
    <x v="129"/>
    <d v="2025-06-01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6:00:00"/>
    <d v="1899-12-30T16:15:00"/>
    <n v="0"/>
    <x v="1"/>
  </r>
  <r>
    <x v="0"/>
    <s v="Egypt"/>
    <x v="27"/>
    <x v="129"/>
    <x v="129"/>
    <m/>
    <m/>
    <s v="Break 30 Morning"/>
    <d v="1899-12-30T19:15:00"/>
    <d v="1899-12-30T19:45:00"/>
    <n v="0"/>
    <x v="1"/>
  </r>
  <r>
    <x v="0"/>
    <s v="Egypt"/>
    <x v="27"/>
    <x v="129"/>
    <x v="129"/>
    <d v="2025-06-02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6:00:00"/>
    <d v="1899-12-30T16:15:00"/>
    <n v="0"/>
    <x v="1"/>
  </r>
  <r>
    <x v="0"/>
    <s v="Egypt"/>
    <x v="27"/>
    <x v="129"/>
    <x v="129"/>
    <m/>
    <m/>
    <s v="Break 30 Morning"/>
    <d v="1899-12-30T19:15:00"/>
    <d v="1899-12-30T19:45:00"/>
    <n v="0"/>
    <x v="1"/>
  </r>
  <r>
    <x v="0"/>
    <s v="Egypt"/>
    <x v="27"/>
    <x v="129"/>
    <x v="129"/>
    <d v="2025-06-03T00:00:00"/>
    <m/>
    <s v="Day Off"/>
    <m/>
    <m/>
    <n v="0"/>
    <x v="1"/>
  </r>
  <r>
    <x v="0"/>
    <s v="Egypt"/>
    <x v="27"/>
    <x v="129"/>
    <x v="129"/>
    <d v="2025-06-04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5:45:00"/>
    <d v="1899-12-30T16:00:00"/>
    <n v="0"/>
    <x v="1"/>
  </r>
  <r>
    <x v="0"/>
    <s v="Egypt"/>
    <x v="27"/>
    <x v="129"/>
    <x v="129"/>
    <m/>
    <m/>
    <s v="Break 30 Morning"/>
    <d v="1899-12-30T19:00:00"/>
    <d v="1899-12-30T19:30:00"/>
    <n v="0"/>
    <x v="1"/>
  </r>
  <r>
    <x v="0"/>
    <s v="Egypt"/>
    <x v="27"/>
    <x v="129"/>
    <x v="129"/>
    <d v="2025-06-05T00:00:00"/>
    <d v="1899-12-30T08:15:00"/>
    <s v="Non Telecom Assyot"/>
    <d v="1899-12-30T09:00:00"/>
    <d v="1899-12-30T17:15:00"/>
    <n v="29700"/>
    <x v="0"/>
  </r>
  <r>
    <x v="0"/>
    <s v="Egypt"/>
    <x v="27"/>
    <x v="129"/>
    <x v="129"/>
    <m/>
    <m/>
    <s v="Break 15 Morning"/>
    <d v="1899-12-30T12:30:00"/>
    <d v="1899-12-30T12:45:00"/>
    <n v="0"/>
    <x v="1"/>
  </r>
  <r>
    <x v="0"/>
    <s v="Egypt"/>
    <x v="27"/>
    <x v="129"/>
    <x v="129"/>
    <m/>
    <m/>
    <s v="Break 30 Morning"/>
    <d v="1899-12-30T15:45:00"/>
    <d v="1899-12-30T16:15:00"/>
    <n v="0"/>
    <x v="1"/>
  </r>
  <r>
    <x v="0"/>
    <s v="Egypt"/>
    <x v="27"/>
    <x v="129"/>
    <x v="129"/>
    <d v="2025-06-06T00:00:00"/>
    <m/>
    <s v="Day Off"/>
    <m/>
    <m/>
    <n v="0"/>
    <x v="1"/>
  </r>
  <r>
    <x v="0"/>
    <s v="Egypt"/>
    <x v="27"/>
    <x v="129"/>
    <x v="129"/>
    <d v="2025-06-07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30:00"/>
    <d v="1899-12-30T19:45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08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15:00"/>
    <d v="1899-12-30T19:30:00"/>
    <n v="0"/>
    <x v="1"/>
  </r>
  <r>
    <x v="0"/>
    <s v="Egypt"/>
    <x v="27"/>
    <x v="129"/>
    <x v="129"/>
    <m/>
    <m/>
    <s v="Break 30 Night"/>
    <d v="1899-12-30T22:45:00"/>
    <d v="1899-12-30T23:15:00"/>
    <n v="0"/>
    <x v="1"/>
  </r>
  <r>
    <x v="0"/>
    <s v="Egypt"/>
    <x v="27"/>
    <x v="129"/>
    <x v="129"/>
    <d v="2025-06-09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15:00"/>
    <d v="1899-12-30T19:30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10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30:00"/>
    <d v="1899-12-30T19:45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11T00:00:00"/>
    <m/>
    <s v="Day Off"/>
    <m/>
    <m/>
    <n v="0"/>
    <x v="1"/>
  </r>
  <r>
    <x v="0"/>
    <s v="Egypt"/>
    <x v="27"/>
    <x v="129"/>
    <x v="129"/>
    <d v="2025-06-12T00:00:00"/>
    <m/>
    <s v="Day Off"/>
    <m/>
    <m/>
    <n v="0"/>
    <x v="1"/>
  </r>
  <r>
    <x v="0"/>
    <s v="Egypt"/>
    <x v="27"/>
    <x v="129"/>
    <x v="129"/>
    <d v="2025-06-13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15:00"/>
    <d v="1899-12-30T19:30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14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5:45:00"/>
    <d v="1899-12-30T16:00:00"/>
    <n v="0"/>
    <x v="1"/>
  </r>
  <r>
    <x v="0"/>
    <s v="Egypt"/>
    <x v="27"/>
    <x v="129"/>
    <x v="129"/>
    <m/>
    <m/>
    <s v="Break 30 Morning"/>
    <d v="1899-12-30T18:45:00"/>
    <d v="1899-12-30T19:15:00"/>
    <n v="0"/>
    <x v="1"/>
  </r>
  <r>
    <x v="0"/>
    <s v="Egypt"/>
    <x v="27"/>
    <x v="129"/>
    <x v="129"/>
    <d v="2025-06-15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7:00:00"/>
    <d v="1899-12-30T17:15:00"/>
    <n v="0"/>
    <x v="1"/>
  </r>
  <r>
    <x v="0"/>
    <s v="Egypt"/>
    <x v="27"/>
    <x v="129"/>
    <x v="129"/>
    <m/>
    <m/>
    <s v="Break 30 Morning"/>
    <d v="1899-12-30T19:45:00"/>
    <d v="1899-12-30T20:15:00"/>
    <n v="0"/>
    <x v="1"/>
  </r>
  <r>
    <x v="0"/>
    <s v="Egypt"/>
    <x v="27"/>
    <x v="129"/>
    <x v="129"/>
    <d v="2025-06-16T00:00:00"/>
    <d v="1899-12-30T11:15:00"/>
    <s v="Non Telecom Assyot"/>
    <d v="1899-12-30T11:00:00"/>
    <d v="1899-12-30T22:15:00"/>
    <n v="40500"/>
    <x v="0"/>
  </r>
  <r>
    <x v="0"/>
    <s v="Egypt"/>
    <x v="27"/>
    <x v="129"/>
    <x v="129"/>
    <m/>
    <m/>
    <s v="Break 15 Morning"/>
    <d v="1899-12-30T13:30:00"/>
    <d v="1899-12-30T13:45:00"/>
    <n v="0"/>
    <x v="1"/>
  </r>
  <r>
    <x v="0"/>
    <s v="Egypt"/>
    <x v="27"/>
    <x v="129"/>
    <x v="129"/>
    <m/>
    <m/>
    <s v="Break 30 Morning"/>
    <d v="1899-12-30T15:45:00"/>
    <d v="1899-12-30T16:15:00"/>
    <n v="0"/>
    <x v="1"/>
  </r>
  <r>
    <x v="0"/>
    <s v="Egypt"/>
    <x v="27"/>
    <x v="129"/>
    <x v="129"/>
    <m/>
    <m/>
    <s v="Shift Move"/>
    <d v="1899-12-30T19:15:00"/>
    <d v="1899-12-30T22:15:00"/>
    <n v="0"/>
    <x v="1"/>
  </r>
  <r>
    <x v="0"/>
    <s v="Egypt"/>
    <x v="27"/>
    <x v="129"/>
    <x v="129"/>
    <d v="2025-06-17T00:00:00"/>
    <m/>
    <s v="Day Off"/>
    <m/>
    <m/>
    <n v="0"/>
    <x v="1"/>
  </r>
  <r>
    <x v="0"/>
    <s v="Egypt"/>
    <x v="27"/>
    <x v="129"/>
    <x v="129"/>
    <d v="2025-06-18T00:00:00"/>
    <m/>
    <s v="Day Off"/>
    <m/>
    <m/>
    <n v="0"/>
    <x v="1"/>
  </r>
  <r>
    <x v="0"/>
    <s v="Egypt"/>
    <x v="27"/>
    <x v="129"/>
    <x v="129"/>
    <d v="2025-06-19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45:00"/>
    <d v="1899-12-30T20:00:00"/>
    <n v="0"/>
    <x v="1"/>
  </r>
  <r>
    <x v="0"/>
    <s v="Egypt"/>
    <x v="27"/>
    <x v="129"/>
    <x v="129"/>
    <m/>
    <m/>
    <s v="Break 30 Night"/>
    <d v="1899-12-30T22:45:00"/>
    <d v="1899-12-30T23:15:00"/>
    <n v="0"/>
    <x v="1"/>
  </r>
  <r>
    <x v="0"/>
    <s v="Egypt"/>
    <x v="27"/>
    <x v="129"/>
    <x v="129"/>
    <d v="2025-06-20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45:00"/>
    <d v="1899-12-30T20:00:00"/>
    <n v="0"/>
    <x v="1"/>
  </r>
  <r>
    <x v="0"/>
    <s v="Egypt"/>
    <x v="27"/>
    <x v="129"/>
    <x v="129"/>
    <m/>
    <m/>
    <s v="Break 30 Night"/>
    <d v="1899-12-30T22:45:00"/>
    <d v="1899-12-30T23:15:00"/>
    <n v="0"/>
    <x v="1"/>
  </r>
  <r>
    <x v="0"/>
    <s v="Egypt"/>
    <x v="27"/>
    <x v="129"/>
    <x v="129"/>
    <d v="2025-06-21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30:00"/>
    <d v="1899-12-30T19:45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22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20:15:00"/>
    <d v="1899-12-30T20:30:00"/>
    <n v="0"/>
    <x v="1"/>
  </r>
  <r>
    <x v="0"/>
    <s v="Egypt"/>
    <x v="27"/>
    <x v="129"/>
    <x v="129"/>
    <m/>
    <m/>
    <s v="Break 30 Night"/>
    <d v="1899-12-30T22:45:00"/>
    <d v="1899-12-30T23:15:00"/>
    <n v="0"/>
    <x v="1"/>
  </r>
  <r>
    <x v="0"/>
    <s v="Egypt"/>
    <x v="27"/>
    <x v="129"/>
    <x v="129"/>
    <d v="2025-06-23T00:00:00"/>
    <m/>
    <s v="Day Off"/>
    <m/>
    <m/>
    <n v="0"/>
    <x v="1"/>
  </r>
  <r>
    <x v="0"/>
    <s v="Egypt"/>
    <x v="27"/>
    <x v="129"/>
    <x v="129"/>
    <d v="2025-06-24T00:00:00"/>
    <m/>
    <s v="Day Off"/>
    <m/>
    <m/>
    <n v="0"/>
    <x v="1"/>
  </r>
  <r>
    <x v="0"/>
    <s v="Egypt"/>
    <x v="27"/>
    <x v="129"/>
    <x v="129"/>
    <d v="2025-06-25T00:00:00"/>
    <d v="1899-12-30T08:15:00"/>
    <s v="Non Telecom Assyot"/>
    <d v="1899-12-30T14:00:00"/>
    <d v="1899-12-30T22:15:00"/>
    <n v="29700"/>
    <x v="0"/>
  </r>
  <r>
    <x v="0"/>
    <s v="Egypt"/>
    <x v="27"/>
    <x v="129"/>
    <x v="129"/>
    <m/>
    <m/>
    <s v="Break 15 Morning"/>
    <d v="1899-12-30T16:15:00"/>
    <d v="1899-12-30T16:30:00"/>
    <n v="0"/>
    <x v="1"/>
  </r>
  <r>
    <x v="0"/>
    <s v="Egypt"/>
    <x v="27"/>
    <x v="129"/>
    <x v="129"/>
    <m/>
    <m/>
    <s v="Break 30 Morning"/>
    <d v="1899-12-30T18:45:00"/>
    <d v="1899-12-30T19:15:00"/>
    <n v="0"/>
    <x v="1"/>
  </r>
  <r>
    <x v="0"/>
    <s v="Egypt"/>
    <x v="27"/>
    <x v="129"/>
    <x v="129"/>
    <d v="2025-06-26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45:00"/>
    <d v="1899-12-30T20:00:00"/>
    <n v="0"/>
    <x v="1"/>
  </r>
  <r>
    <x v="0"/>
    <s v="Egypt"/>
    <x v="27"/>
    <x v="129"/>
    <x v="129"/>
    <m/>
    <m/>
    <s v="Break 30 Night"/>
    <d v="1899-12-30T22:30:00"/>
    <d v="1899-12-30T23:00:00"/>
    <n v="0"/>
    <x v="1"/>
  </r>
  <r>
    <x v="0"/>
    <s v="Egypt"/>
    <x v="27"/>
    <x v="129"/>
    <x v="129"/>
    <d v="2025-06-27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20:00:00"/>
    <d v="1899-12-30T20:15:00"/>
    <n v="0"/>
    <x v="1"/>
  </r>
  <r>
    <x v="0"/>
    <s v="Egypt"/>
    <x v="27"/>
    <x v="129"/>
    <x v="129"/>
    <m/>
    <m/>
    <s v="Break 30 Night"/>
    <d v="1899-12-30T22:45:00"/>
    <d v="1899-12-30T23:15:00"/>
    <n v="0"/>
    <x v="1"/>
  </r>
  <r>
    <x v="0"/>
    <s v="Egypt"/>
    <x v="27"/>
    <x v="129"/>
    <x v="129"/>
    <d v="2025-06-28T00:00:00"/>
    <d v="1899-12-30T08:15:00"/>
    <s v="Non Telecom Assyot"/>
    <d v="1899-12-30T17:15:00"/>
    <s v="+1:30 AM"/>
    <n v="29700"/>
    <x v="0"/>
  </r>
  <r>
    <x v="0"/>
    <s v="Egypt"/>
    <x v="27"/>
    <x v="129"/>
    <x v="129"/>
    <m/>
    <m/>
    <s v="Break 15 Night"/>
    <d v="1899-12-30T19:45:00"/>
    <d v="1899-12-30T20:00:00"/>
    <n v="0"/>
    <x v="1"/>
  </r>
  <r>
    <x v="0"/>
    <s v="Egypt"/>
    <x v="27"/>
    <x v="129"/>
    <x v="129"/>
    <m/>
    <m/>
    <s v="Break 30 Night"/>
    <d v="1899-12-30T23:00:00"/>
    <d v="1899-12-30T23:30:00"/>
    <n v="0"/>
    <x v="1"/>
  </r>
  <r>
    <x v="0"/>
    <s v="Egypt"/>
    <x v="27"/>
    <x v="129"/>
    <x v="129"/>
    <d v="2025-06-29T00:00:00"/>
    <m/>
    <s v="Day Off"/>
    <m/>
    <m/>
    <n v="0"/>
    <x v="1"/>
  </r>
  <r>
    <x v="0"/>
    <s v="Egypt"/>
    <x v="27"/>
    <x v="129"/>
    <x v="129"/>
    <d v="2025-06-30T00:00:00"/>
    <m/>
    <s v="Day Off"/>
    <m/>
    <m/>
    <n v="0"/>
    <x v="1"/>
  </r>
  <r>
    <x v="0"/>
    <s v="Egypt"/>
    <x v="27"/>
    <x v="130"/>
    <x v="130"/>
    <d v="2025-06-05T00:00:00"/>
    <d v="1899-12-30T08:15:00"/>
    <s v="Public holiday"/>
    <m/>
    <m/>
    <n v="29700"/>
    <x v="1"/>
  </r>
  <r>
    <x v="0"/>
    <s v="Egypt"/>
    <x v="27"/>
    <x v="130"/>
    <x v="130"/>
    <d v="2025-06-06T00:00:00"/>
    <m/>
    <s v="Day Off"/>
    <m/>
    <m/>
    <n v="0"/>
    <x v="1"/>
  </r>
  <r>
    <x v="0"/>
    <s v="Egypt"/>
    <x v="27"/>
    <x v="130"/>
    <x v="130"/>
    <d v="2025-06-07T00:00:00"/>
    <m/>
    <s v="Day Off"/>
    <m/>
    <m/>
    <n v="0"/>
    <x v="1"/>
  </r>
  <r>
    <x v="0"/>
    <s v="Egypt"/>
    <x v="27"/>
    <x v="130"/>
    <x v="130"/>
    <d v="2025-06-08T00:00:00"/>
    <d v="1899-12-30T08:15:00"/>
    <s v="Public holiday"/>
    <m/>
    <m/>
    <n v="29700"/>
    <x v="1"/>
  </r>
  <r>
    <x v="0"/>
    <s v="Egypt"/>
    <x v="27"/>
    <x v="130"/>
    <x v="130"/>
    <d v="2025-06-09T00:00:00"/>
    <m/>
    <s v="Day Off"/>
    <m/>
    <m/>
    <n v="0"/>
    <x v="1"/>
  </r>
  <r>
    <x v="0"/>
    <s v="Egypt"/>
    <x v="27"/>
    <x v="130"/>
    <x v="130"/>
    <d v="2025-06-10T00:00:00"/>
    <m/>
    <s v="Day Off"/>
    <m/>
    <m/>
    <n v="0"/>
    <x v="1"/>
  </r>
  <r>
    <x v="0"/>
    <s v="Egypt"/>
    <x v="27"/>
    <x v="130"/>
    <x v="130"/>
    <d v="2025-06-11T00:00:00"/>
    <d v="1899-12-30T08:15:00"/>
    <s v="Non Telecom Assyot"/>
    <d v="1899-12-30T11:00:00"/>
    <d v="1899-12-30T19:15:00"/>
    <n v="29700"/>
    <x v="0"/>
  </r>
  <r>
    <x v="0"/>
    <s v="Egypt"/>
    <x v="27"/>
    <x v="130"/>
    <x v="130"/>
    <m/>
    <m/>
    <s v="Break 15 Morning"/>
    <d v="1899-12-30T13:45:00"/>
    <d v="1899-12-30T14:00:00"/>
    <n v="0"/>
    <x v="1"/>
  </r>
  <r>
    <x v="0"/>
    <s v="Egypt"/>
    <x v="27"/>
    <x v="130"/>
    <x v="130"/>
    <m/>
    <m/>
    <s v="One to One"/>
    <d v="1899-12-30T16:00:00"/>
    <d v="1899-12-30T16:15:00"/>
    <n v="0"/>
    <x v="1"/>
  </r>
  <r>
    <x v="0"/>
    <s v="Egypt"/>
    <x v="27"/>
    <x v="130"/>
    <x v="130"/>
    <m/>
    <m/>
    <s v="Break 30 Morning"/>
    <d v="1899-12-30T16:45:00"/>
    <d v="1899-12-30T17:15:00"/>
    <n v="0"/>
    <x v="1"/>
  </r>
  <r>
    <x v="0"/>
    <s v="Egypt"/>
    <x v="27"/>
    <x v="130"/>
    <x v="130"/>
    <d v="2025-06-12T00:00:00"/>
    <d v="1899-12-30T08:15:00"/>
    <s v="Non Telecom Assyot"/>
    <d v="1899-12-30T11:00:00"/>
    <d v="1899-12-30T19:15:00"/>
    <n v="29700"/>
    <x v="0"/>
  </r>
  <r>
    <x v="0"/>
    <s v="Egypt"/>
    <x v="27"/>
    <x v="130"/>
    <x v="130"/>
    <m/>
    <m/>
    <s v="Break 15 Morning"/>
    <d v="1899-12-30T13:45:00"/>
    <d v="1899-12-30T14:00:00"/>
    <n v="0"/>
    <x v="1"/>
  </r>
  <r>
    <x v="0"/>
    <s v="Egypt"/>
    <x v="27"/>
    <x v="130"/>
    <x v="130"/>
    <m/>
    <m/>
    <s v="One to One"/>
    <d v="1899-12-30T16:00:00"/>
    <d v="1899-12-30T16:15:00"/>
    <n v="0"/>
    <x v="1"/>
  </r>
  <r>
    <x v="0"/>
    <s v="Egypt"/>
    <x v="27"/>
    <x v="130"/>
    <x v="130"/>
    <m/>
    <m/>
    <s v="Break 30 Morning"/>
    <d v="1899-12-30T16:45:00"/>
    <d v="1899-12-30T17:15:00"/>
    <n v="0"/>
    <x v="1"/>
  </r>
  <r>
    <x v="0"/>
    <s v="Egypt"/>
    <x v="27"/>
    <x v="130"/>
    <x v="130"/>
    <d v="2025-06-13T00:00:00"/>
    <d v="1899-12-30T08:15:00"/>
    <s v="Non Telecom Assyot"/>
    <d v="1899-12-30T11:00:00"/>
    <d v="1899-12-30T19:15:00"/>
    <n v="29700"/>
    <x v="0"/>
  </r>
  <r>
    <x v="0"/>
    <s v="Egypt"/>
    <x v="27"/>
    <x v="130"/>
    <x v="130"/>
    <m/>
    <m/>
    <s v="Friday Pray"/>
    <d v="1899-12-30T12:55:00"/>
    <d v="1899-12-30T13:50:00"/>
    <n v="0"/>
    <x v="1"/>
  </r>
  <r>
    <x v="0"/>
    <s v="Egypt"/>
    <x v="27"/>
    <x v="130"/>
    <x v="130"/>
    <m/>
    <m/>
    <s v="Break 15 Morning"/>
    <d v="1899-12-30T14:15:00"/>
    <d v="1899-12-30T14:30:00"/>
    <n v="0"/>
    <x v="1"/>
  </r>
  <r>
    <x v="0"/>
    <s v="Egypt"/>
    <x v="27"/>
    <x v="130"/>
    <x v="130"/>
    <m/>
    <m/>
    <s v="One to One"/>
    <d v="1899-12-30T15:30:00"/>
    <d v="1899-12-30T15:45:00"/>
    <n v="0"/>
    <x v="1"/>
  </r>
  <r>
    <x v="0"/>
    <s v="Egypt"/>
    <x v="27"/>
    <x v="130"/>
    <x v="130"/>
    <m/>
    <m/>
    <s v="Break 30 Morning"/>
    <d v="1899-12-30T16:30:00"/>
    <d v="1899-12-30T17:00:00"/>
    <n v="0"/>
    <x v="1"/>
  </r>
  <r>
    <x v="0"/>
    <s v="Egypt"/>
    <x v="27"/>
    <x v="130"/>
    <x v="130"/>
    <d v="2025-06-14T00:00:00"/>
    <d v="1899-12-30T08:15:00"/>
    <s v="Non Telecom Assyot"/>
    <d v="1899-12-30T11:00:00"/>
    <d v="1899-12-30T19:15:00"/>
    <n v="29700"/>
    <x v="0"/>
  </r>
  <r>
    <x v="0"/>
    <s v="Egypt"/>
    <x v="27"/>
    <x v="130"/>
    <x v="130"/>
    <m/>
    <m/>
    <s v="Break 15 Morning"/>
    <d v="1899-12-30T13:45:00"/>
    <d v="1899-12-30T14:00:00"/>
    <n v="0"/>
    <x v="1"/>
  </r>
  <r>
    <x v="0"/>
    <s v="Egypt"/>
    <x v="27"/>
    <x v="130"/>
    <x v="130"/>
    <m/>
    <m/>
    <s v="One to One"/>
    <d v="1899-12-30T16:15:00"/>
    <d v="1899-12-30T16:30:00"/>
    <n v="0"/>
    <x v="1"/>
  </r>
  <r>
    <x v="0"/>
    <s v="Egypt"/>
    <x v="27"/>
    <x v="130"/>
    <x v="130"/>
    <m/>
    <m/>
    <s v="Break 30 Morning"/>
    <d v="1899-12-30T16:45:00"/>
    <d v="1899-12-30T17:15:00"/>
    <n v="0"/>
    <x v="1"/>
  </r>
  <r>
    <x v="0"/>
    <s v="Egypt"/>
    <x v="27"/>
    <x v="130"/>
    <x v="130"/>
    <d v="2025-06-15T00:00:00"/>
    <d v="1899-12-30T08:15:00"/>
    <s v="Non Telecom Assyot"/>
    <d v="1899-12-30T11:00:00"/>
    <d v="1899-12-30T19:15:00"/>
    <n v="29700"/>
    <x v="0"/>
  </r>
  <r>
    <x v="0"/>
    <s v="Egypt"/>
    <x v="27"/>
    <x v="130"/>
    <x v="130"/>
    <m/>
    <m/>
    <s v="Break 15 Morning"/>
    <d v="1899-12-30T13:30:00"/>
    <d v="1899-12-30T13:45:00"/>
    <n v="0"/>
    <x v="1"/>
  </r>
  <r>
    <x v="0"/>
    <s v="Egypt"/>
    <x v="27"/>
    <x v="130"/>
    <x v="130"/>
    <m/>
    <m/>
    <s v="Break 30 Morning"/>
    <d v="1899-12-30T16:45:00"/>
    <d v="1899-12-30T17:15:00"/>
    <n v="0"/>
    <x v="1"/>
  </r>
  <r>
    <x v="0"/>
    <s v="Egypt"/>
    <x v="27"/>
    <x v="130"/>
    <x v="130"/>
    <d v="2025-06-16T00:00:00"/>
    <m/>
    <s v="Day Off"/>
    <m/>
    <m/>
    <n v="0"/>
    <x v="1"/>
  </r>
  <r>
    <x v="0"/>
    <s v="Egypt"/>
    <x v="27"/>
    <x v="130"/>
    <x v="130"/>
    <d v="2025-06-17T00:00:00"/>
    <m/>
    <s v="Day Off"/>
    <m/>
    <m/>
    <n v="0"/>
    <x v="1"/>
  </r>
  <r>
    <x v="0"/>
    <s v="Egypt"/>
    <x v="27"/>
    <x v="130"/>
    <x v="130"/>
    <d v="2025-06-18T00:00:00"/>
    <d v="1899-12-30T08:15:00"/>
    <s v="Non Telecom Assyot"/>
    <d v="1899-12-30T14:00:00"/>
    <d v="1899-12-30T22:15:00"/>
    <n v="29700"/>
    <x v="0"/>
  </r>
  <r>
    <x v="0"/>
    <s v="Egypt"/>
    <x v="27"/>
    <x v="130"/>
    <x v="130"/>
    <m/>
    <m/>
    <s v="Break 15 Morning"/>
    <d v="1899-12-30T16:30:00"/>
    <d v="1899-12-30T16:45:00"/>
    <n v="0"/>
    <x v="1"/>
  </r>
  <r>
    <x v="0"/>
    <s v="Egypt"/>
    <x v="27"/>
    <x v="130"/>
    <x v="130"/>
    <m/>
    <m/>
    <s v="Break 30 Morning"/>
    <d v="1899-12-30T19:15:00"/>
    <d v="1899-12-30T19:45:00"/>
    <n v="0"/>
    <x v="1"/>
  </r>
  <r>
    <x v="0"/>
    <s v="Egypt"/>
    <x v="27"/>
    <x v="130"/>
    <x v="130"/>
    <d v="2025-06-19T00:00:00"/>
    <d v="1899-12-30T08:15:00"/>
    <s v="Non Telecom Assyot"/>
    <d v="1899-12-30T14:00:00"/>
    <d v="1899-12-30T22:15:00"/>
    <n v="29700"/>
    <x v="0"/>
  </r>
  <r>
    <x v="0"/>
    <s v="Egypt"/>
    <x v="27"/>
    <x v="130"/>
    <x v="130"/>
    <m/>
    <m/>
    <s v="Break 15 Morning"/>
    <d v="1899-12-30T16:30:00"/>
    <d v="1899-12-30T16:45:00"/>
    <n v="0"/>
    <x v="1"/>
  </r>
  <r>
    <x v="0"/>
    <s v="Egypt"/>
    <x v="27"/>
    <x v="130"/>
    <x v="130"/>
    <m/>
    <m/>
    <s v="Break 30 Morning"/>
    <d v="1899-12-30T18:45:00"/>
    <d v="1899-12-30T19:15:00"/>
    <n v="0"/>
    <x v="1"/>
  </r>
  <r>
    <x v="0"/>
    <s v="Egypt"/>
    <x v="27"/>
    <x v="130"/>
    <x v="130"/>
    <d v="2025-06-20T00:00:00"/>
    <d v="1899-12-30T08:15:00"/>
    <s v="Non Telecom Assyot"/>
    <d v="1899-12-30T17:15:00"/>
    <s v="+1:30 AM"/>
    <n v="29700"/>
    <x v="0"/>
  </r>
  <r>
    <x v="0"/>
    <s v="Egypt"/>
    <x v="27"/>
    <x v="130"/>
    <x v="130"/>
    <m/>
    <m/>
    <s v="Break 15 Night"/>
    <d v="1899-12-30T20:45:00"/>
    <d v="1899-12-30T21:00:00"/>
    <n v="0"/>
    <x v="1"/>
  </r>
  <r>
    <x v="0"/>
    <s v="Egypt"/>
    <x v="27"/>
    <x v="130"/>
    <x v="130"/>
    <m/>
    <m/>
    <s v="Break 30 Night"/>
    <d v="1899-12-30T23:45:00"/>
    <s v="+12:15 AM"/>
    <n v="0"/>
    <x v="1"/>
  </r>
  <r>
    <x v="0"/>
    <s v="Egypt"/>
    <x v="27"/>
    <x v="130"/>
    <x v="130"/>
    <d v="2025-06-21T00:00:00"/>
    <d v="1899-12-30T08:15:00"/>
    <s v="Non Telecom Assyot"/>
    <d v="1899-12-30T14:00:00"/>
    <d v="1899-12-30T22:15:00"/>
    <n v="29700"/>
    <x v="0"/>
  </r>
  <r>
    <x v="0"/>
    <s v="Egypt"/>
    <x v="27"/>
    <x v="130"/>
    <x v="130"/>
    <m/>
    <m/>
    <s v="Break 15 Morning"/>
    <d v="1899-12-30T16:15:00"/>
    <d v="1899-12-30T16:30:00"/>
    <n v="0"/>
    <x v="1"/>
  </r>
  <r>
    <x v="0"/>
    <s v="Egypt"/>
    <x v="27"/>
    <x v="130"/>
    <x v="130"/>
    <m/>
    <m/>
    <s v="Break 30 Morning"/>
    <d v="1899-12-30T19:30:00"/>
    <d v="1899-12-30T20:00:00"/>
    <n v="0"/>
    <x v="1"/>
  </r>
  <r>
    <x v="0"/>
    <s v="Egypt"/>
    <x v="27"/>
    <x v="130"/>
    <x v="130"/>
    <d v="2025-06-22T00:00:00"/>
    <d v="1899-12-30T08:15:00"/>
    <s v="Non Telecom Assyot"/>
    <d v="1899-12-30T14:00:00"/>
    <d v="1899-12-30T22:15:00"/>
    <n v="29700"/>
    <x v="0"/>
  </r>
  <r>
    <x v="0"/>
    <s v="Egypt"/>
    <x v="27"/>
    <x v="130"/>
    <x v="130"/>
    <m/>
    <m/>
    <s v="Break 15 Morning"/>
    <d v="1899-12-30T17:00:00"/>
    <d v="1899-12-30T17:15:00"/>
    <n v="0"/>
    <x v="1"/>
  </r>
  <r>
    <x v="0"/>
    <s v="Egypt"/>
    <x v="27"/>
    <x v="130"/>
    <x v="130"/>
    <m/>
    <m/>
    <s v="Break 30 Morning"/>
    <d v="1899-12-30T19:45:00"/>
    <d v="1899-12-30T20:15:00"/>
    <n v="0"/>
    <x v="1"/>
  </r>
  <r>
    <x v="0"/>
    <s v="Egypt"/>
    <x v="27"/>
    <x v="130"/>
    <x v="130"/>
    <d v="2025-06-23T00:00:00"/>
    <m/>
    <s v="Day Off"/>
    <m/>
    <m/>
    <n v="0"/>
    <x v="1"/>
  </r>
  <r>
    <x v="0"/>
    <s v="Egypt"/>
    <x v="27"/>
    <x v="130"/>
    <x v="130"/>
    <d v="2025-06-24T00:00:00"/>
    <m/>
    <s v="Day Off"/>
    <m/>
    <m/>
    <n v="0"/>
    <x v="1"/>
  </r>
  <r>
    <x v="0"/>
    <s v="Egypt"/>
    <x v="27"/>
    <x v="130"/>
    <x v="130"/>
    <d v="2025-06-25T00:00:00"/>
    <d v="1899-12-30T08:15:00"/>
    <s v="Non Telecom Assyot"/>
    <d v="1899-12-30T17:15:00"/>
    <s v="+1:30 AM"/>
    <n v="29700"/>
    <x v="0"/>
  </r>
  <r>
    <x v="0"/>
    <s v="Egypt"/>
    <x v="27"/>
    <x v="130"/>
    <x v="130"/>
    <m/>
    <m/>
    <s v="Break 15 Night"/>
    <d v="1899-12-30T20:15:00"/>
    <d v="1899-12-30T20:30:00"/>
    <n v="0"/>
    <x v="1"/>
  </r>
  <r>
    <x v="0"/>
    <s v="Egypt"/>
    <x v="27"/>
    <x v="130"/>
    <x v="130"/>
    <m/>
    <m/>
    <s v="Break 30 Night"/>
    <d v="1899-12-30T23:30:00"/>
    <s v="+12:00 AM"/>
    <n v="0"/>
    <x v="1"/>
  </r>
  <r>
    <x v="0"/>
    <s v="Egypt"/>
    <x v="27"/>
    <x v="130"/>
    <x v="130"/>
    <d v="2025-06-26T00:00:00"/>
    <d v="1899-12-30T08:15:00"/>
    <s v="Non Telecom Assyot"/>
    <d v="1899-12-30T17:15:00"/>
    <s v="+1:30 AM"/>
    <n v="29700"/>
    <x v="0"/>
  </r>
  <r>
    <x v="0"/>
    <s v="Egypt"/>
    <x v="27"/>
    <x v="130"/>
    <x v="130"/>
    <m/>
    <m/>
    <s v="Break 15 Night"/>
    <d v="1899-12-30T20:30:00"/>
    <d v="1899-12-30T20:45:00"/>
    <n v="0"/>
    <x v="1"/>
  </r>
  <r>
    <x v="0"/>
    <s v="Egypt"/>
    <x v="27"/>
    <x v="130"/>
    <x v="130"/>
    <m/>
    <m/>
    <s v="Break 30 Night"/>
    <d v="1899-12-30T23:30:00"/>
    <s v="+12:00 AM"/>
    <n v="0"/>
    <x v="1"/>
  </r>
  <r>
    <x v="0"/>
    <s v="Egypt"/>
    <x v="27"/>
    <x v="130"/>
    <x v="130"/>
    <d v="2025-06-27T00:00:00"/>
    <d v="1899-12-30T08:15:00"/>
    <s v="Non Telecom Assyot"/>
    <d v="1899-12-30T17:15:00"/>
    <s v="+1:30 AM"/>
    <n v="29700"/>
    <x v="0"/>
  </r>
  <r>
    <x v="0"/>
    <s v="Egypt"/>
    <x v="27"/>
    <x v="130"/>
    <x v="130"/>
    <m/>
    <m/>
    <s v="Break 15 Night"/>
    <d v="1899-12-30T20:30:00"/>
    <d v="1899-12-30T20:45:00"/>
    <n v="0"/>
    <x v="1"/>
  </r>
  <r>
    <x v="0"/>
    <s v="Egypt"/>
    <x v="27"/>
    <x v="130"/>
    <x v="130"/>
    <m/>
    <m/>
    <s v="Break 30 Night"/>
    <d v="1899-12-30T23:45:00"/>
    <s v="+12:15 AM"/>
    <n v="0"/>
    <x v="1"/>
  </r>
  <r>
    <x v="0"/>
    <s v="Egypt"/>
    <x v="27"/>
    <x v="130"/>
    <x v="130"/>
    <d v="2025-06-28T00:00:00"/>
    <d v="1899-12-30T08:15:00"/>
    <s v="Non Telecom Assyot"/>
    <d v="1899-12-30T17:15:00"/>
    <s v="+1:30 AM"/>
    <n v="29700"/>
    <x v="0"/>
  </r>
  <r>
    <x v="0"/>
    <s v="Egypt"/>
    <x v="27"/>
    <x v="130"/>
    <x v="130"/>
    <m/>
    <m/>
    <s v="Break 15 Night"/>
    <d v="1899-12-30T20:15:00"/>
    <d v="1899-12-30T20:30:00"/>
    <n v="0"/>
    <x v="1"/>
  </r>
  <r>
    <x v="0"/>
    <s v="Egypt"/>
    <x v="27"/>
    <x v="130"/>
    <x v="130"/>
    <m/>
    <m/>
    <s v="Break 30 Night"/>
    <d v="1899-12-30T23:30:00"/>
    <s v="+12:00 AM"/>
    <n v="0"/>
    <x v="1"/>
  </r>
  <r>
    <x v="0"/>
    <s v="Egypt"/>
    <x v="27"/>
    <x v="130"/>
    <x v="130"/>
    <d v="2025-06-29T00:00:00"/>
    <d v="1899-12-30T08:15:00"/>
    <s v="Non Telecom Assyot"/>
    <d v="1899-12-30T14:00:00"/>
    <d v="1899-12-30T22:15:00"/>
    <n v="29700"/>
    <x v="0"/>
  </r>
  <r>
    <x v="0"/>
    <s v="Egypt"/>
    <x v="27"/>
    <x v="130"/>
    <x v="130"/>
    <m/>
    <m/>
    <s v="Break 15 Morning"/>
    <d v="1899-12-30T15:15:00"/>
    <d v="1899-12-30T15:30:00"/>
    <n v="0"/>
    <x v="1"/>
  </r>
  <r>
    <x v="0"/>
    <s v="Egypt"/>
    <x v="27"/>
    <x v="130"/>
    <x v="130"/>
    <m/>
    <m/>
    <s v="Break 30 Morning"/>
    <d v="1899-12-30T18:45:00"/>
    <d v="1899-12-30T19:15:00"/>
    <n v="0"/>
    <x v="1"/>
  </r>
  <r>
    <x v="0"/>
    <s v="Egypt"/>
    <x v="27"/>
    <x v="130"/>
    <x v="130"/>
    <d v="2025-06-30T00:00:00"/>
    <m/>
    <s v="Day Off"/>
    <m/>
    <m/>
    <n v="0"/>
    <x v="1"/>
  </r>
  <r>
    <x v="0"/>
    <s v="Egypt"/>
    <x v="28"/>
    <x v="131"/>
    <x v="131"/>
    <d v="2025-06-01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3:15:00"/>
    <d v="1899-12-30T13:30:00"/>
    <n v="0"/>
    <x v="1"/>
  </r>
  <r>
    <x v="0"/>
    <s v="Egypt"/>
    <x v="28"/>
    <x v="131"/>
    <x v="131"/>
    <m/>
    <m/>
    <s v="Break 30 Morning"/>
    <d v="1899-12-30T17:00:00"/>
    <d v="1899-12-30T17:30:00"/>
    <n v="0"/>
    <x v="1"/>
  </r>
  <r>
    <x v="0"/>
    <s v="Egypt"/>
    <x v="28"/>
    <x v="131"/>
    <x v="131"/>
    <d v="2025-06-02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00:00"/>
    <d v="1899-12-30T11:15:00"/>
    <n v="0"/>
    <x v="1"/>
  </r>
  <r>
    <x v="0"/>
    <s v="Egypt"/>
    <x v="28"/>
    <x v="131"/>
    <x v="131"/>
    <m/>
    <m/>
    <s v="Break 30 Morning"/>
    <d v="1899-12-30T14:15:00"/>
    <d v="1899-12-30T14:45:00"/>
    <n v="0"/>
    <x v="1"/>
  </r>
  <r>
    <x v="0"/>
    <s v="Egypt"/>
    <x v="28"/>
    <x v="131"/>
    <x v="131"/>
    <d v="2025-06-03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00:00"/>
    <d v="1899-12-30T11:15:00"/>
    <n v="0"/>
    <x v="1"/>
  </r>
  <r>
    <x v="0"/>
    <s v="Egypt"/>
    <x v="28"/>
    <x v="131"/>
    <x v="131"/>
    <m/>
    <m/>
    <s v="Break 30 Morning"/>
    <d v="1899-12-30T14:15:00"/>
    <d v="1899-12-30T14:45:00"/>
    <n v="0"/>
    <x v="1"/>
  </r>
  <r>
    <x v="0"/>
    <s v="Egypt"/>
    <x v="28"/>
    <x v="131"/>
    <x v="131"/>
    <d v="2025-06-04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15:00"/>
    <d v="1899-12-30T11:30:00"/>
    <n v="0"/>
    <x v="1"/>
  </r>
  <r>
    <x v="0"/>
    <s v="Egypt"/>
    <x v="28"/>
    <x v="131"/>
    <x v="131"/>
    <m/>
    <m/>
    <s v="Break 30 Morning"/>
    <d v="1899-12-30T14:15:00"/>
    <d v="1899-12-30T14:45:00"/>
    <n v="0"/>
    <x v="1"/>
  </r>
  <r>
    <x v="0"/>
    <s v="Egypt"/>
    <x v="28"/>
    <x v="131"/>
    <x v="131"/>
    <d v="2025-06-05T00:00:00"/>
    <m/>
    <s v="Day Off"/>
    <m/>
    <m/>
    <n v="0"/>
    <x v="1"/>
  </r>
  <r>
    <x v="0"/>
    <s v="Egypt"/>
    <x v="28"/>
    <x v="131"/>
    <x v="131"/>
    <d v="2025-06-06T00:00:00"/>
    <m/>
    <s v="Day Off"/>
    <m/>
    <m/>
    <n v="0"/>
    <x v="1"/>
  </r>
  <r>
    <x v="0"/>
    <s v="Egypt"/>
    <x v="28"/>
    <x v="131"/>
    <x v="131"/>
    <d v="2025-06-07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0:30:00"/>
    <d v="1899-12-30T10:45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1"/>
    <x v="131"/>
    <d v="2025-06-08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0:45:00"/>
    <d v="1899-12-30T11:00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1"/>
    <x v="131"/>
    <d v="2025-06-09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0:45:00"/>
    <d v="1899-12-30T11:00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1"/>
    <x v="131"/>
    <d v="2025-06-10T00:00:00"/>
    <m/>
    <s v="Day Off"/>
    <m/>
    <m/>
    <n v="0"/>
    <x v="1"/>
  </r>
  <r>
    <x v="0"/>
    <s v="Egypt"/>
    <x v="28"/>
    <x v="131"/>
    <x v="131"/>
    <d v="2025-06-11T00:00:00"/>
    <m/>
    <s v="Day Off"/>
    <m/>
    <m/>
    <n v="0"/>
    <x v="1"/>
  </r>
  <r>
    <x v="0"/>
    <s v="Egypt"/>
    <x v="28"/>
    <x v="131"/>
    <x v="131"/>
    <d v="2025-06-12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0:45:00"/>
    <d v="1899-12-30T11:00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1"/>
    <x v="131"/>
    <d v="2025-06-13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0:00:00"/>
    <d v="1899-12-30T10:15:00"/>
    <n v="0"/>
    <x v="1"/>
  </r>
  <r>
    <x v="0"/>
    <s v="Egypt"/>
    <x v="28"/>
    <x v="131"/>
    <x v="131"/>
    <m/>
    <m/>
    <s v="Break 30 Morning"/>
    <d v="1899-12-30T13:30:00"/>
    <d v="1899-12-30T14:00:00"/>
    <n v="0"/>
    <x v="1"/>
  </r>
  <r>
    <x v="0"/>
    <s v="Egypt"/>
    <x v="28"/>
    <x v="131"/>
    <x v="131"/>
    <d v="2025-06-14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15:00"/>
    <d v="1899-12-30T11:30:00"/>
    <n v="0"/>
    <x v="1"/>
  </r>
  <r>
    <x v="0"/>
    <s v="Egypt"/>
    <x v="28"/>
    <x v="131"/>
    <x v="131"/>
    <m/>
    <m/>
    <s v="Break 30 Morning"/>
    <d v="1899-12-30T14:15:00"/>
    <d v="1899-12-30T14:45:00"/>
    <n v="0"/>
    <x v="1"/>
  </r>
  <r>
    <x v="0"/>
    <s v="Egypt"/>
    <x v="28"/>
    <x v="131"/>
    <x v="131"/>
    <d v="2025-06-15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2:30:00"/>
    <d v="1899-12-30T12:45:00"/>
    <n v="0"/>
    <x v="1"/>
  </r>
  <r>
    <x v="0"/>
    <s v="Egypt"/>
    <x v="28"/>
    <x v="131"/>
    <x v="131"/>
    <m/>
    <m/>
    <s v="Break 30 Morning"/>
    <d v="1899-12-30T15:45:00"/>
    <d v="1899-12-30T16:15:00"/>
    <n v="0"/>
    <x v="1"/>
  </r>
  <r>
    <x v="0"/>
    <s v="Egypt"/>
    <x v="28"/>
    <x v="131"/>
    <x v="131"/>
    <d v="2025-06-16T00:00:00"/>
    <m/>
    <s v="Day Off"/>
    <m/>
    <m/>
    <n v="0"/>
    <x v="1"/>
  </r>
  <r>
    <x v="0"/>
    <s v="Egypt"/>
    <x v="28"/>
    <x v="131"/>
    <x v="131"/>
    <d v="2025-06-17T00:00:00"/>
    <m/>
    <s v="Day Off"/>
    <m/>
    <m/>
    <n v="0"/>
    <x v="1"/>
  </r>
  <r>
    <x v="0"/>
    <s v="Egypt"/>
    <x v="28"/>
    <x v="131"/>
    <x v="131"/>
    <d v="2025-06-18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2:00:00"/>
    <d v="1899-12-30T12:15:00"/>
    <n v="0"/>
    <x v="1"/>
  </r>
  <r>
    <x v="0"/>
    <s v="Egypt"/>
    <x v="28"/>
    <x v="131"/>
    <x v="131"/>
    <m/>
    <m/>
    <s v="Break 30 Morning"/>
    <d v="1899-12-30T14:30:00"/>
    <d v="1899-12-30T15:00:00"/>
    <n v="0"/>
    <x v="1"/>
  </r>
  <r>
    <x v="0"/>
    <s v="Egypt"/>
    <x v="28"/>
    <x v="131"/>
    <x v="131"/>
    <m/>
    <m/>
    <s v="Leave Early"/>
    <d v="1899-12-30T17:15:00"/>
    <d v="1899-12-30T19:15:00"/>
    <n v="0"/>
    <x v="1"/>
  </r>
  <r>
    <x v="0"/>
    <s v="Egypt"/>
    <x v="28"/>
    <x v="131"/>
    <x v="131"/>
    <d v="2025-06-19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Shift Swap"/>
    <d v="1899-12-30T11:00:00"/>
    <d v="1899-12-30T11:15:00"/>
    <n v="0"/>
    <x v="1"/>
  </r>
  <r>
    <x v="0"/>
    <s v="Egypt"/>
    <x v="28"/>
    <x v="131"/>
    <x v="131"/>
    <m/>
    <m/>
    <s v="Break 15 Morning"/>
    <d v="1899-12-30T12:00:00"/>
    <d v="1899-12-30T12:15:00"/>
    <n v="0"/>
    <x v="1"/>
  </r>
  <r>
    <x v="0"/>
    <s v="Egypt"/>
    <x v="28"/>
    <x v="131"/>
    <x v="131"/>
    <m/>
    <m/>
    <s v="Break 30 Morning"/>
    <d v="1899-12-30T14:30:00"/>
    <d v="1899-12-30T15:00:00"/>
    <n v="0"/>
    <x v="1"/>
  </r>
  <r>
    <x v="0"/>
    <s v="Egypt"/>
    <x v="28"/>
    <x v="131"/>
    <x v="131"/>
    <d v="2025-06-20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4:00:00"/>
    <d v="1899-12-30T14:15:00"/>
    <n v="0"/>
    <x v="1"/>
  </r>
  <r>
    <x v="0"/>
    <s v="Egypt"/>
    <x v="28"/>
    <x v="131"/>
    <x v="131"/>
    <m/>
    <m/>
    <s v="Break 30 Morning"/>
    <d v="1899-12-30T16:45:00"/>
    <d v="1899-12-30T17:15:00"/>
    <n v="0"/>
    <x v="1"/>
  </r>
  <r>
    <x v="0"/>
    <s v="Egypt"/>
    <x v="28"/>
    <x v="131"/>
    <x v="131"/>
    <d v="2025-06-21T00:00:00"/>
    <m/>
    <s v="Day Off"/>
    <m/>
    <m/>
    <n v="0"/>
    <x v="1"/>
  </r>
  <r>
    <x v="0"/>
    <s v="Egypt"/>
    <x v="28"/>
    <x v="131"/>
    <x v="131"/>
    <d v="2025-06-22T00:00:00"/>
    <m/>
    <s v="Day Off"/>
    <m/>
    <m/>
    <n v="0"/>
    <x v="1"/>
  </r>
  <r>
    <x v="0"/>
    <s v="Egypt"/>
    <x v="28"/>
    <x v="131"/>
    <x v="131"/>
    <d v="2025-06-23T00:00:00"/>
    <m/>
    <s v="Day Off"/>
    <m/>
    <m/>
    <n v="0"/>
    <x v="1"/>
  </r>
  <r>
    <x v="0"/>
    <s v="Egypt"/>
    <x v="28"/>
    <x v="131"/>
    <x v="131"/>
    <d v="2025-06-24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00:00"/>
    <d v="1899-12-30T11:15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1"/>
    <x v="131"/>
    <d v="2025-06-25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30:00"/>
    <d v="1899-12-30T11:45:00"/>
    <n v="0"/>
    <x v="1"/>
  </r>
  <r>
    <x v="0"/>
    <s v="Egypt"/>
    <x v="28"/>
    <x v="131"/>
    <x v="131"/>
    <m/>
    <m/>
    <s v="Break 30 Morning"/>
    <d v="1899-12-30T14:15:00"/>
    <d v="1899-12-30T14:45:00"/>
    <n v="0"/>
    <x v="1"/>
  </r>
  <r>
    <x v="0"/>
    <s v="Egypt"/>
    <x v="28"/>
    <x v="131"/>
    <x v="131"/>
    <d v="2025-06-26T00:00:00"/>
    <d v="1899-12-30T08:15:00"/>
    <s v="Public holiday"/>
    <m/>
    <m/>
    <n v="29700"/>
    <x v="1"/>
  </r>
  <r>
    <x v="0"/>
    <s v="Egypt"/>
    <x v="28"/>
    <x v="131"/>
    <x v="131"/>
    <d v="2025-06-27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3:00:00"/>
    <d v="1899-12-30T13:15:00"/>
    <n v="0"/>
    <x v="1"/>
  </r>
  <r>
    <x v="0"/>
    <s v="Egypt"/>
    <x v="28"/>
    <x v="131"/>
    <x v="131"/>
    <m/>
    <m/>
    <s v="Break 30 Morning"/>
    <d v="1899-12-30T16:15:00"/>
    <d v="1899-12-30T16:45:00"/>
    <n v="0"/>
    <x v="1"/>
  </r>
  <r>
    <x v="0"/>
    <s v="Egypt"/>
    <x v="28"/>
    <x v="131"/>
    <x v="131"/>
    <d v="2025-06-28T00:00:00"/>
    <d v="1899-12-30T08:15:00"/>
    <s v="Non Telecom Assyot"/>
    <d v="1899-12-30T11:00:00"/>
    <d v="1899-12-30T19:15:00"/>
    <n v="29700"/>
    <x v="0"/>
  </r>
  <r>
    <x v="0"/>
    <s v="Egypt"/>
    <x v="28"/>
    <x v="131"/>
    <x v="131"/>
    <m/>
    <m/>
    <s v="Break 15 Morning"/>
    <d v="1899-12-30T13:00:00"/>
    <d v="1899-12-30T13:15:00"/>
    <n v="0"/>
    <x v="1"/>
  </r>
  <r>
    <x v="0"/>
    <s v="Egypt"/>
    <x v="28"/>
    <x v="131"/>
    <x v="131"/>
    <m/>
    <m/>
    <s v="Break 30 Morning"/>
    <d v="1899-12-30T16:15:00"/>
    <d v="1899-12-30T16:45:00"/>
    <n v="0"/>
    <x v="1"/>
  </r>
  <r>
    <x v="0"/>
    <s v="Egypt"/>
    <x v="28"/>
    <x v="131"/>
    <x v="131"/>
    <d v="2025-06-29T00:00:00"/>
    <m/>
    <s v="Day Off"/>
    <m/>
    <m/>
    <n v="0"/>
    <x v="1"/>
  </r>
  <r>
    <x v="0"/>
    <s v="Egypt"/>
    <x v="28"/>
    <x v="131"/>
    <x v="131"/>
    <d v="2025-06-30T00:00:00"/>
    <d v="1899-12-30T08:15:00"/>
    <s v="Non Telecom Assyot"/>
    <d v="1899-12-30T09:00:00"/>
    <d v="1899-12-30T17:15:00"/>
    <n v="29700"/>
    <x v="0"/>
  </r>
  <r>
    <x v="0"/>
    <s v="Egypt"/>
    <x v="28"/>
    <x v="131"/>
    <x v="131"/>
    <m/>
    <m/>
    <s v="Break 15 Morning"/>
    <d v="1899-12-30T11:15:00"/>
    <d v="1899-12-30T11:30:00"/>
    <n v="0"/>
    <x v="1"/>
  </r>
  <r>
    <x v="0"/>
    <s v="Egypt"/>
    <x v="28"/>
    <x v="131"/>
    <x v="131"/>
    <m/>
    <m/>
    <s v="Break 30 Morning"/>
    <d v="1899-12-30T13:45:00"/>
    <d v="1899-12-30T14:15:00"/>
    <n v="0"/>
    <x v="1"/>
  </r>
  <r>
    <x v="0"/>
    <s v="Egypt"/>
    <x v="28"/>
    <x v="132"/>
    <x v="132"/>
    <d v="2025-06-01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30:00"/>
    <d v="1899-12-30T11:45:00"/>
    <n v="0"/>
    <x v="1"/>
  </r>
  <r>
    <x v="0"/>
    <s v="Egypt"/>
    <x v="28"/>
    <x v="132"/>
    <x v="132"/>
    <m/>
    <m/>
    <s v="Break 30 Morning"/>
    <d v="1899-12-30T14:45:00"/>
    <d v="1899-12-30T15:15:00"/>
    <n v="0"/>
    <x v="1"/>
  </r>
  <r>
    <x v="0"/>
    <s v="Egypt"/>
    <x v="28"/>
    <x v="132"/>
    <x v="132"/>
    <d v="2025-06-02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15:00"/>
    <d v="1899-12-30T11:30:00"/>
    <n v="0"/>
    <x v="1"/>
  </r>
  <r>
    <x v="0"/>
    <s v="Egypt"/>
    <x v="28"/>
    <x v="132"/>
    <x v="132"/>
    <m/>
    <m/>
    <s v="Break 30 Morning"/>
    <d v="1899-12-30T14:15:00"/>
    <d v="1899-12-30T14:45:00"/>
    <n v="0"/>
    <x v="1"/>
  </r>
  <r>
    <x v="0"/>
    <s v="Egypt"/>
    <x v="28"/>
    <x v="132"/>
    <x v="132"/>
    <d v="2025-06-03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30:00"/>
    <d v="1899-12-30T11:45:00"/>
    <n v="0"/>
    <x v="1"/>
  </r>
  <r>
    <x v="0"/>
    <s v="Egypt"/>
    <x v="28"/>
    <x v="132"/>
    <x v="132"/>
    <m/>
    <m/>
    <s v="Break 30 Morning"/>
    <d v="1899-12-30T14:45:00"/>
    <d v="1899-12-30T15:15:00"/>
    <n v="0"/>
    <x v="1"/>
  </r>
  <r>
    <x v="0"/>
    <s v="Egypt"/>
    <x v="28"/>
    <x v="132"/>
    <x v="132"/>
    <d v="2025-06-04T00:00:00"/>
    <m/>
    <s v="Day Off"/>
    <m/>
    <m/>
    <n v="0"/>
    <x v="1"/>
  </r>
  <r>
    <x v="0"/>
    <s v="Egypt"/>
    <x v="28"/>
    <x v="132"/>
    <x v="132"/>
    <d v="2025-06-05T00:00:00"/>
    <m/>
    <s v="Day Off"/>
    <m/>
    <m/>
    <n v="0"/>
    <x v="1"/>
  </r>
  <r>
    <x v="0"/>
    <s v="Egypt"/>
    <x v="28"/>
    <x v="132"/>
    <x v="132"/>
    <d v="2025-06-06T00:00:00"/>
    <d v="1899-12-30T08:15:00"/>
    <s v="Public holiday"/>
    <m/>
    <m/>
    <n v="29700"/>
    <x v="1"/>
  </r>
  <r>
    <x v="0"/>
    <s v="Egypt"/>
    <x v="28"/>
    <x v="132"/>
    <x v="132"/>
    <d v="2025-06-07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0:30:00"/>
    <d v="1899-12-30T10:45:00"/>
    <n v="0"/>
    <x v="1"/>
  </r>
  <r>
    <x v="0"/>
    <s v="Egypt"/>
    <x v="28"/>
    <x v="132"/>
    <x v="132"/>
    <m/>
    <m/>
    <s v="Break 30 Morning"/>
    <d v="1899-12-30T13:45:00"/>
    <d v="1899-12-30T14:15:00"/>
    <n v="0"/>
    <x v="1"/>
  </r>
  <r>
    <x v="0"/>
    <s v="Egypt"/>
    <x v="28"/>
    <x v="132"/>
    <x v="132"/>
    <d v="2025-06-08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00:00"/>
    <d v="1899-12-30T11:15:00"/>
    <n v="0"/>
    <x v="1"/>
  </r>
  <r>
    <x v="0"/>
    <s v="Egypt"/>
    <x v="28"/>
    <x v="132"/>
    <x v="132"/>
    <m/>
    <m/>
    <s v="Break 30 Morning"/>
    <d v="1899-12-30T14:15:00"/>
    <d v="1899-12-30T14:45:00"/>
    <n v="0"/>
    <x v="1"/>
  </r>
  <r>
    <x v="0"/>
    <s v="Egypt"/>
    <x v="28"/>
    <x v="132"/>
    <x v="132"/>
    <d v="2025-06-09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15:00"/>
    <d v="1899-12-30T13:30:00"/>
    <n v="0"/>
    <x v="1"/>
  </r>
  <r>
    <x v="0"/>
    <s v="Egypt"/>
    <x v="28"/>
    <x v="132"/>
    <x v="132"/>
    <m/>
    <m/>
    <s v="Break 30 Morning"/>
    <d v="1899-12-30T17:00:00"/>
    <d v="1899-12-30T17:30:00"/>
    <n v="0"/>
    <x v="1"/>
  </r>
  <r>
    <x v="0"/>
    <s v="Egypt"/>
    <x v="28"/>
    <x v="132"/>
    <x v="132"/>
    <d v="2025-06-10T00:00:00"/>
    <m/>
    <s v="Day Off"/>
    <m/>
    <m/>
    <n v="0"/>
    <x v="1"/>
  </r>
  <r>
    <x v="0"/>
    <s v="Egypt"/>
    <x v="28"/>
    <x v="132"/>
    <x v="132"/>
    <d v="2025-06-11T00:00:00"/>
    <m/>
    <s v="Day Off"/>
    <m/>
    <m/>
    <n v="0"/>
    <x v="1"/>
  </r>
  <r>
    <x v="0"/>
    <s v="Egypt"/>
    <x v="28"/>
    <x v="132"/>
    <x v="132"/>
    <d v="2025-06-12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0:45:00"/>
    <d v="1899-12-30T11:00:00"/>
    <n v="0"/>
    <x v="1"/>
  </r>
  <r>
    <x v="0"/>
    <s v="Egypt"/>
    <x v="28"/>
    <x v="132"/>
    <x v="132"/>
    <m/>
    <m/>
    <s v="Break 30 Morning"/>
    <d v="1899-12-30T13:45:00"/>
    <d v="1899-12-30T14:15:00"/>
    <n v="0"/>
    <x v="1"/>
  </r>
  <r>
    <x v="0"/>
    <s v="Egypt"/>
    <x v="28"/>
    <x v="132"/>
    <x v="132"/>
    <d v="2025-06-13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0:30:00"/>
    <d v="1899-12-30T10:45:00"/>
    <n v="0"/>
    <x v="1"/>
  </r>
  <r>
    <x v="0"/>
    <s v="Egypt"/>
    <x v="28"/>
    <x v="132"/>
    <x v="132"/>
    <m/>
    <m/>
    <s v="Break 30 Morning"/>
    <d v="1899-12-30T14:00:00"/>
    <d v="1899-12-30T14:30:00"/>
    <n v="0"/>
    <x v="1"/>
  </r>
  <r>
    <x v="0"/>
    <s v="Egypt"/>
    <x v="28"/>
    <x v="132"/>
    <x v="132"/>
    <d v="2025-06-14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30:00"/>
    <d v="1899-12-30T11:45:00"/>
    <n v="0"/>
    <x v="1"/>
  </r>
  <r>
    <x v="0"/>
    <s v="Egypt"/>
    <x v="28"/>
    <x v="132"/>
    <x v="132"/>
    <m/>
    <m/>
    <s v="Break 30 Morning"/>
    <d v="1899-12-30T14:15:00"/>
    <d v="1899-12-30T14:45:00"/>
    <n v="0"/>
    <x v="1"/>
  </r>
  <r>
    <x v="0"/>
    <s v="Egypt"/>
    <x v="28"/>
    <x v="132"/>
    <x v="132"/>
    <d v="2025-06-15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15:00"/>
    <d v="1899-12-30T11:30:00"/>
    <n v="0"/>
    <x v="1"/>
  </r>
  <r>
    <x v="0"/>
    <s v="Egypt"/>
    <x v="28"/>
    <x v="132"/>
    <x v="132"/>
    <m/>
    <m/>
    <s v="Break 30 Morning"/>
    <d v="1899-12-30T14:15:00"/>
    <d v="1899-12-30T14:45:00"/>
    <n v="0"/>
    <x v="1"/>
  </r>
  <r>
    <x v="0"/>
    <s v="Egypt"/>
    <x v="28"/>
    <x v="132"/>
    <x v="132"/>
    <d v="2025-06-16T00:00:00"/>
    <d v="1899-12-30T08:15:00"/>
    <s v="Non Telecom Assyot"/>
    <d v="1899-12-30T09:00:00"/>
    <d v="1899-12-30T17:15:00"/>
    <n v="29700"/>
    <x v="0"/>
  </r>
  <r>
    <x v="0"/>
    <s v="Egypt"/>
    <x v="28"/>
    <x v="132"/>
    <x v="132"/>
    <m/>
    <m/>
    <s v="Break 15 Morning"/>
    <d v="1899-12-30T11:15:00"/>
    <d v="1899-12-30T11:30:00"/>
    <n v="0"/>
    <x v="1"/>
  </r>
  <r>
    <x v="0"/>
    <s v="Egypt"/>
    <x v="28"/>
    <x v="132"/>
    <x v="132"/>
    <m/>
    <m/>
    <s v="Break 30 Morning"/>
    <d v="1899-12-30T13:45:00"/>
    <d v="1899-12-30T14:15:00"/>
    <n v="0"/>
    <x v="1"/>
  </r>
  <r>
    <x v="0"/>
    <s v="Egypt"/>
    <x v="28"/>
    <x v="132"/>
    <x v="132"/>
    <d v="2025-06-17T00:00:00"/>
    <m/>
    <s v="Day Off"/>
    <m/>
    <m/>
    <n v="0"/>
    <x v="1"/>
  </r>
  <r>
    <x v="0"/>
    <s v="Egypt"/>
    <x v="28"/>
    <x v="132"/>
    <x v="132"/>
    <d v="2025-06-18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15:00"/>
    <d v="1899-12-30T13:30:00"/>
    <n v="0"/>
    <x v="1"/>
  </r>
  <r>
    <x v="0"/>
    <s v="Egypt"/>
    <x v="28"/>
    <x v="132"/>
    <x v="132"/>
    <m/>
    <m/>
    <s v="Break 30 Morning"/>
    <d v="1899-12-30T16:15:00"/>
    <d v="1899-12-30T16:45:00"/>
    <n v="0"/>
    <x v="1"/>
  </r>
  <r>
    <x v="0"/>
    <s v="Egypt"/>
    <x v="28"/>
    <x v="132"/>
    <x v="132"/>
    <d v="2025-06-19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45:00"/>
    <d v="1899-12-30T14:00:00"/>
    <n v="0"/>
    <x v="1"/>
  </r>
  <r>
    <x v="0"/>
    <s v="Egypt"/>
    <x v="28"/>
    <x v="132"/>
    <x v="132"/>
    <m/>
    <m/>
    <s v="Break 30 Morning"/>
    <d v="1899-12-30T16:45:00"/>
    <d v="1899-12-30T17:15:00"/>
    <n v="0"/>
    <x v="1"/>
  </r>
  <r>
    <x v="0"/>
    <s v="Egypt"/>
    <x v="28"/>
    <x v="132"/>
    <x v="132"/>
    <d v="2025-06-20T00:00:00"/>
    <d v="1899-12-30T08:15:00"/>
    <s v="Annual Exception"/>
    <m/>
    <m/>
    <n v="29700"/>
    <x v="1"/>
  </r>
  <r>
    <x v="0"/>
    <s v="Egypt"/>
    <x v="28"/>
    <x v="132"/>
    <x v="132"/>
    <d v="2025-06-21T00:00:00"/>
    <m/>
    <s v="Day Off"/>
    <m/>
    <m/>
    <n v="0"/>
    <x v="1"/>
  </r>
  <r>
    <x v="0"/>
    <s v="Egypt"/>
    <x v="28"/>
    <x v="132"/>
    <x v="132"/>
    <d v="2025-06-22T00:00:00"/>
    <m/>
    <s v="Day Off"/>
    <m/>
    <m/>
    <n v="0"/>
    <x v="1"/>
  </r>
  <r>
    <x v="0"/>
    <s v="Egypt"/>
    <x v="28"/>
    <x v="132"/>
    <x v="132"/>
    <d v="2025-06-23T00:00:00"/>
    <m/>
    <s v="Day Off"/>
    <m/>
    <m/>
    <n v="0"/>
    <x v="1"/>
  </r>
  <r>
    <x v="0"/>
    <s v="Egypt"/>
    <x v="28"/>
    <x v="132"/>
    <x v="132"/>
    <d v="2025-06-24T00:00:00"/>
    <d v="1899-12-30T08:15:00"/>
    <s v="Annual Exception"/>
    <m/>
    <m/>
    <n v="29700"/>
    <x v="1"/>
  </r>
  <r>
    <x v="0"/>
    <s v="Egypt"/>
    <x v="28"/>
    <x v="132"/>
    <x v="132"/>
    <d v="2025-06-25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00:00"/>
    <d v="1899-12-30T13:15:00"/>
    <n v="0"/>
    <x v="1"/>
  </r>
  <r>
    <x v="0"/>
    <s v="Egypt"/>
    <x v="28"/>
    <x v="132"/>
    <x v="132"/>
    <m/>
    <m/>
    <s v="Break 30 Morning"/>
    <d v="1899-12-30T15:45:00"/>
    <d v="1899-12-30T16:15:00"/>
    <n v="0"/>
    <x v="1"/>
  </r>
  <r>
    <x v="0"/>
    <s v="Egypt"/>
    <x v="28"/>
    <x v="132"/>
    <x v="132"/>
    <d v="2025-06-26T00:00:00"/>
    <d v="1899-12-30T08:15:00"/>
    <s v="Public holiday"/>
    <m/>
    <m/>
    <n v="29700"/>
    <x v="1"/>
  </r>
  <r>
    <x v="0"/>
    <s v="Egypt"/>
    <x v="28"/>
    <x v="132"/>
    <x v="132"/>
    <d v="2025-06-27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15:00"/>
    <d v="1899-12-30T13:30:00"/>
    <n v="0"/>
    <x v="1"/>
  </r>
  <r>
    <x v="0"/>
    <s v="Egypt"/>
    <x v="28"/>
    <x v="132"/>
    <x v="132"/>
    <m/>
    <m/>
    <s v="Break 30 Morning"/>
    <d v="1899-12-30T16:45:00"/>
    <d v="1899-12-30T17:15:00"/>
    <n v="0"/>
    <x v="1"/>
  </r>
  <r>
    <x v="0"/>
    <s v="Egypt"/>
    <x v="28"/>
    <x v="132"/>
    <x v="132"/>
    <d v="2025-06-28T00:00:00"/>
    <d v="1899-12-30T08:15:00"/>
    <s v="Non Telecom Assyot"/>
    <d v="1899-12-30T11:00:00"/>
    <d v="1899-12-30T19:15:00"/>
    <n v="29700"/>
    <x v="0"/>
  </r>
  <r>
    <x v="0"/>
    <s v="Egypt"/>
    <x v="28"/>
    <x v="132"/>
    <x v="132"/>
    <m/>
    <m/>
    <s v="Break 15 Morning"/>
    <d v="1899-12-30T13:15:00"/>
    <d v="1899-12-30T13:30:00"/>
    <n v="0"/>
    <x v="1"/>
  </r>
  <r>
    <x v="0"/>
    <s v="Egypt"/>
    <x v="28"/>
    <x v="132"/>
    <x v="132"/>
    <m/>
    <m/>
    <s v="Break 30 Morning"/>
    <d v="1899-12-30T16:15:00"/>
    <d v="1899-12-30T16:45:00"/>
    <n v="0"/>
    <x v="1"/>
  </r>
  <r>
    <x v="0"/>
    <s v="Egypt"/>
    <x v="28"/>
    <x v="132"/>
    <x v="132"/>
    <d v="2025-06-29T00:00:00"/>
    <m/>
    <s v="Day Off"/>
    <m/>
    <m/>
    <n v="0"/>
    <x v="1"/>
  </r>
  <r>
    <x v="0"/>
    <s v="Egypt"/>
    <x v="28"/>
    <x v="132"/>
    <x v="132"/>
    <d v="2025-06-30T00:00:00"/>
    <d v="1899-12-30T08:15:00"/>
    <s v="Annual Exception"/>
    <m/>
    <m/>
    <n v="29700"/>
    <x v="1"/>
  </r>
  <r>
    <x v="0"/>
    <s v="Egypt"/>
    <x v="28"/>
    <x v="133"/>
    <x v="133"/>
    <d v="2025-06-05T00:00:00"/>
    <d v="1899-12-30T08:15:00"/>
    <s v="Public holiday"/>
    <m/>
    <m/>
    <n v="29700"/>
    <x v="1"/>
  </r>
  <r>
    <x v="0"/>
    <s v="Egypt"/>
    <x v="28"/>
    <x v="133"/>
    <x v="133"/>
    <d v="2025-06-06T00:00:00"/>
    <m/>
    <s v="Day Off"/>
    <m/>
    <m/>
    <n v="0"/>
    <x v="1"/>
  </r>
  <r>
    <x v="0"/>
    <s v="Egypt"/>
    <x v="28"/>
    <x v="133"/>
    <x v="133"/>
    <d v="2025-06-07T00:00:00"/>
    <m/>
    <s v="Day Off"/>
    <m/>
    <m/>
    <n v="0"/>
    <x v="1"/>
  </r>
  <r>
    <x v="0"/>
    <s v="Egypt"/>
    <x v="28"/>
    <x v="133"/>
    <x v="133"/>
    <d v="2025-06-08T00:00:00"/>
    <d v="1899-12-30T08:15:00"/>
    <s v="Public holiday"/>
    <m/>
    <m/>
    <n v="29700"/>
    <x v="1"/>
  </r>
  <r>
    <x v="0"/>
    <s v="Egypt"/>
    <x v="28"/>
    <x v="133"/>
    <x v="133"/>
    <d v="2025-06-09T00:00:00"/>
    <m/>
    <s v="Day Off"/>
    <m/>
    <m/>
    <n v="0"/>
    <x v="1"/>
  </r>
  <r>
    <x v="0"/>
    <s v="Egypt"/>
    <x v="28"/>
    <x v="133"/>
    <x v="133"/>
    <d v="2025-06-10T00:00:00"/>
    <m/>
    <s v="Day Off"/>
    <m/>
    <m/>
    <n v="0"/>
    <x v="1"/>
  </r>
  <r>
    <x v="0"/>
    <s v="Egypt"/>
    <x v="28"/>
    <x v="133"/>
    <x v="133"/>
    <d v="2025-06-11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00:00"/>
    <d v="1899-12-30T11:15:00"/>
    <n v="0"/>
    <x v="1"/>
  </r>
  <r>
    <x v="0"/>
    <s v="Egypt"/>
    <x v="28"/>
    <x v="133"/>
    <x v="133"/>
    <m/>
    <m/>
    <s v="One to One"/>
    <d v="1899-12-30T12:15:00"/>
    <d v="1899-12-30T12:30:00"/>
    <n v="0"/>
    <x v="1"/>
  </r>
  <r>
    <x v="0"/>
    <s v="Egypt"/>
    <x v="28"/>
    <x v="133"/>
    <x v="133"/>
    <m/>
    <m/>
    <s v="Break 30 Morning"/>
    <d v="1899-12-30T14:15:00"/>
    <d v="1899-12-30T14:45:00"/>
    <n v="0"/>
    <x v="1"/>
  </r>
  <r>
    <x v="0"/>
    <s v="Egypt"/>
    <x v="28"/>
    <x v="133"/>
    <x v="133"/>
    <d v="2025-06-12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00:00"/>
    <d v="1899-12-30T11:15:00"/>
    <n v="0"/>
    <x v="1"/>
  </r>
  <r>
    <x v="0"/>
    <s v="Egypt"/>
    <x v="28"/>
    <x v="133"/>
    <x v="133"/>
    <m/>
    <m/>
    <s v="One to One"/>
    <d v="1899-12-30T12:15:00"/>
    <d v="1899-12-30T12:30:00"/>
    <n v="0"/>
    <x v="1"/>
  </r>
  <r>
    <x v="0"/>
    <s v="Egypt"/>
    <x v="28"/>
    <x v="133"/>
    <x v="133"/>
    <m/>
    <m/>
    <s v="Break 30 Morning"/>
    <d v="1899-12-30T13:45:00"/>
    <d v="1899-12-30T14:15:00"/>
    <n v="0"/>
    <x v="1"/>
  </r>
  <r>
    <x v="0"/>
    <s v="Egypt"/>
    <x v="28"/>
    <x v="133"/>
    <x v="133"/>
    <d v="2025-06-13T00:00:00"/>
    <d v="1899-12-30T08:15:00"/>
    <s v="Annual Exception"/>
    <m/>
    <m/>
    <n v="29700"/>
    <x v="1"/>
  </r>
  <r>
    <x v="0"/>
    <s v="Egypt"/>
    <x v="28"/>
    <x v="133"/>
    <x v="133"/>
    <d v="2025-06-14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45:00"/>
    <d v="1899-12-30T12:00:00"/>
    <n v="0"/>
    <x v="1"/>
  </r>
  <r>
    <x v="0"/>
    <s v="Egypt"/>
    <x v="28"/>
    <x v="133"/>
    <x v="133"/>
    <m/>
    <m/>
    <s v="One to One"/>
    <d v="1899-12-30T12:30:00"/>
    <d v="1899-12-30T12:45:00"/>
    <n v="0"/>
    <x v="1"/>
  </r>
  <r>
    <x v="0"/>
    <s v="Egypt"/>
    <x v="28"/>
    <x v="133"/>
    <x v="133"/>
    <m/>
    <m/>
    <s v="Break 30 Morning"/>
    <d v="1899-12-30T14:45:00"/>
    <d v="1899-12-30T15:15:00"/>
    <n v="0"/>
    <x v="1"/>
  </r>
  <r>
    <x v="0"/>
    <s v="Egypt"/>
    <x v="28"/>
    <x v="133"/>
    <x v="133"/>
    <d v="2025-06-15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15:00"/>
    <d v="1899-12-30T11:30:00"/>
    <n v="0"/>
    <x v="1"/>
  </r>
  <r>
    <x v="0"/>
    <s v="Egypt"/>
    <x v="28"/>
    <x v="133"/>
    <x v="133"/>
    <m/>
    <m/>
    <s v="Break 30 Morning"/>
    <d v="1899-12-30T14:45:00"/>
    <d v="1899-12-30T15:15:00"/>
    <n v="0"/>
    <x v="1"/>
  </r>
  <r>
    <x v="0"/>
    <s v="Egypt"/>
    <x v="28"/>
    <x v="133"/>
    <x v="133"/>
    <d v="2025-06-16T00:00:00"/>
    <m/>
    <s v="Day Off"/>
    <m/>
    <m/>
    <n v="0"/>
    <x v="1"/>
  </r>
  <r>
    <x v="0"/>
    <s v="Egypt"/>
    <x v="28"/>
    <x v="133"/>
    <x v="133"/>
    <d v="2025-06-17T00:00:00"/>
    <m/>
    <s v="Day Off"/>
    <m/>
    <m/>
    <n v="0"/>
    <x v="1"/>
  </r>
  <r>
    <x v="0"/>
    <s v="Egypt"/>
    <x v="28"/>
    <x v="133"/>
    <x v="133"/>
    <d v="2025-06-18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15:00"/>
    <d v="1899-12-30T11:30:00"/>
    <n v="0"/>
    <x v="1"/>
  </r>
  <r>
    <x v="0"/>
    <s v="Egypt"/>
    <x v="28"/>
    <x v="133"/>
    <x v="133"/>
    <m/>
    <m/>
    <s v="Break 30 Morning"/>
    <d v="1899-12-30T13:45:00"/>
    <d v="1899-12-30T14:15:00"/>
    <n v="0"/>
    <x v="1"/>
  </r>
  <r>
    <x v="0"/>
    <s v="Egypt"/>
    <x v="28"/>
    <x v="133"/>
    <x v="133"/>
    <d v="2025-06-19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15:00"/>
    <d v="1899-12-30T11:30:00"/>
    <n v="0"/>
    <x v="1"/>
  </r>
  <r>
    <x v="0"/>
    <s v="Egypt"/>
    <x v="28"/>
    <x v="133"/>
    <x v="133"/>
    <m/>
    <m/>
    <s v="Break 30 Morning"/>
    <d v="1899-12-30T13:45:00"/>
    <d v="1899-12-30T14:15:00"/>
    <n v="0"/>
    <x v="1"/>
  </r>
  <r>
    <x v="0"/>
    <s v="Egypt"/>
    <x v="28"/>
    <x v="133"/>
    <x v="133"/>
    <d v="2025-06-20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0:45:00"/>
    <d v="1899-12-30T11:00:00"/>
    <n v="0"/>
    <x v="1"/>
  </r>
  <r>
    <x v="0"/>
    <s v="Egypt"/>
    <x v="28"/>
    <x v="133"/>
    <x v="133"/>
    <m/>
    <m/>
    <s v="Break 30 Morning"/>
    <d v="1899-12-30T13:15:00"/>
    <d v="1899-12-30T13:45:00"/>
    <n v="0"/>
    <x v="1"/>
  </r>
  <r>
    <x v="0"/>
    <s v="Egypt"/>
    <x v="28"/>
    <x v="133"/>
    <x v="133"/>
    <d v="2025-06-21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15:00"/>
    <d v="1899-12-30T11:30:00"/>
    <n v="0"/>
    <x v="1"/>
  </r>
  <r>
    <x v="0"/>
    <s v="Egypt"/>
    <x v="28"/>
    <x v="133"/>
    <x v="133"/>
    <m/>
    <m/>
    <s v="Break 30 Morning"/>
    <d v="1899-12-30T13:45:00"/>
    <d v="1899-12-30T14:15:00"/>
    <n v="0"/>
    <x v="1"/>
  </r>
  <r>
    <x v="0"/>
    <s v="Egypt"/>
    <x v="28"/>
    <x v="133"/>
    <x v="133"/>
    <d v="2025-06-22T00:00:00"/>
    <m/>
    <s v="Day Off"/>
    <m/>
    <m/>
    <n v="0"/>
    <x v="1"/>
  </r>
  <r>
    <x v="0"/>
    <s v="Egypt"/>
    <x v="28"/>
    <x v="133"/>
    <x v="133"/>
    <d v="2025-06-23T00:00:00"/>
    <d v="1899-12-30T08:15:00"/>
    <s v="Non Telecom Assyot"/>
    <d v="1899-12-30T11:00:00"/>
    <d v="1899-12-30T19:15:00"/>
    <n v="29700"/>
    <x v="0"/>
  </r>
  <r>
    <x v="0"/>
    <s v="Egypt"/>
    <x v="28"/>
    <x v="133"/>
    <x v="133"/>
    <m/>
    <m/>
    <s v="Break 15 Morning"/>
    <d v="1899-12-30T13:15:00"/>
    <d v="1899-12-30T13:30:00"/>
    <n v="0"/>
    <x v="1"/>
  </r>
  <r>
    <x v="0"/>
    <s v="Egypt"/>
    <x v="28"/>
    <x v="133"/>
    <x v="133"/>
    <m/>
    <m/>
    <s v="Break 30 Morning"/>
    <d v="1899-12-30T16:15:00"/>
    <d v="1899-12-30T16:45:00"/>
    <n v="0"/>
    <x v="1"/>
  </r>
  <r>
    <x v="0"/>
    <s v="Egypt"/>
    <x v="28"/>
    <x v="133"/>
    <x v="133"/>
    <d v="2025-06-24T00:00:00"/>
    <d v="1899-12-30T08:15:00"/>
    <s v="Non Telecom Assyot"/>
    <d v="1899-12-30T11:00:00"/>
    <d v="1899-12-30T19:15:00"/>
    <n v="29700"/>
    <x v="0"/>
  </r>
  <r>
    <x v="0"/>
    <s v="Egypt"/>
    <x v="28"/>
    <x v="133"/>
    <x v="133"/>
    <m/>
    <m/>
    <s v="Break 15 Morning"/>
    <d v="1899-12-30T13:15:00"/>
    <d v="1899-12-30T13:30:00"/>
    <n v="0"/>
    <x v="1"/>
  </r>
  <r>
    <x v="0"/>
    <s v="Egypt"/>
    <x v="28"/>
    <x v="133"/>
    <x v="133"/>
    <m/>
    <m/>
    <s v="Break 30 Morning"/>
    <d v="1899-12-30T16:15:00"/>
    <d v="1899-12-30T16:45:00"/>
    <n v="0"/>
    <x v="1"/>
  </r>
  <r>
    <x v="0"/>
    <s v="Egypt"/>
    <x v="28"/>
    <x v="133"/>
    <x v="133"/>
    <d v="2025-06-25T00:00:00"/>
    <d v="1899-12-30T08:15:00"/>
    <s v="Non Telecom Assyot"/>
    <d v="1899-12-30T11:00:00"/>
    <d v="1899-12-30T19:15:00"/>
    <n v="29700"/>
    <x v="0"/>
  </r>
  <r>
    <x v="0"/>
    <s v="Egypt"/>
    <x v="28"/>
    <x v="133"/>
    <x v="133"/>
    <m/>
    <m/>
    <s v="Break 15 Morning"/>
    <d v="1899-12-30T13:15:00"/>
    <d v="1899-12-30T13:30:00"/>
    <n v="0"/>
    <x v="1"/>
  </r>
  <r>
    <x v="0"/>
    <s v="Egypt"/>
    <x v="28"/>
    <x v="133"/>
    <x v="133"/>
    <m/>
    <m/>
    <s v="Break 30 Morning"/>
    <d v="1899-12-30T15:45:00"/>
    <d v="1899-12-30T16:15:00"/>
    <n v="0"/>
    <x v="1"/>
  </r>
  <r>
    <x v="0"/>
    <s v="Egypt"/>
    <x v="28"/>
    <x v="133"/>
    <x v="133"/>
    <d v="2025-06-26T00:00:00"/>
    <d v="1899-12-30T08:15:00"/>
    <s v="Annual Exception"/>
    <m/>
    <m/>
    <n v="29700"/>
    <x v="1"/>
  </r>
  <r>
    <x v="0"/>
    <s v="Egypt"/>
    <x v="28"/>
    <x v="133"/>
    <x v="133"/>
    <d v="2025-06-27T00:00:00"/>
    <m/>
    <s v="Day Off"/>
    <m/>
    <m/>
    <n v="0"/>
    <x v="1"/>
  </r>
  <r>
    <x v="0"/>
    <s v="Egypt"/>
    <x v="28"/>
    <x v="133"/>
    <x v="133"/>
    <d v="2025-06-28T00:00:00"/>
    <d v="1899-12-30T08:15:00"/>
    <s v="No show"/>
    <d v="1899-12-30T11:00:00"/>
    <d v="1899-12-30T19:15:00"/>
    <n v="29700"/>
    <x v="1"/>
  </r>
  <r>
    <x v="0"/>
    <s v="Egypt"/>
    <x v="28"/>
    <x v="133"/>
    <x v="133"/>
    <d v="2025-06-29T00:00:00"/>
    <m/>
    <s v="Day Off"/>
    <m/>
    <m/>
    <n v="0"/>
    <x v="1"/>
  </r>
  <r>
    <x v="0"/>
    <s v="Egypt"/>
    <x v="28"/>
    <x v="133"/>
    <x v="133"/>
    <d v="2025-06-30T00:00:00"/>
    <d v="1899-12-30T08:15:00"/>
    <s v="Non Telecom Assyot"/>
    <d v="1899-12-30T09:00:00"/>
    <d v="1899-12-30T17:15:00"/>
    <n v="29700"/>
    <x v="0"/>
  </r>
  <r>
    <x v="0"/>
    <s v="Egypt"/>
    <x v="28"/>
    <x v="133"/>
    <x v="133"/>
    <m/>
    <m/>
    <s v="Break 15 Morning"/>
    <d v="1899-12-30T11:30:00"/>
    <d v="1899-12-30T11:45:00"/>
    <n v="0"/>
    <x v="1"/>
  </r>
  <r>
    <x v="0"/>
    <s v="Egypt"/>
    <x v="28"/>
    <x v="133"/>
    <x v="133"/>
    <m/>
    <m/>
    <s v="Break 30 Morning"/>
    <d v="1899-12-30T14:15:00"/>
    <d v="1899-12-30T14:45:00"/>
    <n v="0"/>
    <x v="1"/>
  </r>
  <r>
    <x v="0"/>
    <s v="Egypt"/>
    <x v="28"/>
    <x v="134"/>
    <x v="134"/>
    <d v="2025-06-01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45:00"/>
    <d v="1899-12-30T12:00:00"/>
    <n v="0"/>
    <x v="1"/>
  </r>
  <r>
    <x v="0"/>
    <s v="Egypt"/>
    <x v="28"/>
    <x v="134"/>
    <x v="134"/>
    <m/>
    <m/>
    <s v="Break 30 Morning"/>
    <d v="1899-12-30T15:15:00"/>
    <d v="1899-12-30T15:45:00"/>
    <n v="0"/>
    <x v="1"/>
  </r>
  <r>
    <x v="0"/>
    <s v="Egypt"/>
    <x v="28"/>
    <x v="134"/>
    <x v="134"/>
    <d v="2025-06-02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45:00"/>
    <d v="1899-12-30T12:00:00"/>
    <n v="0"/>
    <x v="1"/>
  </r>
  <r>
    <x v="0"/>
    <s v="Egypt"/>
    <x v="28"/>
    <x v="134"/>
    <x v="134"/>
    <m/>
    <m/>
    <s v="Break 30 Morning"/>
    <d v="1899-12-30T14:45:00"/>
    <d v="1899-12-30T15:15:00"/>
    <n v="0"/>
    <x v="1"/>
  </r>
  <r>
    <x v="0"/>
    <s v="Egypt"/>
    <x v="28"/>
    <x v="134"/>
    <x v="134"/>
    <d v="2025-06-03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45:00"/>
    <d v="1899-12-30T12:00:00"/>
    <n v="0"/>
    <x v="1"/>
  </r>
  <r>
    <x v="0"/>
    <s v="Egypt"/>
    <x v="28"/>
    <x v="134"/>
    <x v="134"/>
    <m/>
    <m/>
    <s v="Break 30 Morning"/>
    <d v="1899-12-30T14:45:00"/>
    <d v="1899-12-30T15:15:00"/>
    <n v="0"/>
    <x v="1"/>
  </r>
  <r>
    <x v="0"/>
    <s v="Egypt"/>
    <x v="28"/>
    <x v="134"/>
    <x v="134"/>
    <d v="2025-06-04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3:45:00"/>
    <d v="1899-12-30T14:00:00"/>
    <n v="0"/>
    <x v="1"/>
  </r>
  <r>
    <x v="0"/>
    <s v="Egypt"/>
    <x v="28"/>
    <x v="134"/>
    <x v="134"/>
    <m/>
    <m/>
    <s v="Break 30 Morning"/>
    <d v="1899-12-30T16:45:00"/>
    <d v="1899-12-30T17:15:00"/>
    <n v="0"/>
    <x v="1"/>
  </r>
  <r>
    <x v="0"/>
    <s v="Egypt"/>
    <x v="28"/>
    <x v="134"/>
    <x v="134"/>
    <d v="2025-06-05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2:00:00"/>
    <d v="1899-12-30T12:15:00"/>
    <n v="0"/>
    <x v="1"/>
  </r>
  <r>
    <x v="0"/>
    <s v="Egypt"/>
    <x v="28"/>
    <x v="134"/>
    <x v="134"/>
    <m/>
    <m/>
    <s v="Break 30 Morning"/>
    <d v="1899-12-30T15:15:00"/>
    <d v="1899-12-30T15:45:00"/>
    <n v="0"/>
    <x v="1"/>
  </r>
  <r>
    <x v="0"/>
    <s v="Egypt"/>
    <x v="28"/>
    <x v="134"/>
    <x v="134"/>
    <d v="2025-06-06T00:00:00"/>
    <m/>
    <s v="Day Off"/>
    <m/>
    <m/>
    <n v="0"/>
    <x v="1"/>
  </r>
  <r>
    <x v="0"/>
    <s v="Egypt"/>
    <x v="28"/>
    <x v="134"/>
    <x v="134"/>
    <d v="2025-06-07T00:00:00"/>
    <m/>
    <s v="Day Off"/>
    <m/>
    <m/>
    <n v="0"/>
    <x v="1"/>
  </r>
  <r>
    <x v="0"/>
    <s v="Egypt"/>
    <x v="28"/>
    <x v="134"/>
    <x v="134"/>
    <d v="2025-06-08T00:00:00"/>
    <m/>
    <s v="Day Off"/>
    <m/>
    <m/>
    <n v="0"/>
    <x v="1"/>
  </r>
  <r>
    <x v="0"/>
    <s v="Egypt"/>
    <x v="28"/>
    <x v="134"/>
    <x v="134"/>
    <d v="2025-06-09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3:15:00"/>
    <d v="1899-12-30T13:30:00"/>
    <n v="0"/>
    <x v="1"/>
  </r>
  <r>
    <x v="0"/>
    <s v="Egypt"/>
    <x v="28"/>
    <x v="134"/>
    <x v="134"/>
    <m/>
    <m/>
    <s v="Break 30 Morning"/>
    <d v="1899-12-30T16:30:00"/>
    <d v="1899-12-30T17:00:00"/>
    <n v="0"/>
    <x v="1"/>
  </r>
  <r>
    <x v="0"/>
    <s v="Egypt"/>
    <x v="28"/>
    <x v="134"/>
    <x v="134"/>
    <d v="2025-06-10T00:00:00"/>
    <d v="1899-12-30T08:15:00"/>
    <s v="No show"/>
    <d v="1899-12-30T11:00:00"/>
    <d v="1899-12-30T19:15:00"/>
    <n v="29700"/>
    <x v="1"/>
  </r>
  <r>
    <x v="0"/>
    <s v="Egypt"/>
    <x v="28"/>
    <x v="134"/>
    <x v="134"/>
    <d v="2025-06-11T00:00:00"/>
    <m/>
    <s v="Day Off"/>
    <m/>
    <m/>
    <n v="0"/>
    <x v="1"/>
  </r>
  <r>
    <x v="0"/>
    <s v="Egypt"/>
    <x v="28"/>
    <x v="134"/>
    <x v="134"/>
    <d v="2025-06-12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3:00:00"/>
    <d v="1899-12-30T13:15:00"/>
    <n v="0"/>
    <x v="1"/>
  </r>
  <r>
    <x v="0"/>
    <s v="Egypt"/>
    <x v="28"/>
    <x v="134"/>
    <x v="134"/>
    <m/>
    <m/>
    <s v="Break 30 Morning"/>
    <d v="1899-12-30T16:15:00"/>
    <d v="1899-12-30T16:45:00"/>
    <n v="0"/>
    <x v="1"/>
  </r>
  <r>
    <x v="0"/>
    <s v="Egypt"/>
    <x v="28"/>
    <x v="134"/>
    <x v="134"/>
    <d v="2025-06-13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3:45:00"/>
    <d v="1899-12-30T14:00:00"/>
    <n v="0"/>
    <x v="1"/>
  </r>
  <r>
    <x v="0"/>
    <s v="Egypt"/>
    <x v="28"/>
    <x v="134"/>
    <x v="134"/>
    <m/>
    <m/>
    <s v="Break 30 Morning"/>
    <d v="1899-12-30T16:45:00"/>
    <d v="1899-12-30T17:15:00"/>
    <n v="0"/>
    <x v="1"/>
  </r>
  <r>
    <x v="0"/>
    <s v="Egypt"/>
    <x v="28"/>
    <x v="134"/>
    <x v="134"/>
    <m/>
    <m/>
    <s v="Leave Early"/>
    <d v="1899-12-30T17:15:00"/>
    <d v="1899-12-30T19:15:00"/>
    <n v="0"/>
    <x v="1"/>
  </r>
  <r>
    <x v="0"/>
    <s v="Egypt"/>
    <x v="28"/>
    <x v="134"/>
    <x v="134"/>
    <d v="2025-06-14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45:00"/>
    <d v="1899-12-30T12:00:00"/>
    <n v="0"/>
    <x v="1"/>
  </r>
  <r>
    <x v="0"/>
    <s v="Egypt"/>
    <x v="28"/>
    <x v="134"/>
    <x v="134"/>
    <m/>
    <m/>
    <s v="Break 30 Morning"/>
    <d v="1899-12-30T14:45:00"/>
    <d v="1899-12-30T15:15:00"/>
    <n v="0"/>
    <x v="1"/>
  </r>
  <r>
    <x v="0"/>
    <s v="Egypt"/>
    <x v="28"/>
    <x v="134"/>
    <x v="134"/>
    <d v="2025-06-15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30:00"/>
    <d v="1899-12-30T11:45:00"/>
    <n v="0"/>
    <x v="1"/>
  </r>
  <r>
    <x v="0"/>
    <s v="Egypt"/>
    <x v="28"/>
    <x v="134"/>
    <x v="134"/>
    <m/>
    <m/>
    <s v="Break 30 Morning"/>
    <d v="1899-12-30T14:45:00"/>
    <d v="1899-12-30T15:15:00"/>
    <n v="0"/>
    <x v="1"/>
  </r>
  <r>
    <x v="0"/>
    <s v="Egypt"/>
    <x v="28"/>
    <x v="134"/>
    <x v="134"/>
    <d v="2025-06-16T00:00:00"/>
    <m/>
    <s v="Day Off"/>
    <m/>
    <m/>
    <n v="0"/>
    <x v="1"/>
  </r>
  <r>
    <x v="0"/>
    <s v="Egypt"/>
    <x v="28"/>
    <x v="134"/>
    <x v="134"/>
    <d v="2025-06-17T00:00:00"/>
    <m/>
    <s v="Day Off"/>
    <m/>
    <m/>
    <n v="0"/>
    <x v="1"/>
  </r>
  <r>
    <x v="0"/>
    <s v="Egypt"/>
    <x v="28"/>
    <x v="134"/>
    <x v="134"/>
    <d v="2025-06-18T00:00:00"/>
    <d v="1899-12-30T08:15:00"/>
    <s v="Annual Exception"/>
    <m/>
    <m/>
    <n v="29700"/>
    <x v="1"/>
  </r>
  <r>
    <x v="0"/>
    <s v="Egypt"/>
    <x v="28"/>
    <x v="134"/>
    <x v="134"/>
    <d v="2025-06-19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4:00:00"/>
    <d v="1899-12-30T14:15:00"/>
    <n v="0"/>
    <x v="1"/>
  </r>
  <r>
    <x v="0"/>
    <s v="Egypt"/>
    <x v="28"/>
    <x v="134"/>
    <x v="134"/>
    <m/>
    <m/>
    <s v="Break 30 Morning"/>
    <d v="1899-12-30T16:45:00"/>
    <d v="1899-12-30T17:15:00"/>
    <n v="0"/>
    <x v="1"/>
  </r>
  <r>
    <x v="0"/>
    <s v="Egypt"/>
    <x v="28"/>
    <x v="134"/>
    <x v="134"/>
    <d v="2025-06-20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3:45:00"/>
    <d v="1899-12-30T14:00:00"/>
    <n v="0"/>
    <x v="1"/>
  </r>
  <r>
    <x v="0"/>
    <s v="Egypt"/>
    <x v="28"/>
    <x v="134"/>
    <x v="134"/>
    <m/>
    <m/>
    <s v="Break 30 Morning"/>
    <d v="1899-12-30T16:45:00"/>
    <d v="1899-12-30T17:15:00"/>
    <n v="0"/>
    <x v="1"/>
  </r>
  <r>
    <x v="0"/>
    <s v="Egypt"/>
    <x v="28"/>
    <x v="134"/>
    <x v="134"/>
    <d v="2025-06-21T00:00:00"/>
    <d v="1899-12-30T08:15:00"/>
    <s v="Annual Exception"/>
    <m/>
    <m/>
    <n v="29700"/>
    <x v="1"/>
  </r>
  <r>
    <x v="0"/>
    <s v="Egypt"/>
    <x v="28"/>
    <x v="134"/>
    <x v="134"/>
    <d v="2025-06-22T00:00:00"/>
    <m/>
    <s v="Day Off"/>
    <m/>
    <m/>
    <n v="0"/>
    <x v="1"/>
  </r>
  <r>
    <x v="0"/>
    <s v="Egypt"/>
    <x v="28"/>
    <x v="134"/>
    <x v="134"/>
    <d v="2025-06-23T00:00:00"/>
    <m/>
    <s v="Day Off"/>
    <m/>
    <m/>
    <n v="0"/>
    <x v="1"/>
  </r>
  <r>
    <x v="0"/>
    <s v="Egypt"/>
    <x v="28"/>
    <x v="134"/>
    <x v="134"/>
    <d v="2025-06-24T00:00:00"/>
    <d v="1899-12-30T08:15:00"/>
    <s v="Non Telecom Assyot"/>
    <d v="1899-12-30T09:00:00"/>
    <d v="1899-12-30T17:15:00"/>
    <n v="29700"/>
    <x v="0"/>
  </r>
  <r>
    <x v="0"/>
    <s v="Egypt"/>
    <x v="28"/>
    <x v="134"/>
    <x v="134"/>
    <m/>
    <m/>
    <s v="Break 15 Morning"/>
    <d v="1899-12-30T11:00:00"/>
    <d v="1899-12-30T11:15:00"/>
    <n v="0"/>
    <x v="1"/>
  </r>
  <r>
    <x v="0"/>
    <s v="Egypt"/>
    <x v="28"/>
    <x v="134"/>
    <x v="134"/>
    <m/>
    <m/>
    <s v="Break 30 Morning"/>
    <d v="1899-12-30T14:15:00"/>
    <d v="1899-12-30T14:45:00"/>
    <n v="0"/>
    <x v="1"/>
  </r>
  <r>
    <x v="0"/>
    <s v="Egypt"/>
    <x v="28"/>
    <x v="134"/>
    <x v="134"/>
    <d v="2025-06-25T00:00:00"/>
    <d v="1899-12-30T08:15:00"/>
    <s v="Non Telecom Assyot"/>
    <d v="1899-12-30T11:00:00"/>
    <d v="1899-12-30T19:15:00"/>
    <n v="29700"/>
    <x v="0"/>
  </r>
  <r>
    <x v="0"/>
    <s v="Egypt"/>
    <x v="28"/>
    <x v="134"/>
    <x v="134"/>
    <m/>
    <m/>
    <s v="Break 15 Morning"/>
    <d v="1899-12-30T14:15:00"/>
    <d v="1899-12-30T14:30:00"/>
    <n v="0"/>
    <x v="1"/>
  </r>
  <r>
    <x v="0"/>
    <s v="Egypt"/>
    <x v="28"/>
    <x v="134"/>
    <x v="134"/>
    <m/>
    <m/>
    <s v="Break 30 Morning"/>
    <d v="1899-12-30T16:45:00"/>
    <d v="1899-12-30T17:15:00"/>
    <n v="0"/>
    <x v="1"/>
  </r>
  <r>
    <x v="0"/>
    <s v="Egypt"/>
    <x v="28"/>
    <x v="134"/>
    <x v="134"/>
    <d v="2025-06-26T00:00:00"/>
    <d v="1899-12-30T08:15:00"/>
    <s v="Public holiday"/>
    <m/>
    <m/>
    <n v="29700"/>
    <x v="1"/>
  </r>
  <r>
    <x v="0"/>
    <s v="Egypt"/>
    <x v="28"/>
    <x v="134"/>
    <x v="134"/>
    <d v="2025-06-27T00:00:00"/>
    <d v="1899-12-30T08:15:00"/>
    <s v="Annual Exception"/>
    <m/>
    <m/>
    <n v="29700"/>
    <x v="1"/>
  </r>
  <r>
    <x v="0"/>
    <s v="Egypt"/>
    <x v="28"/>
    <x v="134"/>
    <x v="134"/>
    <d v="2025-06-28T00:00:00"/>
    <m/>
    <s v="Day Off"/>
    <m/>
    <m/>
    <n v="0"/>
    <x v="1"/>
  </r>
  <r>
    <x v="0"/>
    <s v="Egypt"/>
    <x v="28"/>
    <x v="134"/>
    <x v="134"/>
    <d v="2025-06-29T00:00:00"/>
    <m/>
    <s v="Day Off"/>
    <m/>
    <m/>
    <n v="0"/>
    <x v="1"/>
  </r>
  <r>
    <x v="0"/>
    <s v="Egypt"/>
    <x v="28"/>
    <x v="134"/>
    <x v="134"/>
    <d v="2025-06-30T00:00:00"/>
    <m/>
    <s v="Day Off"/>
    <m/>
    <m/>
    <n v="0"/>
    <x v="1"/>
  </r>
  <r>
    <x v="0"/>
    <s v="Egypt"/>
    <x v="28"/>
    <x v="135"/>
    <x v="135"/>
    <d v="2025-06-01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1:45:00"/>
    <d v="1899-12-30T12:00:00"/>
    <n v="0"/>
    <x v="1"/>
  </r>
  <r>
    <x v="0"/>
    <s v="Egypt"/>
    <x v="28"/>
    <x v="135"/>
    <x v="135"/>
    <m/>
    <m/>
    <s v="Break 30 Morning"/>
    <d v="1899-12-30T15:15:00"/>
    <d v="1899-12-30T15:45:00"/>
    <n v="0"/>
    <x v="1"/>
  </r>
  <r>
    <x v="0"/>
    <s v="Egypt"/>
    <x v="28"/>
    <x v="135"/>
    <x v="135"/>
    <d v="2025-06-02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1:45:00"/>
    <d v="1899-12-30T12:00:00"/>
    <n v="0"/>
    <x v="1"/>
  </r>
  <r>
    <x v="0"/>
    <s v="Egypt"/>
    <x v="28"/>
    <x v="135"/>
    <x v="135"/>
    <m/>
    <m/>
    <s v="Break 30 Morning"/>
    <d v="1899-12-30T14:45:00"/>
    <d v="1899-12-30T15:15:00"/>
    <n v="0"/>
    <x v="1"/>
  </r>
  <r>
    <x v="0"/>
    <s v="Egypt"/>
    <x v="28"/>
    <x v="135"/>
    <x v="135"/>
    <d v="2025-06-03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1:45:00"/>
    <d v="1899-12-30T12:00:00"/>
    <n v="0"/>
    <x v="1"/>
  </r>
  <r>
    <x v="0"/>
    <s v="Egypt"/>
    <x v="28"/>
    <x v="135"/>
    <x v="135"/>
    <m/>
    <m/>
    <s v="Break 30 Morning"/>
    <d v="1899-12-30T14:45:00"/>
    <d v="1899-12-30T15:15:00"/>
    <n v="0"/>
    <x v="1"/>
  </r>
  <r>
    <x v="0"/>
    <s v="Egypt"/>
    <x v="28"/>
    <x v="135"/>
    <x v="135"/>
    <d v="2025-06-04T00:00:00"/>
    <m/>
    <s v="Day Off"/>
    <m/>
    <m/>
    <n v="0"/>
    <x v="1"/>
  </r>
  <r>
    <x v="0"/>
    <s v="Egypt"/>
    <x v="28"/>
    <x v="135"/>
    <x v="135"/>
    <d v="2025-06-05T00:00:00"/>
    <m/>
    <s v="Day Off"/>
    <m/>
    <m/>
    <n v="0"/>
    <x v="1"/>
  </r>
  <r>
    <x v="0"/>
    <s v="Egypt"/>
    <x v="28"/>
    <x v="135"/>
    <x v="135"/>
    <d v="2025-06-06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00:00"/>
    <d v="1899-12-30T13:15:00"/>
    <n v="0"/>
    <x v="1"/>
  </r>
  <r>
    <x v="0"/>
    <s v="Egypt"/>
    <x v="28"/>
    <x v="135"/>
    <x v="135"/>
    <m/>
    <m/>
    <s v="Break 30 Morning"/>
    <d v="1899-12-30T16:30:00"/>
    <d v="1899-12-30T17:00:00"/>
    <n v="0"/>
    <x v="1"/>
  </r>
  <r>
    <x v="0"/>
    <s v="Egypt"/>
    <x v="28"/>
    <x v="135"/>
    <x v="135"/>
    <d v="2025-06-07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30:00"/>
    <d v="1899-12-30T13:45:00"/>
    <n v="0"/>
    <x v="1"/>
  </r>
  <r>
    <x v="0"/>
    <s v="Egypt"/>
    <x v="28"/>
    <x v="135"/>
    <x v="135"/>
    <m/>
    <m/>
    <s v="Break 30 Morning"/>
    <d v="1899-12-30T17:00:00"/>
    <d v="1899-12-30T17:30:00"/>
    <n v="0"/>
    <x v="1"/>
  </r>
  <r>
    <x v="0"/>
    <s v="Egypt"/>
    <x v="28"/>
    <x v="135"/>
    <x v="135"/>
    <d v="2025-06-08T00:00:00"/>
    <d v="1899-12-30T08:15:00"/>
    <s v="Public holiday"/>
    <m/>
    <m/>
    <n v="29700"/>
    <x v="1"/>
  </r>
  <r>
    <x v="0"/>
    <s v="Egypt"/>
    <x v="28"/>
    <x v="135"/>
    <x v="135"/>
    <d v="2025-06-09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00:00"/>
    <d v="1899-12-30T13:15:00"/>
    <n v="0"/>
    <x v="1"/>
  </r>
  <r>
    <x v="0"/>
    <s v="Egypt"/>
    <x v="28"/>
    <x v="135"/>
    <x v="135"/>
    <m/>
    <m/>
    <s v="Break 30 Morning"/>
    <d v="1899-12-30T16:15:00"/>
    <d v="1899-12-30T16:45:00"/>
    <n v="0"/>
    <x v="1"/>
  </r>
  <r>
    <x v="0"/>
    <s v="Egypt"/>
    <x v="28"/>
    <x v="135"/>
    <x v="135"/>
    <d v="2025-06-10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4:00:00"/>
    <d v="1899-12-30T14:15:00"/>
    <n v="0"/>
    <x v="1"/>
  </r>
  <r>
    <x v="0"/>
    <s v="Egypt"/>
    <x v="28"/>
    <x v="135"/>
    <x v="135"/>
    <m/>
    <m/>
    <s v="Break 30 Morning"/>
    <d v="1899-12-30T17:15:00"/>
    <d v="1899-12-30T17:45:00"/>
    <n v="0"/>
    <x v="1"/>
  </r>
  <r>
    <x v="0"/>
    <s v="Egypt"/>
    <x v="28"/>
    <x v="135"/>
    <x v="135"/>
    <d v="2025-06-11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2:15:00"/>
    <d v="1899-12-30T12:30:00"/>
    <n v="0"/>
    <x v="1"/>
  </r>
  <r>
    <x v="0"/>
    <s v="Egypt"/>
    <x v="28"/>
    <x v="135"/>
    <x v="135"/>
    <m/>
    <m/>
    <s v="Break 30 Morning"/>
    <d v="1899-12-30T15:45:00"/>
    <d v="1899-12-30T16:15:00"/>
    <n v="0"/>
    <x v="1"/>
  </r>
  <r>
    <x v="0"/>
    <s v="Egypt"/>
    <x v="28"/>
    <x v="135"/>
    <x v="135"/>
    <d v="2025-06-12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00:00"/>
    <d v="1899-12-30T13:15:00"/>
    <n v="0"/>
    <x v="1"/>
  </r>
  <r>
    <x v="0"/>
    <s v="Egypt"/>
    <x v="28"/>
    <x v="135"/>
    <x v="135"/>
    <m/>
    <m/>
    <s v="Break 30 Morning"/>
    <d v="1899-12-30T16:15:00"/>
    <d v="1899-12-30T16:45:00"/>
    <n v="0"/>
    <x v="1"/>
  </r>
  <r>
    <x v="0"/>
    <s v="Egypt"/>
    <x v="28"/>
    <x v="135"/>
    <x v="135"/>
    <d v="2025-06-13T00:00:00"/>
    <m/>
    <s v="Day Off"/>
    <m/>
    <m/>
    <n v="0"/>
    <x v="1"/>
  </r>
  <r>
    <x v="0"/>
    <s v="Egypt"/>
    <x v="28"/>
    <x v="135"/>
    <x v="135"/>
    <d v="2025-06-14T00:00:00"/>
    <m/>
    <s v="Day Off"/>
    <m/>
    <m/>
    <n v="0"/>
    <x v="1"/>
  </r>
  <r>
    <x v="0"/>
    <s v="Egypt"/>
    <x v="28"/>
    <x v="135"/>
    <x v="135"/>
    <d v="2025-06-15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1:30:00"/>
    <d v="1899-12-30T11:45:00"/>
    <n v="0"/>
    <x v="1"/>
  </r>
  <r>
    <x v="0"/>
    <s v="Egypt"/>
    <x v="28"/>
    <x v="135"/>
    <x v="135"/>
    <m/>
    <m/>
    <s v="Break 30 Morning"/>
    <d v="1899-12-30T14:45:00"/>
    <d v="1899-12-30T15:15:00"/>
    <n v="0"/>
    <x v="1"/>
  </r>
  <r>
    <x v="0"/>
    <s v="Egypt"/>
    <x v="28"/>
    <x v="135"/>
    <x v="135"/>
    <d v="2025-06-16T00:00:00"/>
    <m/>
    <s v="Day Off"/>
    <m/>
    <m/>
    <n v="0"/>
    <x v="1"/>
  </r>
  <r>
    <x v="0"/>
    <s v="Egypt"/>
    <x v="28"/>
    <x v="135"/>
    <x v="135"/>
    <d v="2025-06-17T00:00:00"/>
    <m/>
    <s v="Day Off"/>
    <m/>
    <m/>
    <n v="0"/>
    <x v="1"/>
  </r>
  <r>
    <x v="0"/>
    <s v="Egypt"/>
    <x v="28"/>
    <x v="135"/>
    <x v="135"/>
    <d v="2025-06-18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30:00"/>
    <d v="1899-12-30T13:45:00"/>
    <n v="0"/>
    <x v="1"/>
  </r>
  <r>
    <x v="0"/>
    <s v="Egypt"/>
    <x v="28"/>
    <x v="135"/>
    <x v="135"/>
    <m/>
    <m/>
    <s v="Break 30 Morning"/>
    <d v="1899-12-30T16:15:00"/>
    <d v="1899-12-30T16:45:00"/>
    <n v="0"/>
    <x v="1"/>
  </r>
  <r>
    <x v="0"/>
    <s v="Egypt"/>
    <x v="28"/>
    <x v="135"/>
    <x v="135"/>
    <d v="2025-06-19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4:00:00"/>
    <d v="1899-12-30T14:15:00"/>
    <n v="0"/>
    <x v="1"/>
  </r>
  <r>
    <x v="0"/>
    <s v="Egypt"/>
    <x v="28"/>
    <x v="135"/>
    <x v="135"/>
    <m/>
    <m/>
    <s v="Break 30 Morning"/>
    <d v="1899-12-30T16:45:00"/>
    <d v="1899-12-30T17:15:00"/>
    <n v="0"/>
    <x v="1"/>
  </r>
  <r>
    <x v="0"/>
    <s v="Egypt"/>
    <x v="28"/>
    <x v="135"/>
    <x v="135"/>
    <d v="2025-06-20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45:00"/>
    <d v="1899-12-30T14:00:00"/>
    <n v="0"/>
    <x v="1"/>
  </r>
  <r>
    <x v="0"/>
    <s v="Egypt"/>
    <x v="28"/>
    <x v="135"/>
    <x v="135"/>
    <m/>
    <m/>
    <s v="Break 30 Morning"/>
    <d v="1899-12-30T16:45:00"/>
    <d v="1899-12-30T17:15:00"/>
    <n v="0"/>
    <x v="1"/>
  </r>
  <r>
    <x v="0"/>
    <s v="Egypt"/>
    <x v="28"/>
    <x v="135"/>
    <x v="135"/>
    <d v="2025-06-21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45:00"/>
    <d v="1899-12-30T14:00:00"/>
    <n v="0"/>
    <x v="1"/>
  </r>
  <r>
    <x v="0"/>
    <s v="Egypt"/>
    <x v="28"/>
    <x v="135"/>
    <x v="135"/>
    <m/>
    <m/>
    <s v="Break 30 Morning"/>
    <d v="1899-12-30T16:15:00"/>
    <d v="1899-12-30T16:45:00"/>
    <n v="0"/>
    <x v="1"/>
  </r>
  <r>
    <x v="0"/>
    <s v="Egypt"/>
    <x v="28"/>
    <x v="135"/>
    <x v="135"/>
    <d v="2025-06-22T00:00:00"/>
    <m/>
    <s v="Day Off"/>
    <m/>
    <m/>
    <n v="0"/>
    <x v="1"/>
  </r>
  <r>
    <x v="0"/>
    <s v="Egypt"/>
    <x v="28"/>
    <x v="135"/>
    <x v="135"/>
    <d v="2025-06-23T00:00:00"/>
    <m/>
    <s v="Day Off"/>
    <m/>
    <m/>
    <n v="0"/>
    <x v="1"/>
  </r>
  <r>
    <x v="0"/>
    <s v="Egypt"/>
    <x v="28"/>
    <x v="135"/>
    <x v="135"/>
    <d v="2025-06-24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Shift Swap"/>
    <d v="1899-12-30T11:00:00"/>
    <d v="1899-12-30T11:15:00"/>
    <n v="0"/>
    <x v="1"/>
  </r>
  <r>
    <x v="0"/>
    <s v="Egypt"/>
    <x v="28"/>
    <x v="135"/>
    <x v="135"/>
    <m/>
    <m/>
    <s v="Break 15 Morning"/>
    <d v="1899-12-30T13:15:00"/>
    <d v="1899-12-30T13:30:00"/>
    <n v="0"/>
    <x v="1"/>
  </r>
  <r>
    <x v="0"/>
    <s v="Egypt"/>
    <x v="28"/>
    <x v="135"/>
    <x v="135"/>
    <m/>
    <m/>
    <s v="Break 30 Morning"/>
    <d v="1899-12-30T16:45:00"/>
    <d v="1899-12-30T17:15:00"/>
    <n v="0"/>
    <x v="1"/>
  </r>
  <r>
    <x v="0"/>
    <s v="Egypt"/>
    <x v="28"/>
    <x v="135"/>
    <x v="135"/>
    <d v="2025-06-25T00:00:00"/>
    <d v="1899-12-30T08:15:00"/>
    <s v="Annual Exception"/>
    <m/>
    <m/>
    <n v="29700"/>
    <x v="1"/>
  </r>
  <r>
    <x v="0"/>
    <s v="Egypt"/>
    <x v="28"/>
    <x v="135"/>
    <x v="135"/>
    <d v="2025-06-26T00:00:00"/>
    <d v="1899-12-30T08:15:00"/>
    <s v="Non Telecom Assyot"/>
    <d v="1899-12-30T09:00:00"/>
    <d v="1899-12-30T17:15:00"/>
    <n v="29700"/>
    <x v="0"/>
  </r>
  <r>
    <x v="0"/>
    <s v="Egypt"/>
    <x v="28"/>
    <x v="135"/>
    <x v="135"/>
    <m/>
    <m/>
    <s v="Break 15 Morning"/>
    <d v="1899-12-30T11:30:00"/>
    <d v="1899-12-30T11:45:00"/>
    <n v="0"/>
    <x v="1"/>
  </r>
  <r>
    <x v="0"/>
    <s v="Egypt"/>
    <x v="28"/>
    <x v="135"/>
    <x v="135"/>
    <m/>
    <m/>
    <s v="Break 30 Morning"/>
    <d v="1899-12-30T15:15:00"/>
    <d v="1899-12-30T15:45:00"/>
    <n v="0"/>
    <x v="1"/>
  </r>
  <r>
    <x v="0"/>
    <s v="Egypt"/>
    <x v="28"/>
    <x v="135"/>
    <x v="135"/>
    <d v="2025-06-27T00:00:00"/>
    <d v="1899-12-30T08:15:00"/>
    <s v="Annual Exception"/>
    <m/>
    <m/>
    <n v="29700"/>
    <x v="1"/>
  </r>
  <r>
    <x v="0"/>
    <s v="Egypt"/>
    <x v="28"/>
    <x v="135"/>
    <x v="135"/>
    <d v="2025-06-28T00:00:00"/>
    <d v="1899-12-30T08:15:00"/>
    <s v="Non Telecom Assyot"/>
    <d v="1899-12-30T11:00:00"/>
    <d v="1899-12-30T19:15:00"/>
    <n v="29700"/>
    <x v="0"/>
  </r>
  <r>
    <x v="0"/>
    <s v="Egypt"/>
    <x v="28"/>
    <x v="135"/>
    <x v="135"/>
    <m/>
    <m/>
    <s v="Break 15 Morning"/>
    <d v="1899-12-30T13:30:00"/>
    <d v="1899-12-30T13:45:00"/>
    <n v="0"/>
    <x v="1"/>
  </r>
  <r>
    <x v="0"/>
    <s v="Egypt"/>
    <x v="28"/>
    <x v="135"/>
    <x v="135"/>
    <m/>
    <m/>
    <s v="Break 30 Morning"/>
    <d v="1899-12-30T16:45:00"/>
    <d v="1899-12-30T17:15:00"/>
    <n v="0"/>
    <x v="1"/>
  </r>
  <r>
    <x v="0"/>
    <s v="Egypt"/>
    <x v="28"/>
    <x v="135"/>
    <x v="135"/>
    <d v="2025-06-29T00:00:00"/>
    <m/>
    <s v="Day Off"/>
    <m/>
    <m/>
    <n v="0"/>
    <x v="1"/>
  </r>
  <r>
    <x v="0"/>
    <s v="Egypt"/>
    <x v="28"/>
    <x v="135"/>
    <x v="135"/>
    <d v="2025-06-30T00:00:00"/>
    <d v="1899-12-30T08:15:00"/>
    <s v="Annual Exception"/>
    <m/>
    <m/>
    <n v="29700"/>
    <x v="1"/>
  </r>
  <r>
    <x v="0"/>
    <s v="Egypt"/>
    <x v="28"/>
    <x v="136"/>
    <x v="136"/>
    <d v="2025-06-01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2:00:00"/>
    <d v="1899-12-30T12:15:00"/>
    <n v="0"/>
    <x v="1"/>
  </r>
  <r>
    <x v="0"/>
    <s v="Egypt"/>
    <x v="28"/>
    <x v="136"/>
    <x v="136"/>
    <m/>
    <m/>
    <s v="Break 30 Morning"/>
    <d v="1899-12-30T15:15:00"/>
    <d v="1899-12-30T15:45:00"/>
    <n v="0"/>
    <x v="1"/>
  </r>
  <r>
    <x v="0"/>
    <s v="Egypt"/>
    <x v="28"/>
    <x v="136"/>
    <x v="136"/>
    <d v="2025-06-02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2:00:00"/>
    <d v="1899-12-30T12:15:00"/>
    <n v="0"/>
    <x v="1"/>
  </r>
  <r>
    <x v="0"/>
    <s v="Egypt"/>
    <x v="28"/>
    <x v="136"/>
    <x v="136"/>
    <m/>
    <m/>
    <s v="Break 30 Morning"/>
    <d v="1899-12-30T15:15:00"/>
    <d v="1899-12-30T15:45:00"/>
    <n v="0"/>
    <x v="1"/>
  </r>
  <r>
    <x v="0"/>
    <s v="Egypt"/>
    <x v="28"/>
    <x v="136"/>
    <x v="136"/>
    <d v="2025-06-03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2:00:00"/>
    <d v="1899-12-30T12:15:00"/>
    <n v="0"/>
    <x v="1"/>
  </r>
  <r>
    <x v="0"/>
    <s v="Egypt"/>
    <x v="28"/>
    <x v="136"/>
    <x v="136"/>
    <m/>
    <m/>
    <s v="Break 30 Morning"/>
    <d v="1899-12-30T15:15:00"/>
    <d v="1899-12-30T15:45:00"/>
    <n v="0"/>
    <x v="1"/>
  </r>
  <r>
    <x v="0"/>
    <s v="Egypt"/>
    <x v="28"/>
    <x v="136"/>
    <x v="136"/>
    <d v="2025-06-04T00:00:00"/>
    <m/>
    <s v="Day Off"/>
    <m/>
    <m/>
    <n v="0"/>
    <x v="1"/>
  </r>
  <r>
    <x v="0"/>
    <s v="Egypt"/>
    <x v="28"/>
    <x v="136"/>
    <x v="136"/>
    <d v="2025-06-05T00:00:00"/>
    <m/>
    <s v="Day Off"/>
    <m/>
    <m/>
    <n v="0"/>
    <x v="1"/>
  </r>
  <r>
    <x v="0"/>
    <s v="Egypt"/>
    <x v="28"/>
    <x v="136"/>
    <x v="136"/>
    <d v="2025-06-06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15:00"/>
    <d v="1899-12-30T13:30:00"/>
    <n v="0"/>
    <x v="1"/>
  </r>
  <r>
    <x v="0"/>
    <s v="Egypt"/>
    <x v="28"/>
    <x v="136"/>
    <x v="136"/>
    <m/>
    <m/>
    <s v="Break 30 Morning"/>
    <d v="1899-12-30T16:45:00"/>
    <d v="1899-12-30T17:15:00"/>
    <n v="0"/>
    <x v="1"/>
  </r>
  <r>
    <x v="0"/>
    <s v="Egypt"/>
    <x v="28"/>
    <x v="136"/>
    <x v="136"/>
    <d v="2025-06-07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45:00"/>
    <d v="1899-12-30T14:00:00"/>
    <n v="0"/>
    <x v="1"/>
  </r>
  <r>
    <x v="0"/>
    <s v="Egypt"/>
    <x v="28"/>
    <x v="136"/>
    <x v="136"/>
    <m/>
    <m/>
    <s v="Break 30 Morning"/>
    <d v="1899-12-30T17:15:00"/>
    <d v="1899-12-30T17:45:00"/>
    <n v="0"/>
    <x v="1"/>
  </r>
  <r>
    <x v="0"/>
    <s v="Egypt"/>
    <x v="28"/>
    <x v="136"/>
    <x v="136"/>
    <d v="2025-06-08T00:00:00"/>
    <m/>
    <s v="Day Off"/>
    <m/>
    <m/>
    <n v="0"/>
    <x v="1"/>
  </r>
  <r>
    <x v="0"/>
    <s v="Egypt"/>
    <x v="28"/>
    <x v="136"/>
    <x v="136"/>
    <d v="2025-06-09T00:00:00"/>
    <d v="1899-12-30T08:15:00"/>
    <s v="Public holiday"/>
    <m/>
    <m/>
    <n v="29700"/>
    <x v="1"/>
  </r>
  <r>
    <x v="0"/>
    <s v="Egypt"/>
    <x v="28"/>
    <x v="136"/>
    <x v="136"/>
    <d v="2025-06-10T00:00:00"/>
    <m/>
    <s v="Day Off"/>
    <m/>
    <m/>
    <n v="0"/>
    <x v="1"/>
  </r>
  <r>
    <x v="0"/>
    <s v="Egypt"/>
    <x v="28"/>
    <x v="136"/>
    <x v="136"/>
    <d v="2025-06-11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4:30:00"/>
    <d v="1899-12-30T14:45:00"/>
    <n v="0"/>
    <x v="1"/>
  </r>
  <r>
    <x v="0"/>
    <s v="Egypt"/>
    <x v="28"/>
    <x v="136"/>
    <x v="136"/>
    <m/>
    <m/>
    <s v="Break 30 Morning"/>
    <d v="1899-12-30T17:45:00"/>
    <d v="1899-12-30T18:15:00"/>
    <n v="0"/>
    <x v="1"/>
  </r>
  <r>
    <x v="0"/>
    <s v="Egypt"/>
    <x v="28"/>
    <x v="136"/>
    <x v="136"/>
    <d v="2025-06-12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15:00"/>
    <d v="1899-12-30T13:30:00"/>
    <n v="0"/>
    <x v="1"/>
  </r>
  <r>
    <x v="0"/>
    <s v="Egypt"/>
    <x v="28"/>
    <x v="136"/>
    <x v="136"/>
    <m/>
    <m/>
    <s v="Break 30 Morning"/>
    <d v="1899-12-30T16:15:00"/>
    <d v="1899-12-30T16:45:00"/>
    <n v="0"/>
    <x v="1"/>
  </r>
  <r>
    <x v="0"/>
    <s v="Egypt"/>
    <x v="28"/>
    <x v="136"/>
    <x v="136"/>
    <d v="2025-06-13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00:00"/>
    <d v="1899-12-30T13:15:00"/>
    <n v="0"/>
    <x v="1"/>
  </r>
  <r>
    <x v="0"/>
    <s v="Egypt"/>
    <x v="28"/>
    <x v="136"/>
    <x v="136"/>
    <m/>
    <m/>
    <s v="Break 30 Morning"/>
    <d v="1899-12-30T16:00:00"/>
    <d v="1899-12-30T16:30:00"/>
    <n v="0"/>
    <x v="1"/>
  </r>
  <r>
    <x v="0"/>
    <s v="Egypt"/>
    <x v="28"/>
    <x v="136"/>
    <x v="136"/>
    <d v="2025-06-14T00:00:00"/>
    <d v="1899-12-30T08:15:00"/>
    <s v="Annual Exception"/>
    <m/>
    <m/>
    <n v="29700"/>
    <x v="1"/>
  </r>
  <r>
    <x v="0"/>
    <s v="Egypt"/>
    <x v="28"/>
    <x v="136"/>
    <x v="136"/>
    <d v="2025-06-15T00:00:00"/>
    <d v="1899-12-30T08:15:00"/>
    <s v="Annual Exception"/>
    <m/>
    <m/>
    <n v="29700"/>
    <x v="1"/>
  </r>
  <r>
    <x v="0"/>
    <s v="Egypt"/>
    <x v="28"/>
    <x v="136"/>
    <x v="136"/>
    <d v="2025-06-16T00:00:00"/>
    <m/>
    <s v="Day Off"/>
    <m/>
    <m/>
    <n v="0"/>
    <x v="1"/>
  </r>
  <r>
    <x v="0"/>
    <s v="Egypt"/>
    <x v="28"/>
    <x v="136"/>
    <x v="136"/>
    <d v="2025-06-17T00:00:00"/>
    <m/>
    <s v="Day Off"/>
    <m/>
    <m/>
    <n v="0"/>
    <x v="1"/>
  </r>
  <r>
    <x v="0"/>
    <s v="Egypt"/>
    <x v="28"/>
    <x v="136"/>
    <x v="136"/>
    <d v="2025-06-18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1:15:00"/>
    <d v="1899-12-30T11:30:00"/>
    <n v="0"/>
    <x v="1"/>
  </r>
  <r>
    <x v="0"/>
    <s v="Egypt"/>
    <x v="28"/>
    <x v="136"/>
    <x v="136"/>
    <m/>
    <m/>
    <s v="Break 30 Morning"/>
    <d v="1899-12-30T14:15:00"/>
    <d v="1899-12-30T14:45:00"/>
    <n v="0"/>
    <x v="1"/>
  </r>
  <r>
    <x v="0"/>
    <s v="Egypt"/>
    <x v="28"/>
    <x v="136"/>
    <x v="136"/>
    <d v="2025-06-19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1:15:00"/>
    <d v="1899-12-30T11:30:00"/>
    <n v="0"/>
    <x v="1"/>
  </r>
  <r>
    <x v="0"/>
    <s v="Egypt"/>
    <x v="28"/>
    <x v="136"/>
    <x v="136"/>
    <m/>
    <m/>
    <s v="Break 30 Morning"/>
    <d v="1899-12-30T14:15:00"/>
    <d v="1899-12-30T14:45:00"/>
    <n v="0"/>
    <x v="1"/>
  </r>
  <r>
    <x v="0"/>
    <s v="Egypt"/>
    <x v="28"/>
    <x v="136"/>
    <x v="136"/>
    <d v="2025-06-20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0:45:00"/>
    <d v="1899-12-30T11:00:00"/>
    <n v="0"/>
    <x v="1"/>
  </r>
  <r>
    <x v="0"/>
    <s v="Egypt"/>
    <x v="28"/>
    <x v="136"/>
    <x v="136"/>
    <m/>
    <m/>
    <s v="Break 30 Morning"/>
    <d v="1899-12-30T13:45:00"/>
    <d v="1899-12-30T14:15:00"/>
    <n v="0"/>
    <x v="1"/>
  </r>
  <r>
    <x v="0"/>
    <s v="Egypt"/>
    <x v="28"/>
    <x v="136"/>
    <x v="136"/>
    <d v="2025-06-21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1:30:00"/>
    <d v="1899-12-30T11:45:00"/>
    <n v="0"/>
    <x v="1"/>
  </r>
  <r>
    <x v="0"/>
    <s v="Egypt"/>
    <x v="28"/>
    <x v="136"/>
    <x v="136"/>
    <m/>
    <m/>
    <s v="Break 30 Morning"/>
    <d v="1899-12-30T14:15:00"/>
    <d v="1899-12-30T14:45:00"/>
    <n v="0"/>
    <x v="1"/>
  </r>
  <r>
    <x v="0"/>
    <s v="Egypt"/>
    <x v="28"/>
    <x v="136"/>
    <x v="136"/>
    <d v="2025-06-22T00:00:00"/>
    <m/>
    <s v="Day Off"/>
    <m/>
    <m/>
    <n v="0"/>
    <x v="1"/>
  </r>
  <r>
    <x v="0"/>
    <s v="Egypt"/>
    <x v="28"/>
    <x v="136"/>
    <x v="136"/>
    <d v="2025-06-23T00:00:00"/>
    <m/>
    <s v="Day Off"/>
    <m/>
    <m/>
    <n v="0"/>
    <x v="1"/>
  </r>
  <r>
    <x v="0"/>
    <s v="Egypt"/>
    <x v="28"/>
    <x v="136"/>
    <x v="136"/>
    <d v="2025-06-24T00:00:00"/>
    <d v="1899-12-30T08:15:00"/>
    <s v="Non Telecom Assyot"/>
    <d v="1899-12-30T09:00:00"/>
    <d v="1899-12-30T17:15:00"/>
    <n v="29700"/>
    <x v="0"/>
  </r>
  <r>
    <x v="0"/>
    <s v="Egypt"/>
    <x v="28"/>
    <x v="136"/>
    <x v="136"/>
    <m/>
    <m/>
    <s v="Break 15 Morning"/>
    <d v="1899-12-30T11:15:00"/>
    <d v="1899-12-30T11:30:00"/>
    <n v="0"/>
    <x v="1"/>
  </r>
  <r>
    <x v="0"/>
    <s v="Egypt"/>
    <x v="28"/>
    <x v="136"/>
    <x v="136"/>
    <m/>
    <m/>
    <s v="Break 30 Morning"/>
    <d v="1899-12-30T14:15:00"/>
    <d v="1899-12-30T14:45:00"/>
    <n v="0"/>
    <x v="1"/>
  </r>
  <r>
    <x v="0"/>
    <s v="Egypt"/>
    <x v="28"/>
    <x v="136"/>
    <x v="136"/>
    <d v="2025-06-25T00:00:00"/>
    <d v="1899-12-30T08:15:00"/>
    <s v="Annual Exception"/>
    <m/>
    <m/>
    <n v="29700"/>
    <x v="1"/>
  </r>
  <r>
    <x v="0"/>
    <s v="Egypt"/>
    <x v="28"/>
    <x v="136"/>
    <x v="136"/>
    <d v="2025-06-26T00:00:00"/>
    <d v="1899-12-30T08:15:00"/>
    <s v="Public holiday"/>
    <m/>
    <m/>
    <n v="29700"/>
    <x v="1"/>
  </r>
  <r>
    <x v="0"/>
    <s v="Egypt"/>
    <x v="28"/>
    <x v="136"/>
    <x v="136"/>
    <d v="2025-06-27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30:00"/>
    <d v="1899-12-30T13:45:00"/>
    <n v="0"/>
    <x v="1"/>
  </r>
  <r>
    <x v="0"/>
    <s v="Egypt"/>
    <x v="28"/>
    <x v="136"/>
    <x v="136"/>
    <m/>
    <m/>
    <s v="Break 30 Morning"/>
    <d v="1899-12-30T16:45:00"/>
    <d v="1899-12-30T17:15:00"/>
    <n v="0"/>
    <x v="1"/>
  </r>
  <r>
    <x v="0"/>
    <s v="Egypt"/>
    <x v="28"/>
    <x v="136"/>
    <x v="136"/>
    <d v="2025-06-28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45:00"/>
    <d v="1899-12-30T14:00:00"/>
    <n v="0"/>
    <x v="1"/>
  </r>
  <r>
    <x v="0"/>
    <s v="Egypt"/>
    <x v="28"/>
    <x v="136"/>
    <x v="136"/>
    <m/>
    <m/>
    <s v="Break 30 Morning"/>
    <d v="1899-12-30T16:45:00"/>
    <d v="1899-12-30T17:15:00"/>
    <n v="0"/>
    <x v="1"/>
  </r>
  <r>
    <x v="0"/>
    <s v="Egypt"/>
    <x v="28"/>
    <x v="136"/>
    <x v="136"/>
    <d v="2025-06-29T00:00:00"/>
    <m/>
    <s v="Day Off"/>
    <m/>
    <m/>
    <n v="0"/>
    <x v="1"/>
  </r>
  <r>
    <x v="0"/>
    <s v="Egypt"/>
    <x v="28"/>
    <x v="136"/>
    <x v="136"/>
    <d v="2025-06-30T00:00:00"/>
    <d v="1899-12-30T08:15:00"/>
    <s v="Non Telecom Assyot"/>
    <d v="1899-12-30T11:00:00"/>
    <d v="1899-12-30T19:15:00"/>
    <n v="29700"/>
    <x v="0"/>
  </r>
  <r>
    <x v="0"/>
    <s v="Egypt"/>
    <x v="28"/>
    <x v="136"/>
    <x v="136"/>
    <m/>
    <m/>
    <s v="Break 15 Morning"/>
    <d v="1899-12-30T13:15:00"/>
    <d v="1899-12-30T13:30:00"/>
    <n v="0"/>
    <x v="1"/>
  </r>
  <r>
    <x v="0"/>
    <s v="Egypt"/>
    <x v="28"/>
    <x v="136"/>
    <x v="136"/>
    <m/>
    <m/>
    <s v="Break 30 Morning"/>
    <d v="1899-12-30T16:15:00"/>
    <d v="1899-12-30T16:45:00"/>
    <n v="0"/>
    <x v="1"/>
  </r>
  <r>
    <x v="0"/>
    <s v="Egypt"/>
    <x v="29"/>
    <x v="137"/>
    <x v="137"/>
    <d v="2025-06-05T00:00:00"/>
    <d v="1899-12-30T08:15:00"/>
    <s v="Public holiday"/>
    <m/>
    <m/>
    <n v="29700"/>
    <x v="1"/>
  </r>
  <r>
    <x v="0"/>
    <s v="Egypt"/>
    <x v="29"/>
    <x v="137"/>
    <x v="137"/>
    <d v="2025-06-06T00:00:00"/>
    <m/>
    <s v="Day Off"/>
    <m/>
    <m/>
    <n v="0"/>
    <x v="1"/>
  </r>
  <r>
    <x v="0"/>
    <s v="Egypt"/>
    <x v="29"/>
    <x v="137"/>
    <x v="137"/>
    <d v="2025-06-07T00:00:00"/>
    <m/>
    <s v="Day Off"/>
    <m/>
    <m/>
    <n v="0"/>
    <x v="1"/>
  </r>
  <r>
    <x v="0"/>
    <s v="Egypt"/>
    <x v="29"/>
    <x v="137"/>
    <x v="137"/>
    <d v="2025-06-08T00:00:00"/>
    <d v="1899-12-30T08:15:00"/>
    <s v="Public holiday"/>
    <m/>
    <m/>
    <n v="29700"/>
    <x v="1"/>
  </r>
  <r>
    <x v="0"/>
    <s v="Egypt"/>
    <x v="29"/>
    <x v="137"/>
    <x v="137"/>
    <d v="2025-06-09T00:00:00"/>
    <m/>
    <s v="Day Off"/>
    <m/>
    <m/>
    <n v="0"/>
    <x v="1"/>
  </r>
  <r>
    <x v="0"/>
    <s v="Egypt"/>
    <x v="29"/>
    <x v="137"/>
    <x v="137"/>
    <d v="2025-06-10T00:00:00"/>
    <m/>
    <s v="Day Off"/>
    <m/>
    <m/>
    <n v="0"/>
    <x v="1"/>
  </r>
  <r>
    <x v="0"/>
    <s v="Egypt"/>
    <x v="29"/>
    <x v="137"/>
    <x v="137"/>
    <d v="2025-06-11T00:00:00"/>
    <d v="1899-12-30T08:15:00"/>
    <s v="Non Telecom Assyot"/>
    <d v="1899-12-30T11:00:00"/>
    <d v="1899-12-30T19:15:00"/>
    <n v="29700"/>
    <x v="0"/>
  </r>
  <r>
    <x v="0"/>
    <s v="Egypt"/>
    <x v="29"/>
    <x v="137"/>
    <x v="137"/>
    <m/>
    <m/>
    <s v="Break 15 Morning"/>
    <d v="1899-12-30T13:00:00"/>
    <d v="1899-12-30T13:15:00"/>
    <n v="0"/>
    <x v="1"/>
  </r>
  <r>
    <x v="0"/>
    <s v="Egypt"/>
    <x v="29"/>
    <x v="137"/>
    <x v="137"/>
    <m/>
    <m/>
    <s v="One to One"/>
    <d v="1899-12-30T14:45:00"/>
    <d v="1899-12-30T15:00:00"/>
    <n v="0"/>
    <x v="1"/>
  </r>
  <r>
    <x v="0"/>
    <s v="Egypt"/>
    <x v="29"/>
    <x v="137"/>
    <x v="137"/>
    <m/>
    <m/>
    <s v="Break 30 Morning"/>
    <d v="1899-12-30T16:15:00"/>
    <d v="1899-12-30T16:45:00"/>
    <n v="0"/>
    <x v="1"/>
  </r>
  <r>
    <x v="0"/>
    <s v="Egypt"/>
    <x v="29"/>
    <x v="137"/>
    <x v="137"/>
    <d v="2025-06-12T00:00:00"/>
    <d v="1899-12-30T08:15:00"/>
    <s v="Non Telecom Assyot"/>
    <d v="1899-12-30T11:00:00"/>
    <d v="1899-12-30T19:15:00"/>
    <n v="29700"/>
    <x v="0"/>
  </r>
  <r>
    <x v="0"/>
    <s v="Egypt"/>
    <x v="29"/>
    <x v="137"/>
    <x v="137"/>
    <m/>
    <m/>
    <s v="Break 15 Morning"/>
    <d v="1899-12-30T12:45:00"/>
    <d v="1899-12-30T13:00:00"/>
    <n v="0"/>
    <x v="1"/>
  </r>
  <r>
    <x v="0"/>
    <s v="Egypt"/>
    <x v="29"/>
    <x v="137"/>
    <x v="137"/>
    <m/>
    <m/>
    <s v="One to One"/>
    <d v="1899-12-30T14:45:00"/>
    <d v="1899-12-30T15:00:00"/>
    <n v="0"/>
    <x v="1"/>
  </r>
  <r>
    <x v="0"/>
    <s v="Egypt"/>
    <x v="29"/>
    <x v="137"/>
    <x v="137"/>
    <m/>
    <m/>
    <s v="Break 30 Morning"/>
    <d v="1899-12-30T15:45:00"/>
    <d v="1899-12-30T16:15:00"/>
    <n v="0"/>
    <x v="1"/>
  </r>
  <r>
    <x v="0"/>
    <s v="Egypt"/>
    <x v="29"/>
    <x v="137"/>
    <x v="137"/>
    <d v="2025-06-13T00:00:00"/>
    <d v="1899-12-30T08:15:00"/>
    <s v="Non Telecom Assyot"/>
    <d v="1899-12-30T11:00:00"/>
    <d v="1899-12-30T19:15:00"/>
    <n v="29700"/>
    <x v="0"/>
  </r>
  <r>
    <x v="0"/>
    <s v="Egypt"/>
    <x v="29"/>
    <x v="137"/>
    <x v="137"/>
    <m/>
    <m/>
    <s v="Break 15 Morning"/>
    <d v="1899-12-30T12:30:00"/>
    <d v="1899-12-30T12:45:00"/>
    <n v="0"/>
    <x v="1"/>
  </r>
  <r>
    <x v="0"/>
    <s v="Egypt"/>
    <x v="29"/>
    <x v="137"/>
    <x v="137"/>
    <m/>
    <m/>
    <s v="Friday Pray"/>
    <d v="1899-12-30T12:55:00"/>
    <d v="1899-12-30T13:50:00"/>
    <n v="0"/>
    <x v="1"/>
  </r>
  <r>
    <x v="0"/>
    <s v="Egypt"/>
    <x v="29"/>
    <x v="137"/>
    <x v="137"/>
    <m/>
    <m/>
    <s v="One to One"/>
    <d v="1899-12-30T14:15:00"/>
    <d v="1899-12-30T14:30:00"/>
    <n v="0"/>
    <x v="1"/>
  </r>
  <r>
    <x v="0"/>
    <s v="Egypt"/>
    <x v="29"/>
    <x v="137"/>
    <x v="137"/>
    <m/>
    <m/>
    <s v="Break 30 Morning"/>
    <d v="1899-12-30T15:30:00"/>
    <d v="1899-12-30T16:00:00"/>
    <n v="0"/>
    <x v="1"/>
  </r>
  <r>
    <x v="0"/>
    <s v="Egypt"/>
    <x v="29"/>
    <x v="137"/>
    <x v="137"/>
    <d v="2025-06-14T00:00:00"/>
    <d v="1899-12-30T08:15:00"/>
    <s v="Non Telecom Assyot"/>
    <d v="1899-12-30T11:00:00"/>
    <d v="1899-12-30T19:15:00"/>
    <n v="29700"/>
    <x v="0"/>
  </r>
  <r>
    <x v="0"/>
    <s v="Egypt"/>
    <x v="29"/>
    <x v="137"/>
    <x v="137"/>
    <m/>
    <m/>
    <s v="Break 15 Morning"/>
    <d v="1899-12-30T13:00:00"/>
    <d v="1899-12-30T13:15:00"/>
    <n v="0"/>
    <x v="1"/>
  </r>
  <r>
    <x v="0"/>
    <s v="Egypt"/>
    <x v="29"/>
    <x v="137"/>
    <x v="137"/>
    <m/>
    <m/>
    <s v="One to One"/>
    <d v="1899-12-30T15:00:00"/>
    <d v="1899-12-30T15:15:00"/>
    <n v="0"/>
    <x v="1"/>
  </r>
  <r>
    <x v="0"/>
    <s v="Egypt"/>
    <x v="29"/>
    <x v="137"/>
    <x v="137"/>
    <m/>
    <m/>
    <s v="Break 30 Morning"/>
    <d v="1899-12-30T16:15:00"/>
    <d v="1899-12-30T16:45:00"/>
    <n v="0"/>
    <x v="1"/>
  </r>
  <r>
    <x v="0"/>
    <s v="Egypt"/>
    <x v="29"/>
    <x v="137"/>
    <x v="137"/>
    <d v="2025-06-15T00:00:00"/>
    <d v="1899-12-30T08:15:00"/>
    <s v="Non Telecom Assyot"/>
    <d v="1899-12-30T11:00:00"/>
    <d v="1899-12-30T19:15:00"/>
    <n v="29700"/>
    <x v="0"/>
  </r>
  <r>
    <x v="0"/>
    <s v="Egypt"/>
    <x v="29"/>
    <x v="137"/>
    <x v="137"/>
    <m/>
    <m/>
    <s v="Break 15 Morning"/>
    <d v="1899-12-30T12:45:00"/>
    <d v="1899-12-30T13:00:00"/>
    <n v="0"/>
    <x v="1"/>
  </r>
  <r>
    <x v="0"/>
    <s v="Egypt"/>
    <x v="29"/>
    <x v="137"/>
    <x v="137"/>
    <m/>
    <m/>
    <s v="Break 30 Morning"/>
    <d v="1899-12-30T16:15:00"/>
    <d v="1899-12-30T16:45:00"/>
    <n v="0"/>
    <x v="1"/>
  </r>
  <r>
    <x v="0"/>
    <s v="Egypt"/>
    <x v="29"/>
    <x v="137"/>
    <x v="137"/>
    <d v="2025-06-16T00:00:00"/>
    <m/>
    <s v="Day Off"/>
    <m/>
    <m/>
    <n v="0"/>
    <x v="1"/>
  </r>
  <r>
    <x v="0"/>
    <s v="Egypt"/>
    <x v="29"/>
    <x v="137"/>
    <x v="137"/>
    <d v="2025-06-17T00:00:00"/>
    <m/>
    <s v="Day Off"/>
    <m/>
    <m/>
    <n v="0"/>
    <x v="1"/>
  </r>
  <r>
    <x v="0"/>
    <s v="Egypt"/>
    <x v="29"/>
    <x v="137"/>
    <x v="137"/>
    <d v="2025-06-18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15:00"/>
    <d v="1899-12-30T19:30:00"/>
    <n v="0"/>
    <x v="1"/>
  </r>
  <r>
    <x v="0"/>
    <s v="Egypt"/>
    <x v="29"/>
    <x v="137"/>
    <x v="137"/>
    <m/>
    <m/>
    <s v="Break 30 Night"/>
    <d v="1899-12-30T22:15:00"/>
    <d v="1899-12-30T22:45:00"/>
    <n v="0"/>
    <x v="1"/>
  </r>
  <r>
    <x v="0"/>
    <s v="Egypt"/>
    <x v="29"/>
    <x v="137"/>
    <x v="137"/>
    <d v="2025-06-19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30:00"/>
    <d v="1899-12-30T19:45:00"/>
    <n v="0"/>
    <x v="1"/>
  </r>
  <r>
    <x v="0"/>
    <s v="Egypt"/>
    <x v="29"/>
    <x v="137"/>
    <x v="137"/>
    <m/>
    <m/>
    <s v="Break 30 Night"/>
    <d v="1899-12-30T22:30:00"/>
    <d v="1899-12-30T23:00:00"/>
    <n v="0"/>
    <x v="1"/>
  </r>
  <r>
    <x v="0"/>
    <s v="Egypt"/>
    <x v="29"/>
    <x v="137"/>
    <x v="137"/>
    <d v="2025-06-20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45:00"/>
    <d v="1899-12-30T20:00:00"/>
    <n v="0"/>
    <x v="1"/>
  </r>
  <r>
    <x v="0"/>
    <s v="Egypt"/>
    <x v="29"/>
    <x v="137"/>
    <x v="137"/>
    <m/>
    <m/>
    <s v="Break 30 Night"/>
    <d v="1899-12-30T22:45:00"/>
    <d v="1899-12-30T23:15:00"/>
    <n v="0"/>
    <x v="1"/>
  </r>
  <r>
    <x v="0"/>
    <s v="Egypt"/>
    <x v="29"/>
    <x v="137"/>
    <x v="137"/>
    <d v="2025-06-21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30:00"/>
    <d v="1899-12-30T19:45:00"/>
    <n v="0"/>
    <x v="1"/>
  </r>
  <r>
    <x v="0"/>
    <s v="Egypt"/>
    <x v="29"/>
    <x v="137"/>
    <x v="137"/>
    <m/>
    <m/>
    <s v="Break 30 Night"/>
    <d v="1899-12-30T22:30:00"/>
    <d v="1899-12-30T23:00:00"/>
    <n v="0"/>
    <x v="1"/>
  </r>
  <r>
    <x v="0"/>
    <s v="Egypt"/>
    <x v="29"/>
    <x v="137"/>
    <x v="137"/>
    <d v="2025-06-22T00:00:00"/>
    <d v="1899-12-30T08:15:00"/>
    <s v="Non Telecom Assyot"/>
    <d v="1899-12-30T14:00:00"/>
    <d v="1899-12-30T22:15:00"/>
    <n v="29700"/>
    <x v="0"/>
  </r>
  <r>
    <x v="0"/>
    <s v="Egypt"/>
    <x v="29"/>
    <x v="137"/>
    <x v="137"/>
    <m/>
    <m/>
    <s v="Break 15 Morning"/>
    <d v="1899-12-30T16:00:00"/>
    <d v="1899-12-30T16:15:00"/>
    <n v="0"/>
    <x v="1"/>
  </r>
  <r>
    <x v="0"/>
    <s v="Egypt"/>
    <x v="29"/>
    <x v="137"/>
    <x v="137"/>
    <m/>
    <m/>
    <s v="Break 30 Morning"/>
    <d v="1899-12-30T18:45:00"/>
    <d v="1899-12-30T19:15:00"/>
    <n v="0"/>
    <x v="1"/>
  </r>
  <r>
    <x v="0"/>
    <s v="Egypt"/>
    <x v="29"/>
    <x v="137"/>
    <x v="137"/>
    <d v="2025-06-23T00:00:00"/>
    <m/>
    <s v="Day Off"/>
    <m/>
    <m/>
    <n v="0"/>
    <x v="1"/>
  </r>
  <r>
    <x v="0"/>
    <s v="Egypt"/>
    <x v="29"/>
    <x v="137"/>
    <x v="137"/>
    <d v="2025-06-24T00:00:00"/>
    <m/>
    <s v="Day Off"/>
    <m/>
    <m/>
    <n v="0"/>
    <x v="1"/>
  </r>
  <r>
    <x v="0"/>
    <s v="Egypt"/>
    <x v="29"/>
    <x v="137"/>
    <x v="137"/>
    <d v="2025-06-25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45:00"/>
    <d v="1899-12-30T20:00:00"/>
    <n v="0"/>
    <x v="1"/>
  </r>
  <r>
    <x v="0"/>
    <s v="Egypt"/>
    <x v="29"/>
    <x v="137"/>
    <x v="137"/>
    <m/>
    <m/>
    <s v="Break 30 Night"/>
    <d v="1899-12-30T22:30:00"/>
    <d v="1899-12-30T23:00:00"/>
    <n v="0"/>
    <x v="1"/>
  </r>
  <r>
    <x v="0"/>
    <s v="Egypt"/>
    <x v="29"/>
    <x v="137"/>
    <x v="137"/>
    <d v="2025-06-26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30:00"/>
    <d v="1899-12-30T19:45:00"/>
    <n v="0"/>
    <x v="1"/>
  </r>
  <r>
    <x v="0"/>
    <s v="Egypt"/>
    <x v="29"/>
    <x v="137"/>
    <x v="137"/>
    <m/>
    <m/>
    <s v="Break 30 Night"/>
    <d v="1899-12-30T22:30:00"/>
    <d v="1899-12-30T23:00:00"/>
    <n v="0"/>
    <x v="1"/>
  </r>
  <r>
    <x v="0"/>
    <s v="Egypt"/>
    <x v="29"/>
    <x v="137"/>
    <x v="137"/>
    <d v="2025-06-27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45:00"/>
    <d v="1899-12-30T20:00:00"/>
    <n v="0"/>
    <x v="1"/>
  </r>
  <r>
    <x v="0"/>
    <s v="Egypt"/>
    <x v="29"/>
    <x v="137"/>
    <x v="137"/>
    <m/>
    <m/>
    <s v="Break 30 Night"/>
    <d v="1899-12-30T22:45:00"/>
    <d v="1899-12-30T23:15:00"/>
    <n v="0"/>
    <x v="1"/>
  </r>
  <r>
    <x v="0"/>
    <s v="Egypt"/>
    <x v="29"/>
    <x v="137"/>
    <x v="137"/>
    <d v="2025-06-28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19:45:00"/>
    <d v="1899-12-30T20:00:00"/>
    <n v="0"/>
    <x v="1"/>
  </r>
  <r>
    <x v="0"/>
    <s v="Egypt"/>
    <x v="29"/>
    <x v="137"/>
    <x v="137"/>
    <m/>
    <m/>
    <s v="Break 30 Night"/>
    <d v="1899-12-30T23:00:00"/>
    <d v="1899-12-30T23:30:00"/>
    <n v="0"/>
    <x v="1"/>
  </r>
  <r>
    <x v="0"/>
    <s v="Egypt"/>
    <x v="29"/>
    <x v="137"/>
    <x v="137"/>
    <d v="2025-06-29T00:00:00"/>
    <m/>
    <s v="Day Off"/>
    <m/>
    <m/>
    <n v="0"/>
    <x v="1"/>
  </r>
  <r>
    <x v="0"/>
    <s v="Egypt"/>
    <x v="29"/>
    <x v="137"/>
    <x v="137"/>
    <d v="2025-06-30T00:00:00"/>
    <d v="1899-12-30T08:15:00"/>
    <s v="Non Telecom Assyot"/>
    <d v="1899-12-30T17:15:00"/>
    <s v="+1:30 AM"/>
    <n v="29700"/>
    <x v="0"/>
  </r>
  <r>
    <x v="0"/>
    <s v="Egypt"/>
    <x v="29"/>
    <x v="137"/>
    <x v="137"/>
    <m/>
    <m/>
    <s v="Break 15 Night"/>
    <d v="1899-12-30T20:15:00"/>
    <d v="1899-12-30T20:30:00"/>
    <n v="0"/>
    <x v="1"/>
  </r>
  <r>
    <x v="0"/>
    <s v="Egypt"/>
    <x v="29"/>
    <x v="137"/>
    <x v="137"/>
    <m/>
    <m/>
    <s v="Break 30 Night"/>
    <d v="1899-12-30T23:30:00"/>
    <s v="+12:00 AM"/>
    <n v="0"/>
    <x v="1"/>
  </r>
  <r>
    <x v="0"/>
    <s v="Egypt"/>
    <x v="29"/>
    <x v="138"/>
    <x v="138"/>
    <d v="2025-06-01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45:00"/>
    <d v="1899-12-30T20:15:00"/>
    <n v="0"/>
    <x v="1"/>
  </r>
  <r>
    <x v="0"/>
    <s v="Egypt"/>
    <x v="29"/>
    <x v="138"/>
    <x v="138"/>
    <d v="2025-06-02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45:00"/>
    <d v="1899-12-30T20:15:00"/>
    <n v="0"/>
    <x v="1"/>
  </r>
  <r>
    <x v="0"/>
    <s v="Egypt"/>
    <x v="29"/>
    <x v="138"/>
    <x v="138"/>
    <d v="2025-06-03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15:00"/>
    <d v="1899-12-30T19:45:00"/>
    <n v="0"/>
    <x v="1"/>
  </r>
  <r>
    <x v="0"/>
    <s v="Egypt"/>
    <x v="29"/>
    <x v="138"/>
    <x v="138"/>
    <d v="2025-06-04T00:00:00"/>
    <m/>
    <s v="Day Off"/>
    <m/>
    <m/>
    <n v="0"/>
    <x v="1"/>
  </r>
  <r>
    <x v="0"/>
    <s v="Egypt"/>
    <x v="29"/>
    <x v="138"/>
    <x v="138"/>
    <d v="2025-06-05T00:00:00"/>
    <m/>
    <s v="Day Off"/>
    <m/>
    <m/>
    <n v="0"/>
    <x v="1"/>
  </r>
  <r>
    <x v="0"/>
    <s v="Egypt"/>
    <x v="29"/>
    <x v="138"/>
    <x v="138"/>
    <d v="2025-06-06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5:15:00"/>
    <d v="1899-12-30T15:30:00"/>
    <n v="0"/>
    <x v="1"/>
  </r>
  <r>
    <x v="0"/>
    <s v="Egypt"/>
    <x v="29"/>
    <x v="138"/>
    <x v="138"/>
    <m/>
    <m/>
    <s v="Break 30 Morning"/>
    <d v="1899-12-30T18:30:00"/>
    <d v="1899-12-30T19:00:00"/>
    <n v="0"/>
    <x v="1"/>
  </r>
  <r>
    <x v="0"/>
    <s v="Egypt"/>
    <x v="29"/>
    <x v="138"/>
    <x v="138"/>
    <d v="2025-06-07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00:00"/>
    <d v="1899-12-30T16:15:00"/>
    <n v="0"/>
    <x v="1"/>
  </r>
  <r>
    <x v="0"/>
    <s v="Egypt"/>
    <x v="29"/>
    <x v="138"/>
    <x v="138"/>
    <m/>
    <m/>
    <s v="Break 30 Morning"/>
    <d v="1899-12-30T19:00:00"/>
    <d v="1899-12-30T19:30:00"/>
    <n v="0"/>
    <x v="1"/>
  </r>
  <r>
    <x v="0"/>
    <s v="Egypt"/>
    <x v="29"/>
    <x v="138"/>
    <x v="138"/>
    <d v="2025-06-08T00:00:00"/>
    <d v="1899-12-30T08:15:00"/>
    <s v="Non Telecom Assyot"/>
    <d v="1899-12-30T17:15:00"/>
    <s v="+1:30 AM"/>
    <n v="29700"/>
    <x v="0"/>
  </r>
  <r>
    <x v="0"/>
    <s v="Egypt"/>
    <x v="29"/>
    <x v="138"/>
    <x v="138"/>
    <m/>
    <m/>
    <s v="Break 15 Night"/>
    <d v="1899-12-30T19:30:00"/>
    <d v="1899-12-30T19:45:00"/>
    <n v="0"/>
    <x v="1"/>
  </r>
  <r>
    <x v="0"/>
    <s v="Egypt"/>
    <x v="29"/>
    <x v="138"/>
    <x v="138"/>
    <m/>
    <m/>
    <s v="Break 30 Night"/>
    <d v="1899-12-30T22:45:00"/>
    <d v="1899-12-30T23:15:00"/>
    <n v="0"/>
    <x v="1"/>
  </r>
  <r>
    <x v="0"/>
    <s v="Egypt"/>
    <x v="29"/>
    <x v="138"/>
    <x v="138"/>
    <d v="2025-06-09T00:00:00"/>
    <d v="1899-12-30T08:15:00"/>
    <s v="Public holiday"/>
    <m/>
    <m/>
    <n v="29700"/>
    <x v="1"/>
  </r>
  <r>
    <x v="0"/>
    <s v="Egypt"/>
    <x v="29"/>
    <x v="138"/>
    <x v="138"/>
    <d v="2025-06-10T00:00:00"/>
    <m/>
    <s v="Day Off"/>
    <m/>
    <m/>
    <n v="0"/>
    <x v="1"/>
  </r>
  <r>
    <x v="0"/>
    <s v="Egypt"/>
    <x v="29"/>
    <x v="138"/>
    <x v="138"/>
    <d v="2025-06-11T00:00:00"/>
    <m/>
    <s v="Day Off"/>
    <m/>
    <m/>
    <n v="0"/>
    <x v="1"/>
  </r>
  <r>
    <x v="0"/>
    <s v="Egypt"/>
    <x v="29"/>
    <x v="138"/>
    <x v="138"/>
    <d v="2025-06-12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30:00"/>
    <d v="1899-12-30T16:45:00"/>
    <n v="0"/>
    <x v="1"/>
  </r>
  <r>
    <x v="0"/>
    <s v="Egypt"/>
    <x v="29"/>
    <x v="138"/>
    <x v="138"/>
    <m/>
    <m/>
    <s v="Break 30 Morning"/>
    <d v="1899-12-30T19:30:00"/>
    <d v="1899-12-30T20:00:00"/>
    <n v="0"/>
    <x v="1"/>
  </r>
  <r>
    <x v="0"/>
    <s v="Egypt"/>
    <x v="29"/>
    <x v="138"/>
    <x v="138"/>
    <d v="2025-06-13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30:00"/>
    <d v="1899-12-30T20:00:00"/>
    <n v="0"/>
    <x v="1"/>
  </r>
  <r>
    <x v="0"/>
    <s v="Egypt"/>
    <x v="29"/>
    <x v="138"/>
    <x v="138"/>
    <d v="2025-06-14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15:00"/>
    <d v="1899-12-30T19:45:00"/>
    <n v="0"/>
    <x v="1"/>
  </r>
  <r>
    <x v="0"/>
    <s v="Egypt"/>
    <x v="29"/>
    <x v="138"/>
    <x v="138"/>
    <d v="2025-06-15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7:00:00"/>
    <d v="1899-12-30T17:15:00"/>
    <n v="0"/>
    <x v="1"/>
  </r>
  <r>
    <x v="0"/>
    <s v="Egypt"/>
    <x v="29"/>
    <x v="138"/>
    <x v="138"/>
    <m/>
    <m/>
    <s v="Break 30 Morning"/>
    <d v="1899-12-30T19:45:00"/>
    <d v="1899-12-30T20:15:00"/>
    <n v="0"/>
    <x v="1"/>
  </r>
  <r>
    <x v="0"/>
    <s v="Egypt"/>
    <x v="29"/>
    <x v="138"/>
    <x v="138"/>
    <d v="2025-06-16T00:00:00"/>
    <m/>
    <s v="Day Off"/>
    <m/>
    <m/>
    <n v="0"/>
    <x v="1"/>
  </r>
  <r>
    <x v="0"/>
    <s v="Egypt"/>
    <x v="29"/>
    <x v="138"/>
    <x v="138"/>
    <d v="2025-06-17T00:00:00"/>
    <m/>
    <s v="Day Off"/>
    <m/>
    <m/>
    <n v="0"/>
    <x v="1"/>
  </r>
  <r>
    <x v="0"/>
    <s v="Egypt"/>
    <x v="29"/>
    <x v="138"/>
    <x v="138"/>
    <d v="2025-06-18T00:00:00"/>
    <d v="1899-12-30T08:15:00"/>
    <s v="Annual Exception"/>
    <m/>
    <m/>
    <n v="29700"/>
    <x v="1"/>
  </r>
  <r>
    <x v="0"/>
    <s v="Egypt"/>
    <x v="29"/>
    <x v="138"/>
    <x v="138"/>
    <d v="2025-06-19T00:00:00"/>
    <d v="1899-12-30T08:15:00"/>
    <s v="Annual Exception"/>
    <m/>
    <m/>
    <n v="29700"/>
    <x v="1"/>
  </r>
  <r>
    <x v="0"/>
    <s v="Egypt"/>
    <x v="29"/>
    <x v="138"/>
    <x v="138"/>
    <d v="2025-06-20T00:00:00"/>
    <d v="1899-12-30T08:15:00"/>
    <s v="Non Telecom Assyot"/>
    <d v="1899-12-30T17:15:00"/>
    <s v="+1:30 AM"/>
    <n v="29700"/>
    <x v="0"/>
  </r>
  <r>
    <x v="0"/>
    <s v="Egypt"/>
    <x v="29"/>
    <x v="138"/>
    <x v="138"/>
    <m/>
    <m/>
    <s v="Break 15 Night"/>
    <d v="1899-12-30T20:00:00"/>
    <d v="1899-12-30T20:15:00"/>
    <n v="0"/>
    <x v="1"/>
  </r>
  <r>
    <x v="0"/>
    <s v="Egypt"/>
    <x v="29"/>
    <x v="138"/>
    <x v="138"/>
    <m/>
    <m/>
    <s v="Break 30 Night"/>
    <d v="1899-12-30T23:15:00"/>
    <d v="1899-12-30T23:45:00"/>
    <n v="0"/>
    <x v="1"/>
  </r>
  <r>
    <x v="0"/>
    <s v="Egypt"/>
    <x v="29"/>
    <x v="138"/>
    <x v="138"/>
    <d v="2025-06-21T00:00:00"/>
    <d v="1899-12-30T08:15:00"/>
    <s v="Non Telecom Assyot"/>
    <d v="1899-12-30T17:15:00"/>
    <s v="+1:30 AM"/>
    <n v="29700"/>
    <x v="0"/>
  </r>
  <r>
    <x v="0"/>
    <s v="Egypt"/>
    <x v="29"/>
    <x v="138"/>
    <x v="138"/>
    <m/>
    <m/>
    <s v="Break 15 Night"/>
    <d v="1899-12-30T20:00:00"/>
    <d v="1899-12-30T20:15:00"/>
    <n v="0"/>
    <x v="1"/>
  </r>
  <r>
    <x v="0"/>
    <s v="Egypt"/>
    <x v="29"/>
    <x v="138"/>
    <x v="138"/>
    <m/>
    <m/>
    <s v="Break 30 Night"/>
    <d v="1899-12-30T23:30:00"/>
    <s v="+12:00 AM"/>
    <n v="0"/>
    <x v="1"/>
  </r>
  <r>
    <x v="0"/>
    <s v="Egypt"/>
    <x v="29"/>
    <x v="138"/>
    <x v="138"/>
    <d v="2025-06-22T00:00:00"/>
    <m/>
    <s v="Day Off"/>
    <m/>
    <m/>
    <n v="0"/>
    <x v="1"/>
  </r>
  <r>
    <x v="0"/>
    <s v="Egypt"/>
    <x v="29"/>
    <x v="138"/>
    <x v="138"/>
    <d v="2025-06-23T00:00:00"/>
    <m/>
    <s v="Day Off"/>
    <m/>
    <m/>
    <n v="0"/>
    <x v="1"/>
  </r>
  <r>
    <x v="0"/>
    <s v="Egypt"/>
    <x v="29"/>
    <x v="138"/>
    <x v="138"/>
    <d v="2025-06-24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45:00"/>
    <d v="1899-12-30T17:00:00"/>
    <n v="0"/>
    <x v="1"/>
  </r>
  <r>
    <x v="0"/>
    <s v="Egypt"/>
    <x v="29"/>
    <x v="138"/>
    <x v="138"/>
    <m/>
    <m/>
    <s v="Break 30 Morning"/>
    <d v="1899-12-30T19:15:00"/>
    <d v="1899-12-30T19:45:00"/>
    <n v="0"/>
    <x v="1"/>
  </r>
  <r>
    <x v="0"/>
    <s v="Egypt"/>
    <x v="29"/>
    <x v="138"/>
    <x v="138"/>
    <d v="2025-06-25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30:00"/>
    <d v="1899-12-30T16:45:00"/>
    <n v="0"/>
    <x v="1"/>
  </r>
  <r>
    <x v="0"/>
    <s v="Egypt"/>
    <x v="29"/>
    <x v="138"/>
    <x v="138"/>
    <m/>
    <m/>
    <s v="Break 30 Morning"/>
    <d v="1899-12-30T19:00:00"/>
    <d v="1899-12-30T19:30:00"/>
    <n v="0"/>
    <x v="1"/>
  </r>
  <r>
    <x v="0"/>
    <s v="Egypt"/>
    <x v="29"/>
    <x v="138"/>
    <x v="138"/>
    <d v="2025-06-26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5:15:00"/>
    <d v="1899-12-30T15:30:00"/>
    <n v="0"/>
    <x v="1"/>
  </r>
  <r>
    <x v="0"/>
    <s v="Egypt"/>
    <x v="29"/>
    <x v="138"/>
    <x v="138"/>
    <m/>
    <m/>
    <s v="Break 30 Morning"/>
    <d v="1899-12-30T19:00:00"/>
    <d v="1899-12-30T19:30:00"/>
    <n v="0"/>
    <x v="1"/>
  </r>
  <r>
    <x v="0"/>
    <s v="Egypt"/>
    <x v="29"/>
    <x v="138"/>
    <x v="138"/>
    <d v="2025-06-27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00:00"/>
    <d v="1899-12-30T16:15:00"/>
    <n v="0"/>
    <x v="1"/>
  </r>
  <r>
    <x v="0"/>
    <s v="Egypt"/>
    <x v="29"/>
    <x v="138"/>
    <x v="138"/>
    <m/>
    <m/>
    <s v="Break 30 Morning"/>
    <d v="1899-12-30T19:15:00"/>
    <d v="1899-12-30T19:45:00"/>
    <n v="0"/>
    <x v="1"/>
  </r>
  <r>
    <x v="0"/>
    <s v="Egypt"/>
    <x v="29"/>
    <x v="138"/>
    <x v="138"/>
    <d v="2025-06-28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5:45:00"/>
    <d v="1899-12-30T16:00:00"/>
    <n v="0"/>
    <x v="1"/>
  </r>
  <r>
    <x v="0"/>
    <s v="Egypt"/>
    <x v="29"/>
    <x v="138"/>
    <x v="138"/>
    <m/>
    <m/>
    <s v="Break 30 Morning"/>
    <d v="1899-12-30T19:30:00"/>
    <d v="1899-12-30T20:00:00"/>
    <n v="0"/>
    <x v="1"/>
  </r>
  <r>
    <x v="0"/>
    <s v="Egypt"/>
    <x v="29"/>
    <x v="138"/>
    <x v="138"/>
    <d v="2025-06-29T00:00:00"/>
    <m/>
    <s v="Day Off"/>
    <m/>
    <m/>
    <n v="0"/>
    <x v="1"/>
  </r>
  <r>
    <x v="0"/>
    <s v="Egypt"/>
    <x v="29"/>
    <x v="138"/>
    <x v="138"/>
    <d v="2025-06-30T00:00:00"/>
    <d v="1899-12-30T08:15:00"/>
    <s v="Non Telecom Assyot"/>
    <d v="1899-12-30T14:00:00"/>
    <d v="1899-12-30T22:15:00"/>
    <n v="29700"/>
    <x v="0"/>
  </r>
  <r>
    <x v="0"/>
    <s v="Egypt"/>
    <x v="29"/>
    <x v="138"/>
    <x v="138"/>
    <m/>
    <m/>
    <s v="Break 15 Morning"/>
    <d v="1899-12-30T16:15:00"/>
    <d v="1899-12-30T16:30:00"/>
    <n v="0"/>
    <x v="1"/>
  </r>
  <r>
    <x v="0"/>
    <s v="Egypt"/>
    <x v="29"/>
    <x v="138"/>
    <x v="138"/>
    <m/>
    <m/>
    <s v="Break 30 Morning"/>
    <d v="1899-12-30T19:00:00"/>
    <d v="1899-12-30T19:30:00"/>
    <n v="0"/>
    <x v="1"/>
  </r>
  <r>
    <x v="0"/>
    <s v="Egypt"/>
    <x v="29"/>
    <x v="139"/>
    <x v="139"/>
    <d v="2025-06-01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15:00"/>
    <d v="1899-12-30T16:30:00"/>
    <n v="0"/>
    <x v="1"/>
  </r>
  <r>
    <x v="0"/>
    <s v="Egypt"/>
    <x v="29"/>
    <x v="139"/>
    <x v="139"/>
    <m/>
    <m/>
    <s v="Break 30 Morning"/>
    <d v="1899-12-30T19:45:00"/>
    <d v="1899-12-30T20:15:00"/>
    <n v="0"/>
    <x v="1"/>
  </r>
  <r>
    <x v="0"/>
    <s v="Egypt"/>
    <x v="29"/>
    <x v="139"/>
    <x v="139"/>
    <d v="2025-06-02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15:00"/>
    <d v="1899-12-30T16:30:00"/>
    <n v="0"/>
    <x v="1"/>
  </r>
  <r>
    <x v="0"/>
    <s v="Egypt"/>
    <x v="29"/>
    <x v="139"/>
    <x v="139"/>
    <m/>
    <m/>
    <s v="Break 30 Morning"/>
    <d v="1899-12-30T19:45:00"/>
    <d v="1899-12-30T20:15:00"/>
    <n v="0"/>
    <x v="1"/>
  </r>
  <r>
    <x v="0"/>
    <s v="Egypt"/>
    <x v="29"/>
    <x v="139"/>
    <x v="139"/>
    <d v="2025-06-03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30:00"/>
    <d v="1899-12-30T16:45:00"/>
    <n v="0"/>
    <x v="1"/>
  </r>
  <r>
    <x v="0"/>
    <s v="Egypt"/>
    <x v="29"/>
    <x v="139"/>
    <x v="139"/>
    <m/>
    <m/>
    <s v="Break 30 Morning"/>
    <d v="1899-12-30T19:15:00"/>
    <d v="1899-12-30T19:45:00"/>
    <n v="0"/>
    <x v="1"/>
  </r>
  <r>
    <x v="0"/>
    <s v="Egypt"/>
    <x v="29"/>
    <x v="139"/>
    <x v="139"/>
    <d v="2025-06-04T00:00:00"/>
    <m/>
    <s v="Day Off"/>
    <m/>
    <m/>
    <n v="0"/>
    <x v="1"/>
  </r>
  <r>
    <x v="0"/>
    <s v="Egypt"/>
    <x v="29"/>
    <x v="139"/>
    <x v="139"/>
    <d v="2025-06-05T00:00:00"/>
    <m/>
    <s v="Day Off"/>
    <m/>
    <m/>
    <n v="0"/>
    <x v="1"/>
  </r>
  <r>
    <x v="0"/>
    <s v="Egypt"/>
    <x v="29"/>
    <x v="139"/>
    <x v="139"/>
    <d v="2025-06-06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5:30:00"/>
    <d v="1899-12-30T15:45:00"/>
    <n v="0"/>
    <x v="1"/>
  </r>
  <r>
    <x v="0"/>
    <s v="Egypt"/>
    <x v="29"/>
    <x v="139"/>
    <x v="139"/>
    <m/>
    <m/>
    <s v="Break 30 Morning"/>
    <d v="1899-12-30T18:45:00"/>
    <d v="1899-12-30T19:15:00"/>
    <n v="0"/>
    <x v="1"/>
  </r>
  <r>
    <x v="0"/>
    <s v="Egypt"/>
    <x v="29"/>
    <x v="139"/>
    <x v="139"/>
    <d v="2025-06-07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15:00"/>
    <d v="1899-12-30T16:30:00"/>
    <n v="0"/>
    <x v="1"/>
  </r>
  <r>
    <x v="0"/>
    <s v="Egypt"/>
    <x v="29"/>
    <x v="139"/>
    <x v="139"/>
    <m/>
    <m/>
    <s v="Break 30 Morning"/>
    <d v="1899-12-30T19:15:00"/>
    <d v="1899-12-30T19:45:00"/>
    <n v="0"/>
    <x v="1"/>
  </r>
  <r>
    <x v="0"/>
    <s v="Egypt"/>
    <x v="29"/>
    <x v="139"/>
    <x v="139"/>
    <d v="2025-06-08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19:45:00"/>
    <d v="1899-12-30T20:00:00"/>
    <n v="0"/>
    <x v="1"/>
  </r>
  <r>
    <x v="0"/>
    <s v="Egypt"/>
    <x v="29"/>
    <x v="139"/>
    <x v="139"/>
    <m/>
    <m/>
    <s v="Break 30 Night"/>
    <d v="1899-12-30T22:45:00"/>
    <d v="1899-12-30T23:15:00"/>
    <n v="0"/>
    <x v="1"/>
  </r>
  <r>
    <x v="0"/>
    <s v="Egypt"/>
    <x v="29"/>
    <x v="139"/>
    <x v="139"/>
    <d v="2025-06-09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19:15:00"/>
    <d v="1899-12-30T19:30:00"/>
    <n v="0"/>
    <x v="1"/>
  </r>
  <r>
    <x v="0"/>
    <s v="Egypt"/>
    <x v="29"/>
    <x v="139"/>
    <x v="139"/>
    <m/>
    <m/>
    <s v="Break 30 Night"/>
    <d v="1899-12-30T22:30:00"/>
    <d v="1899-12-30T23:00:00"/>
    <n v="0"/>
    <x v="1"/>
  </r>
  <r>
    <x v="0"/>
    <s v="Egypt"/>
    <x v="29"/>
    <x v="139"/>
    <x v="139"/>
    <d v="2025-06-10T00:00:00"/>
    <m/>
    <s v="Day Off"/>
    <m/>
    <m/>
    <n v="0"/>
    <x v="1"/>
  </r>
  <r>
    <x v="0"/>
    <s v="Egypt"/>
    <x v="29"/>
    <x v="139"/>
    <x v="139"/>
    <d v="2025-06-11T00:00:00"/>
    <m/>
    <s v="Day Off"/>
    <m/>
    <m/>
    <n v="0"/>
    <x v="1"/>
  </r>
  <r>
    <x v="0"/>
    <s v="Egypt"/>
    <x v="29"/>
    <x v="139"/>
    <x v="139"/>
    <d v="2025-06-12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45:00"/>
    <d v="1899-12-30T17:00:00"/>
    <n v="0"/>
    <x v="1"/>
  </r>
  <r>
    <x v="0"/>
    <s v="Egypt"/>
    <x v="29"/>
    <x v="139"/>
    <x v="139"/>
    <m/>
    <m/>
    <s v="Break 30 Morning"/>
    <d v="1899-12-30T19:45:00"/>
    <d v="1899-12-30T20:15:00"/>
    <n v="0"/>
    <x v="1"/>
  </r>
  <r>
    <x v="0"/>
    <s v="Egypt"/>
    <x v="29"/>
    <x v="139"/>
    <x v="139"/>
    <d v="2025-06-13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30:00"/>
    <d v="1899-12-30T16:45:00"/>
    <n v="0"/>
    <x v="1"/>
  </r>
  <r>
    <x v="0"/>
    <s v="Egypt"/>
    <x v="29"/>
    <x v="139"/>
    <x v="139"/>
    <m/>
    <m/>
    <s v="Break 30 Morning"/>
    <d v="1899-12-30T19:30:00"/>
    <d v="1899-12-30T20:00:00"/>
    <n v="0"/>
    <x v="1"/>
  </r>
  <r>
    <x v="0"/>
    <s v="Egypt"/>
    <x v="29"/>
    <x v="139"/>
    <x v="139"/>
    <d v="2025-06-14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30:00"/>
    <d v="1899-12-30T16:45:00"/>
    <n v="0"/>
    <x v="1"/>
  </r>
  <r>
    <x v="0"/>
    <s v="Egypt"/>
    <x v="29"/>
    <x v="139"/>
    <x v="139"/>
    <m/>
    <m/>
    <s v="Break 30 Morning"/>
    <d v="1899-12-30T19:45:00"/>
    <d v="1899-12-30T20:15:00"/>
    <n v="0"/>
    <x v="1"/>
  </r>
  <r>
    <x v="0"/>
    <s v="Egypt"/>
    <x v="29"/>
    <x v="139"/>
    <x v="139"/>
    <d v="2025-06-15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7:15:00"/>
    <d v="1899-12-30T17:30:00"/>
    <n v="0"/>
    <x v="1"/>
  </r>
  <r>
    <x v="0"/>
    <s v="Egypt"/>
    <x v="29"/>
    <x v="139"/>
    <x v="139"/>
    <m/>
    <m/>
    <s v="Break 30 Morning"/>
    <d v="1899-12-30T20:15:00"/>
    <d v="1899-12-30T20:45:00"/>
    <n v="0"/>
    <x v="1"/>
  </r>
  <r>
    <x v="0"/>
    <s v="Egypt"/>
    <x v="29"/>
    <x v="139"/>
    <x v="139"/>
    <d v="2025-06-16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15:00"/>
    <d v="1899-12-30T16:30:00"/>
    <n v="0"/>
    <x v="1"/>
  </r>
  <r>
    <x v="0"/>
    <s v="Egypt"/>
    <x v="29"/>
    <x v="139"/>
    <x v="139"/>
    <m/>
    <m/>
    <s v="Break 30 Morning"/>
    <d v="1899-12-30T19:30:00"/>
    <d v="1899-12-30T20:00:00"/>
    <n v="0"/>
    <x v="1"/>
  </r>
  <r>
    <x v="0"/>
    <s v="Egypt"/>
    <x v="29"/>
    <x v="139"/>
    <x v="139"/>
    <d v="2025-06-17T00:00:00"/>
    <m/>
    <s v="Day Off"/>
    <m/>
    <m/>
    <n v="0"/>
    <x v="1"/>
  </r>
  <r>
    <x v="0"/>
    <s v="Egypt"/>
    <x v="29"/>
    <x v="139"/>
    <x v="139"/>
    <d v="2025-06-18T00:00:00"/>
    <m/>
    <s v="Day Off"/>
    <m/>
    <m/>
    <n v="0"/>
    <x v="1"/>
  </r>
  <r>
    <x v="0"/>
    <s v="Egypt"/>
    <x v="29"/>
    <x v="139"/>
    <x v="139"/>
    <d v="2025-06-19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00:00"/>
    <d v="1899-12-30T20:15:00"/>
    <n v="0"/>
    <x v="1"/>
  </r>
  <r>
    <x v="0"/>
    <s v="Egypt"/>
    <x v="29"/>
    <x v="139"/>
    <x v="139"/>
    <m/>
    <m/>
    <s v="Break 30 Night"/>
    <d v="1899-12-30T23:15:00"/>
    <d v="1899-12-30T23:45:00"/>
    <n v="0"/>
    <x v="1"/>
  </r>
  <r>
    <x v="0"/>
    <s v="Egypt"/>
    <x v="29"/>
    <x v="139"/>
    <x v="139"/>
    <d v="2025-06-20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15:00"/>
    <d v="1899-12-30T20:30:00"/>
    <n v="0"/>
    <x v="1"/>
  </r>
  <r>
    <x v="0"/>
    <s v="Egypt"/>
    <x v="29"/>
    <x v="139"/>
    <x v="139"/>
    <m/>
    <m/>
    <s v="Break 30 Night"/>
    <d v="1899-12-30T23:15:00"/>
    <d v="1899-12-30T23:45:00"/>
    <n v="0"/>
    <x v="1"/>
  </r>
  <r>
    <x v="0"/>
    <s v="Egypt"/>
    <x v="29"/>
    <x v="139"/>
    <x v="139"/>
    <d v="2025-06-21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15:00"/>
    <d v="1899-12-30T20:30:00"/>
    <n v="0"/>
    <x v="1"/>
  </r>
  <r>
    <x v="0"/>
    <s v="Egypt"/>
    <x v="29"/>
    <x v="139"/>
    <x v="139"/>
    <m/>
    <m/>
    <s v="Break 30 Night"/>
    <d v="1899-12-30T23:30:00"/>
    <s v="+12:00 AM"/>
    <n v="0"/>
    <x v="1"/>
  </r>
  <r>
    <x v="0"/>
    <s v="Egypt"/>
    <x v="29"/>
    <x v="139"/>
    <x v="139"/>
    <d v="2025-06-22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15:00"/>
    <d v="1899-12-30T20:30:00"/>
    <n v="0"/>
    <x v="1"/>
  </r>
  <r>
    <x v="0"/>
    <s v="Egypt"/>
    <x v="29"/>
    <x v="139"/>
    <x v="139"/>
    <m/>
    <m/>
    <s v="Break 30 Night"/>
    <d v="1899-12-30T22:45:00"/>
    <d v="1899-12-30T23:15:00"/>
    <n v="0"/>
    <x v="1"/>
  </r>
  <r>
    <x v="0"/>
    <s v="Egypt"/>
    <x v="29"/>
    <x v="139"/>
    <x v="139"/>
    <d v="2025-06-23T00:00:00"/>
    <m/>
    <s v="Day Off"/>
    <m/>
    <m/>
    <n v="0"/>
    <x v="1"/>
  </r>
  <r>
    <x v="0"/>
    <s v="Egypt"/>
    <x v="29"/>
    <x v="139"/>
    <x v="139"/>
    <d v="2025-06-24T00:00:00"/>
    <m/>
    <s v="Day Off"/>
    <m/>
    <m/>
    <n v="0"/>
    <x v="1"/>
  </r>
  <r>
    <x v="0"/>
    <s v="Egypt"/>
    <x v="29"/>
    <x v="139"/>
    <x v="139"/>
    <d v="2025-06-25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00:00"/>
    <d v="1899-12-30T20:15:00"/>
    <n v="0"/>
    <x v="1"/>
  </r>
  <r>
    <x v="0"/>
    <s v="Egypt"/>
    <x v="29"/>
    <x v="139"/>
    <x v="139"/>
    <m/>
    <m/>
    <s v="Break 30 Night"/>
    <d v="1899-12-30T23:00:00"/>
    <d v="1899-12-30T23:30:00"/>
    <n v="0"/>
    <x v="1"/>
  </r>
  <r>
    <x v="0"/>
    <s v="Egypt"/>
    <x v="29"/>
    <x v="139"/>
    <x v="139"/>
    <d v="2025-06-26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15:00"/>
    <d v="1899-12-30T20:30:00"/>
    <n v="0"/>
    <x v="1"/>
  </r>
  <r>
    <x v="0"/>
    <s v="Egypt"/>
    <x v="29"/>
    <x v="139"/>
    <x v="139"/>
    <m/>
    <m/>
    <s v="Break 30 Night"/>
    <d v="1899-12-30T23:30:00"/>
    <s v="+12:00 AM"/>
    <n v="0"/>
    <x v="1"/>
  </r>
  <r>
    <x v="0"/>
    <s v="Egypt"/>
    <x v="29"/>
    <x v="139"/>
    <x v="139"/>
    <d v="2025-06-27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15:00"/>
    <d v="1899-12-30T16:30:00"/>
    <n v="0"/>
    <x v="1"/>
  </r>
  <r>
    <x v="0"/>
    <s v="Egypt"/>
    <x v="29"/>
    <x v="139"/>
    <x v="139"/>
    <m/>
    <m/>
    <s v="Break 30 Morning"/>
    <d v="1899-12-30T19:45:00"/>
    <d v="1899-12-30T20:15:00"/>
    <n v="0"/>
    <x v="1"/>
  </r>
  <r>
    <x v="0"/>
    <s v="Egypt"/>
    <x v="29"/>
    <x v="139"/>
    <x v="139"/>
    <d v="2025-06-28T00:00:00"/>
    <d v="1899-12-30T08:15:00"/>
    <s v="Non Telecom Assyot"/>
    <d v="1899-12-30T14:00:00"/>
    <d v="1899-12-30T22:15:00"/>
    <n v="29700"/>
    <x v="0"/>
  </r>
  <r>
    <x v="0"/>
    <s v="Egypt"/>
    <x v="29"/>
    <x v="139"/>
    <x v="139"/>
    <m/>
    <m/>
    <s v="Break 15 Morning"/>
    <d v="1899-12-30T16:00:00"/>
    <d v="1899-12-30T16:15:00"/>
    <n v="0"/>
    <x v="1"/>
  </r>
  <r>
    <x v="0"/>
    <s v="Egypt"/>
    <x v="29"/>
    <x v="139"/>
    <x v="139"/>
    <m/>
    <m/>
    <s v="Break 30 Morning"/>
    <d v="1899-12-30T19:30:00"/>
    <d v="1899-12-30T20:00:00"/>
    <n v="0"/>
    <x v="1"/>
  </r>
  <r>
    <x v="0"/>
    <s v="Egypt"/>
    <x v="29"/>
    <x v="139"/>
    <x v="139"/>
    <d v="2025-06-29T00:00:00"/>
    <m/>
    <s v="Day Off"/>
    <m/>
    <m/>
    <n v="0"/>
    <x v="1"/>
  </r>
  <r>
    <x v="0"/>
    <s v="Egypt"/>
    <x v="29"/>
    <x v="139"/>
    <x v="139"/>
    <d v="2025-06-30T00:00:00"/>
    <d v="1899-12-30T08:15:00"/>
    <s v="Non Telecom Assyot"/>
    <d v="1899-12-30T17:15:00"/>
    <s v="+1:30 AM"/>
    <n v="29700"/>
    <x v="0"/>
  </r>
  <r>
    <x v="0"/>
    <s v="Egypt"/>
    <x v="29"/>
    <x v="139"/>
    <x v="139"/>
    <m/>
    <m/>
    <s v="Break 15 Night"/>
    <d v="1899-12-30T20:15:00"/>
    <d v="1899-12-30T20:30:00"/>
    <n v="0"/>
    <x v="1"/>
  </r>
  <r>
    <x v="0"/>
    <s v="Egypt"/>
    <x v="29"/>
    <x v="139"/>
    <x v="139"/>
    <m/>
    <m/>
    <s v="Break 30 Night"/>
    <d v="1899-12-30T23:30:00"/>
    <s v="+12:00 AM"/>
    <n v="0"/>
    <x v="1"/>
  </r>
  <r>
    <x v="0"/>
    <s v="Egypt"/>
    <x v="29"/>
    <x v="140"/>
    <x v="140"/>
    <d v="2025-06-01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7:00:00"/>
    <d v="1899-12-30T17:15:00"/>
    <n v="0"/>
    <x v="1"/>
  </r>
  <r>
    <x v="0"/>
    <s v="Egypt"/>
    <x v="29"/>
    <x v="140"/>
    <x v="140"/>
    <m/>
    <m/>
    <s v="Break 30 Morning"/>
    <d v="1899-12-30T19:45:00"/>
    <d v="1899-12-30T20:15:00"/>
    <n v="0"/>
    <x v="1"/>
  </r>
  <r>
    <x v="0"/>
    <s v="Egypt"/>
    <x v="29"/>
    <x v="140"/>
    <x v="140"/>
    <d v="2025-06-02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30:00"/>
    <d v="1899-12-30T16:45:00"/>
    <n v="0"/>
    <x v="1"/>
  </r>
  <r>
    <x v="0"/>
    <s v="Egypt"/>
    <x v="29"/>
    <x v="140"/>
    <x v="140"/>
    <m/>
    <m/>
    <s v="Break 30 Morning"/>
    <d v="1899-12-30T19:45:00"/>
    <d v="1899-12-30T20:15:00"/>
    <n v="0"/>
    <x v="1"/>
  </r>
  <r>
    <x v="0"/>
    <s v="Egypt"/>
    <x v="29"/>
    <x v="140"/>
    <x v="140"/>
    <d v="2025-06-03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30:00"/>
    <d v="1899-12-30T16:45:00"/>
    <n v="0"/>
    <x v="1"/>
  </r>
  <r>
    <x v="0"/>
    <s v="Egypt"/>
    <x v="29"/>
    <x v="140"/>
    <x v="140"/>
    <m/>
    <m/>
    <s v="Break 30 Morning"/>
    <d v="1899-12-30T19:15:00"/>
    <d v="1899-12-30T19:45:00"/>
    <n v="0"/>
    <x v="1"/>
  </r>
  <r>
    <x v="0"/>
    <s v="Egypt"/>
    <x v="29"/>
    <x v="140"/>
    <x v="140"/>
    <d v="2025-06-04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15:00"/>
    <d v="1899-12-30T16:30:00"/>
    <n v="0"/>
    <x v="1"/>
  </r>
  <r>
    <x v="0"/>
    <s v="Egypt"/>
    <x v="29"/>
    <x v="140"/>
    <x v="140"/>
    <m/>
    <m/>
    <s v="Break 30 Morning"/>
    <d v="1899-12-30T19:30:00"/>
    <d v="1899-12-30T20:00:00"/>
    <n v="0"/>
    <x v="1"/>
  </r>
  <r>
    <x v="0"/>
    <s v="Egypt"/>
    <x v="29"/>
    <x v="140"/>
    <x v="140"/>
    <d v="2025-06-05T00:00:00"/>
    <m/>
    <s v="Day Off"/>
    <m/>
    <m/>
    <n v="0"/>
    <x v="1"/>
  </r>
  <r>
    <x v="0"/>
    <s v="Egypt"/>
    <x v="29"/>
    <x v="140"/>
    <x v="140"/>
    <d v="2025-06-06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20:00:00"/>
    <d v="1899-12-30T20:15:00"/>
    <n v="0"/>
    <x v="1"/>
  </r>
  <r>
    <x v="0"/>
    <s v="Egypt"/>
    <x v="29"/>
    <x v="140"/>
    <x v="140"/>
    <m/>
    <m/>
    <s v="Break 30 Night"/>
    <d v="1899-12-30T23:00:00"/>
    <d v="1899-12-30T23:30:00"/>
    <n v="0"/>
    <x v="1"/>
  </r>
  <r>
    <x v="0"/>
    <s v="Egypt"/>
    <x v="29"/>
    <x v="140"/>
    <x v="140"/>
    <d v="2025-06-07T00:00:00"/>
    <m/>
    <s v="Day Off"/>
    <m/>
    <m/>
    <n v="0"/>
    <x v="1"/>
  </r>
  <r>
    <x v="0"/>
    <s v="Egypt"/>
    <x v="29"/>
    <x v="140"/>
    <x v="140"/>
    <d v="2025-06-08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19:45:00"/>
    <d v="1899-12-30T20:00:00"/>
    <n v="0"/>
    <x v="1"/>
  </r>
  <r>
    <x v="0"/>
    <s v="Egypt"/>
    <x v="29"/>
    <x v="140"/>
    <x v="140"/>
    <m/>
    <m/>
    <s v="Break 30 Night"/>
    <d v="1899-12-30T23:15:00"/>
    <d v="1899-12-30T23:45:00"/>
    <n v="0"/>
    <x v="1"/>
  </r>
  <r>
    <x v="0"/>
    <s v="Egypt"/>
    <x v="29"/>
    <x v="140"/>
    <x v="140"/>
    <d v="2025-06-09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19:30:00"/>
    <d v="1899-12-30T19:45:00"/>
    <n v="0"/>
    <x v="1"/>
  </r>
  <r>
    <x v="0"/>
    <s v="Egypt"/>
    <x v="29"/>
    <x v="140"/>
    <x v="140"/>
    <m/>
    <m/>
    <s v="Break 30 Night"/>
    <d v="1899-12-30T22:30:00"/>
    <d v="1899-12-30T23:00:00"/>
    <n v="0"/>
    <x v="1"/>
  </r>
  <r>
    <x v="0"/>
    <s v="Egypt"/>
    <x v="29"/>
    <x v="140"/>
    <x v="140"/>
    <d v="2025-06-10T00:00:00"/>
    <m/>
    <s v="Day Off"/>
    <m/>
    <m/>
    <n v="0"/>
    <x v="1"/>
  </r>
  <r>
    <x v="0"/>
    <s v="Egypt"/>
    <x v="29"/>
    <x v="140"/>
    <x v="140"/>
    <d v="2025-06-11T00:00:00"/>
    <m/>
    <s v="Day Off"/>
    <m/>
    <m/>
    <n v="0"/>
    <x v="1"/>
  </r>
  <r>
    <x v="0"/>
    <s v="Egypt"/>
    <x v="29"/>
    <x v="140"/>
    <x v="140"/>
    <d v="2025-06-12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7:00:00"/>
    <d v="1899-12-30T17:15:00"/>
    <n v="0"/>
    <x v="1"/>
  </r>
  <r>
    <x v="0"/>
    <s v="Egypt"/>
    <x v="29"/>
    <x v="140"/>
    <x v="140"/>
    <m/>
    <m/>
    <s v="Break 30 Morning"/>
    <d v="1899-12-30T19:45:00"/>
    <d v="1899-12-30T20:15:00"/>
    <n v="0"/>
    <x v="1"/>
  </r>
  <r>
    <x v="0"/>
    <s v="Egypt"/>
    <x v="29"/>
    <x v="140"/>
    <x v="140"/>
    <d v="2025-06-13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45:00"/>
    <d v="1899-12-30T17:00:00"/>
    <n v="0"/>
    <x v="1"/>
  </r>
  <r>
    <x v="0"/>
    <s v="Egypt"/>
    <x v="29"/>
    <x v="140"/>
    <x v="140"/>
    <m/>
    <m/>
    <s v="Break 30 Morning"/>
    <d v="1899-12-30T20:00:00"/>
    <d v="1899-12-30T20:30:00"/>
    <n v="0"/>
    <x v="1"/>
  </r>
  <r>
    <x v="0"/>
    <s v="Egypt"/>
    <x v="29"/>
    <x v="140"/>
    <x v="140"/>
    <d v="2025-06-14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45:00"/>
    <d v="1899-12-30T17:00:00"/>
    <n v="0"/>
    <x v="1"/>
  </r>
  <r>
    <x v="0"/>
    <s v="Egypt"/>
    <x v="29"/>
    <x v="140"/>
    <x v="140"/>
    <m/>
    <m/>
    <s v="Break 30 Morning"/>
    <d v="1899-12-30T19:45:00"/>
    <d v="1899-12-30T20:15:00"/>
    <n v="0"/>
    <x v="1"/>
  </r>
  <r>
    <x v="0"/>
    <s v="Egypt"/>
    <x v="29"/>
    <x v="140"/>
    <x v="140"/>
    <d v="2025-06-15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7:15:00"/>
    <d v="1899-12-30T17:30:00"/>
    <n v="0"/>
    <x v="1"/>
  </r>
  <r>
    <x v="0"/>
    <s v="Egypt"/>
    <x v="29"/>
    <x v="140"/>
    <x v="140"/>
    <m/>
    <m/>
    <s v="Break 30 Morning"/>
    <d v="1899-12-30T20:15:00"/>
    <d v="1899-12-30T20:45:00"/>
    <n v="0"/>
    <x v="1"/>
  </r>
  <r>
    <x v="0"/>
    <s v="Egypt"/>
    <x v="29"/>
    <x v="140"/>
    <x v="140"/>
    <d v="2025-06-16T00:00:00"/>
    <m/>
    <s v="Day Off"/>
    <m/>
    <m/>
    <n v="0"/>
    <x v="1"/>
  </r>
  <r>
    <x v="0"/>
    <s v="Egypt"/>
    <x v="29"/>
    <x v="140"/>
    <x v="140"/>
    <d v="2025-06-17T00:00:00"/>
    <m/>
    <s v="Day Off"/>
    <m/>
    <m/>
    <n v="0"/>
    <x v="1"/>
  </r>
  <r>
    <x v="0"/>
    <s v="Egypt"/>
    <x v="29"/>
    <x v="140"/>
    <x v="140"/>
    <d v="2025-06-18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30:00"/>
    <d v="1899-12-30T16:45:00"/>
    <n v="0"/>
    <x v="1"/>
  </r>
  <r>
    <x v="0"/>
    <s v="Egypt"/>
    <x v="29"/>
    <x v="140"/>
    <x v="140"/>
    <m/>
    <m/>
    <s v="Break 30 Morning"/>
    <d v="1899-12-30T19:15:00"/>
    <d v="1899-12-30T19:45:00"/>
    <n v="0"/>
    <x v="1"/>
  </r>
  <r>
    <x v="0"/>
    <s v="Egypt"/>
    <x v="29"/>
    <x v="140"/>
    <x v="140"/>
    <d v="2025-06-19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20:15:00"/>
    <d v="1899-12-30T20:30:00"/>
    <n v="0"/>
    <x v="1"/>
  </r>
  <r>
    <x v="0"/>
    <s v="Egypt"/>
    <x v="29"/>
    <x v="140"/>
    <x v="140"/>
    <m/>
    <m/>
    <s v="Break 30 Night"/>
    <d v="1899-12-30T23:15:00"/>
    <d v="1899-12-30T23:45:00"/>
    <n v="0"/>
    <x v="1"/>
  </r>
  <r>
    <x v="0"/>
    <s v="Egypt"/>
    <x v="29"/>
    <x v="140"/>
    <x v="140"/>
    <d v="2025-06-20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20:30:00"/>
    <d v="1899-12-30T20:45:00"/>
    <n v="0"/>
    <x v="1"/>
  </r>
  <r>
    <x v="0"/>
    <s v="Egypt"/>
    <x v="29"/>
    <x v="140"/>
    <x v="140"/>
    <m/>
    <m/>
    <s v="Break 30 Night"/>
    <d v="1899-12-30T23:15:00"/>
    <d v="1899-12-30T23:45:00"/>
    <n v="0"/>
    <x v="1"/>
  </r>
  <r>
    <x v="0"/>
    <s v="Egypt"/>
    <x v="29"/>
    <x v="140"/>
    <x v="140"/>
    <d v="2025-06-21T00:00:00"/>
    <d v="1899-12-30T08:15:00"/>
    <s v="Non Telecom Assyot"/>
    <d v="1899-12-30T17:15:00"/>
    <s v="+1:30 AM"/>
    <n v="29700"/>
    <x v="0"/>
  </r>
  <r>
    <x v="0"/>
    <s v="Egypt"/>
    <x v="29"/>
    <x v="140"/>
    <x v="140"/>
    <m/>
    <m/>
    <s v="Break 15 Night"/>
    <d v="1899-12-30T18:15:00"/>
    <d v="1899-12-30T18:30:00"/>
    <n v="0"/>
    <x v="1"/>
  </r>
  <r>
    <x v="0"/>
    <s v="Egypt"/>
    <x v="29"/>
    <x v="140"/>
    <x v="140"/>
    <m/>
    <m/>
    <s v="Break 30 Night"/>
    <d v="1899-12-30T21:15:00"/>
    <d v="1899-12-30T21:45:00"/>
    <n v="0"/>
    <x v="1"/>
  </r>
  <r>
    <x v="0"/>
    <s v="Egypt"/>
    <x v="29"/>
    <x v="140"/>
    <x v="140"/>
    <d v="2025-06-22T00:00:00"/>
    <m/>
    <s v="Day Off"/>
    <m/>
    <m/>
    <n v="0"/>
    <x v="1"/>
  </r>
  <r>
    <x v="0"/>
    <s v="Egypt"/>
    <x v="29"/>
    <x v="140"/>
    <x v="140"/>
    <d v="2025-06-23T00:00:00"/>
    <m/>
    <s v="Day Off"/>
    <m/>
    <m/>
    <n v="0"/>
    <x v="1"/>
  </r>
  <r>
    <x v="0"/>
    <s v="Egypt"/>
    <x v="29"/>
    <x v="140"/>
    <x v="140"/>
    <d v="2025-06-24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7:15:00"/>
    <d v="1899-12-30T17:30:00"/>
    <n v="0"/>
    <x v="1"/>
  </r>
  <r>
    <x v="0"/>
    <s v="Egypt"/>
    <x v="29"/>
    <x v="140"/>
    <x v="140"/>
    <m/>
    <m/>
    <s v="Break 30 Morning"/>
    <d v="1899-12-30T19:45:00"/>
    <d v="1899-12-30T20:15:00"/>
    <n v="0"/>
    <x v="1"/>
  </r>
  <r>
    <x v="0"/>
    <s v="Egypt"/>
    <x v="29"/>
    <x v="140"/>
    <x v="140"/>
    <d v="2025-06-25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45:00"/>
    <d v="1899-12-30T17:00:00"/>
    <n v="0"/>
    <x v="1"/>
  </r>
  <r>
    <x v="0"/>
    <s v="Egypt"/>
    <x v="29"/>
    <x v="140"/>
    <x v="140"/>
    <m/>
    <m/>
    <s v="Break 30 Morning"/>
    <d v="1899-12-30T19:30:00"/>
    <d v="1899-12-30T20:00:00"/>
    <n v="0"/>
    <x v="1"/>
  </r>
  <r>
    <x v="0"/>
    <s v="Egypt"/>
    <x v="29"/>
    <x v="140"/>
    <x v="140"/>
    <d v="2025-06-26T00:00:00"/>
    <d v="1899-12-30T08:15:00"/>
    <s v="Public holiday"/>
    <m/>
    <m/>
    <n v="29700"/>
    <x v="1"/>
  </r>
  <r>
    <x v="0"/>
    <s v="Egypt"/>
    <x v="29"/>
    <x v="140"/>
    <x v="140"/>
    <d v="2025-06-27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00:00"/>
    <d v="1899-12-30T16:15:00"/>
    <n v="0"/>
    <x v="1"/>
  </r>
  <r>
    <x v="0"/>
    <s v="Egypt"/>
    <x v="29"/>
    <x v="140"/>
    <x v="140"/>
    <m/>
    <m/>
    <s v="Break 30 Morning"/>
    <d v="1899-12-30T19:15:00"/>
    <d v="1899-12-30T19:45:00"/>
    <n v="0"/>
    <x v="1"/>
  </r>
  <r>
    <x v="0"/>
    <s v="Egypt"/>
    <x v="29"/>
    <x v="140"/>
    <x v="140"/>
    <d v="2025-06-28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00:00"/>
    <d v="1899-12-30T16:15:00"/>
    <n v="0"/>
    <x v="1"/>
  </r>
  <r>
    <x v="0"/>
    <s v="Egypt"/>
    <x v="29"/>
    <x v="140"/>
    <x v="140"/>
    <m/>
    <m/>
    <s v="Break 30 Morning"/>
    <d v="1899-12-30T19:30:00"/>
    <d v="1899-12-30T20:00:00"/>
    <n v="0"/>
    <x v="1"/>
  </r>
  <r>
    <x v="0"/>
    <s v="Egypt"/>
    <x v="29"/>
    <x v="140"/>
    <x v="140"/>
    <d v="2025-06-29T00:00:00"/>
    <m/>
    <s v="Day Off"/>
    <m/>
    <m/>
    <n v="0"/>
    <x v="1"/>
  </r>
  <r>
    <x v="0"/>
    <s v="Egypt"/>
    <x v="29"/>
    <x v="140"/>
    <x v="140"/>
    <d v="2025-06-30T00:00:00"/>
    <d v="1899-12-30T08:15:00"/>
    <s v="Non Telecom Assyot"/>
    <d v="1899-12-30T14:00:00"/>
    <d v="1899-12-30T22:15:00"/>
    <n v="29700"/>
    <x v="0"/>
  </r>
  <r>
    <x v="0"/>
    <s v="Egypt"/>
    <x v="29"/>
    <x v="140"/>
    <x v="140"/>
    <m/>
    <m/>
    <s v="Break 15 Morning"/>
    <d v="1899-12-30T16:45:00"/>
    <d v="1899-12-30T17:00:00"/>
    <n v="0"/>
    <x v="1"/>
  </r>
  <r>
    <x v="0"/>
    <s v="Egypt"/>
    <x v="29"/>
    <x v="140"/>
    <x v="140"/>
    <m/>
    <m/>
    <s v="Break 30 Morning"/>
    <d v="1899-12-30T19:30:00"/>
    <d v="1899-12-30T20:00:00"/>
    <n v="0"/>
    <x v="1"/>
  </r>
  <r>
    <x v="0"/>
    <s v="Egypt"/>
    <x v="29"/>
    <x v="141"/>
    <x v="141"/>
    <d v="2025-06-01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00:00"/>
    <d v="1899-12-30T17:15:00"/>
    <n v="0"/>
    <x v="1"/>
  </r>
  <r>
    <x v="0"/>
    <s v="Egypt"/>
    <x v="29"/>
    <x v="141"/>
    <x v="141"/>
    <m/>
    <m/>
    <s v="Break 30 Morning"/>
    <d v="1899-12-30T19:45:00"/>
    <d v="1899-12-30T20:15:00"/>
    <n v="0"/>
    <x v="1"/>
  </r>
  <r>
    <x v="0"/>
    <s v="Egypt"/>
    <x v="29"/>
    <x v="141"/>
    <x v="141"/>
    <d v="2025-06-02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6:30:00"/>
    <d v="1899-12-30T16:45:00"/>
    <n v="0"/>
    <x v="1"/>
  </r>
  <r>
    <x v="0"/>
    <s v="Egypt"/>
    <x v="29"/>
    <x v="141"/>
    <x v="141"/>
    <m/>
    <m/>
    <s v="Break 30 Morning"/>
    <d v="1899-12-30T19:45:00"/>
    <d v="1899-12-30T20:15:00"/>
    <n v="0"/>
    <x v="1"/>
  </r>
  <r>
    <x v="0"/>
    <s v="Egypt"/>
    <x v="29"/>
    <x v="141"/>
    <x v="141"/>
    <d v="2025-06-03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6:45:00"/>
    <d v="1899-12-30T17:00:00"/>
    <n v="0"/>
    <x v="1"/>
  </r>
  <r>
    <x v="0"/>
    <s v="Egypt"/>
    <x v="29"/>
    <x v="141"/>
    <x v="141"/>
    <m/>
    <m/>
    <s v="Break 30 Morning"/>
    <d v="1899-12-30T19:45:00"/>
    <d v="1899-12-30T20:15:00"/>
    <n v="0"/>
    <x v="1"/>
  </r>
  <r>
    <x v="0"/>
    <s v="Egypt"/>
    <x v="29"/>
    <x v="141"/>
    <x v="141"/>
    <d v="2025-06-04T00:00:00"/>
    <m/>
    <s v="Day Off"/>
    <m/>
    <m/>
    <n v="0"/>
    <x v="1"/>
  </r>
  <r>
    <x v="0"/>
    <s v="Egypt"/>
    <x v="29"/>
    <x v="141"/>
    <x v="141"/>
    <d v="2025-06-05T00:00:00"/>
    <m/>
    <s v="Day Off"/>
    <m/>
    <m/>
    <n v="0"/>
    <x v="1"/>
  </r>
  <r>
    <x v="0"/>
    <s v="Egypt"/>
    <x v="29"/>
    <x v="141"/>
    <x v="141"/>
    <d v="2025-06-06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15:00"/>
    <d v="1899-12-30T20:30:00"/>
    <n v="0"/>
    <x v="1"/>
  </r>
  <r>
    <x v="0"/>
    <s v="Egypt"/>
    <x v="29"/>
    <x v="141"/>
    <x v="141"/>
    <m/>
    <m/>
    <s v="Break 30 Night"/>
    <d v="1899-12-30T23:30:00"/>
    <s v="+12:00 AM"/>
    <n v="0"/>
    <x v="1"/>
  </r>
  <r>
    <x v="0"/>
    <s v="Egypt"/>
    <x v="29"/>
    <x v="141"/>
    <x v="141"/>
    <d v="2025-06-07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00:00"/>
    <d v="1899-12-30T20:15:00"/>
    <n v="0"/>
    <x v="1"/>
  </r>
  <r>
    <x v="0"/>
    <s v="Egypt"/>
    <x v="29"/>
    <x v="141"/>
    <x v="141"/>
    <m/>
    <m/>
    <s v="Break 30 Night"/>
    <d v="1899-12-30T23:00:00"/>
    <d v="1899-12-30T23:30:00"/>
    <n v="0"/>
    <x v="1"/>
  </r>
  <r>
    <x v="0"/>
    <s v="Egypt"/>
    <x v="29"/>
    <x v="141"/>
    <x v="141"/>
    <d v="2025-06-08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00:00"/>
    <d v="1899-12-30T20:15:00"/>
    <n v="0"/>
    <x v="1"/>
  </r>
  <r>
    <x v="0"/>
    <s v="Egypt"/>
    <x v="29"/>
    <x v="141"/>
    <x v="141"/>
    <m/>
    <m/>
    <s v="Break 30 Night"/>
    <d v="1899-12-30T23:15:00"/>
    <d v="1899-12-30T23:45:00"/>
    <n v="0"/>
    <x v="1"/>
  </r>
  <r>
    <x v="0"/>
    <s v="Egypt"/>
    <x v="29"/>
    <x v="141"/>
    <x v="141"/>
    <d v="2025-06-09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19:45:00"/>
    <d v="1899-12-30T20:00:00"/>
    <n v="0"/>
    <x v="1"/>
  </r>
  <r>
    <x v="0"/>
    <s v="Egypt"/>
    <x v="29"/>
    <x v="141"/>
    <x v="141"/>
    <m/>
    <m/>
    <s v="Break 30 Night"/>
    <d v="1899-12-30T23:00:00"/>
    <d v="1899-12-30T23:30:00"/>
    <n v="0"/>
    <x v="1"/>
  </r>
  <r>
    <x v="0"/>
    <s v="Egypt"/>
    <x v="29"/>
    <x v="141"/>
    <x v="141"/>
    <d v="2025-06-10T00:00:00"/>
    <m/>
    <s v="Day Off"/>
    <m/>
    <m/>
    <n v="0"/>
    <x v="1"/>
  </r>
  <r>
    <x v="0"/>
    <s v="Egypt"/>
    <x v="29"/>
    <x v="141"/>
    <x v="141"/>
    <d v="2025-06-11T00:00:00"/>
    <m/>
    <s v="Day Off"/>
    <m/>
    <m/>
    <n v="0"/>
    <x v="1"/>
  </r>
  <r>
    <x v="0"/>
    <s v="Egypt"/>
    <x v="29"/>
    <x v="141"/>
    <x v="141"/>
    <d v="2025-06-12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15:00"/>
    <d v="1899-12-30T17:30:00"/>
    <n v="0"/>
    <x v="1"/>
  </r>
  <r>
    <x v="0"/>
    <s v="Egypt"/>
    <x v="29"/>
    <x v="141"/>
    <x v="141"/>
    <m/>
    <m/>
    <s v="Break 30 Morning"/>
    <d v="1899-12-30T20:00:00"/>
    <d v="1899-12-30T20:30:00"/>
    <n v="0"/>
    <x v="1"/>
  </r>
  <r>
    <x v="0"/>
    <s v="Egypt"/>
    <x v="29"/>
    <x v="141"/>
    <x v="141"/>
    <d v="2025-06-13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00:00"/>
    <d v="1899-12-30T17:15:00"/>
    <n v="0"/>
    <x v="1"/>
  </r>
  <r>
    <x v="0"/>
    <s v="Egypt"/>
    <x v="29"/>
    <x v="141"/>
    <x v="141"/>
    <m/>
    <m/>
    <s v="Break 30 Morning"/>
    <d v="1899-12-30T20:00:00"/>
    <d v="1899-12-30T20:30:00"/>
    <n v="0"/>
    <x v="1"/>
  </r>
  <r>
    <x v="0"/>
    <s v="Egypt"/>
    <x v="29"/>
    <x v="141"/>
    <x v="141"/>
    <d v="2025-06-14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15:00"/>
    <d v="1899-12-30T20:30:00"/>
    <n v="0"/>
    <x v="1"/>
  </r>
  <r>
    <x v="0"/>
    <s v="Egypt"/>
    <x v="29"/>
    <x v="141"/>
    <x v="141"/>
    <m/>
    <m/>
    <s v="Break 30 Night"/>
    <d v="1899-12-30T23:00:00"/>
    <d v="1899-12-30T23:30:00"/>
    <n v="0"/>
    <x v="1"/>
  </r>
  <r>
    <x v="0"/>
    <s v="Egypt"/>
    <x v="29"/>
    <x v="141"/>
    <x v="141"/>
    <d v="2025-06-15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30:00"/>
    <d v="1899-12-30T17:45:00"/>
    <n v="0"/>
    <x v="1"/>
  </r>
  <r>
    <x v="0"/>
    <s v="Egypt"/>
    <x v="29"/>
    <x v="141"/>
    <x v="141"/>
    <m/>
    <m/>
    <s v="Break 30 Morning"/>
    <d v="1899-12-30T20:15:00"/>
    <d v="1899-12-30T20:45:00"/>
    <n v="0"/>
    <x v="1"/>
  </r>
  <r>
    <x v="0"/>
    <s v="Egypt"/>
    <x v="29"/>
    <x v="141"/>
    <x v="141"/>
    <d v="2025-06-16T00:00:00"/>
    <m/>
    <s v="Day Off"/>
    <m/>
    <m/>
    <n v="0"/>
    <x v="1"/>
  </r>
  <r>
    <x v="0"/>
    <s v="Egypt"/>
    <x v="29"/>
    <x v="141"/>
    <x v="141"/>
    <d v="2025-06-17T00:00:00"/>
    <m/>
    <s v="Day Off"/>
    <m/>
    <m/>
    <n v="0"/>
    <x v="1"/>
  </r>
  <r>
    <x v="0"/>
    <s v="Egypt"/>
    <x v="29"/>
    <x v="141"/>
    <x v="141"/>
    <d v="2025-06-18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30:00"/>
    <d v="1899-12-30T20:45:00"/>
    <n v="0"/>
    <x v="1"/>
  </r>
  <r>
    <x v="0"/>
    <s v="Egypt"/>
    <x v="29"/>
    <x v="141"/>
    <x v="141"/>
    <m/>
    <m/>
    <s v="Break 30 Night"/>
    <d v="1899-12-30T23:45:00"/>
    <s v="+12:15 AM"/>
    <n v="0"/>
    <x v="1"/>
  </r>
  <r>
    <x v="0"/>
    <s v="Egypt"/>
    <x v="29"/>
    <x v="141"/>
    <x v="141"/>
    <d v="2025-06-19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30:00"/>
    <d v="1899-12-30T20:45:00"/>
    <n v="0"/>
    <x v="1"/>
  </r>
  <r>
    <x v="0"/>
    <s v="Egypt"/>
    <x v="29"/>
    <x v="141"/>
    <x v="141"/>
    <m/>
    <m/>
    <s v="Break 30 Night"/>
    <d v="1899-12-30T23:45:00"/>
    <s v="+12:15 AM"/>
    <n v="0"/>
    <x v="1"/>
  </r>
  <r>
    <x v="0"/>
    <s v="Egypt"/>
    <x v="29"/>
    <x v="141"/>
    <x v="141"/>
    <d v="2025-06-20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6:30:00"/>
    <d v="1899-12-30T16:45:00"/>
    <n v="0"/>
    <x v="1"/>
  </r>
  <r>
    <x v="0"/>
    <s v="Egypt"/>
    <x v="29"/>
    <x v="141"/>
    <x v="141"/>
    <m/>
    <m/>
    <s v="Break 30 Morning"/>
    <d v="1899-12-30T19:15:00"/>
    <d v="1899-12-30T19:45:00"/>
    <n v="0"/>
    <x v="1"/>
  </r>
  <r>
    <x v="0"/>
    <s v="Egypt"/>
    <x v="29"/>
    <x v="141"/>
    <x v="141"/>
    <d v="2025-06-21T00:00:00"/>
    <m/>
    <s v="Day Off"/>
    <m/>
    <m/>
    <n v="0"/>
    <x v="1"/>
  </r>
  <r>
    <x v="0"/>
    <s v="Egypt"/>
    <x v="29"/>
    <x v="141"/>
    <x v="141"/>
    <d v="2025-06-22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45:00"/>
    <d v="1899-12-30T21:00:00"/>
    <n v="0"/>
    <x v="1"/>
  </r>
  <r>
    <x v="0"/>
    <s v="Egypt"/>
    <x v="29"/>
    <x v="141"/>
    <x v="141"/>
    <m/>
    <m/>
    <s v="Break 30 Night"/>
    <d v="1899-12-30T23:15:00"/>
    <d v="1899-12-30T23:45:00"/>
    <n v="0"/>
    <x v="1"/>
  </r>
  <r>
    <x v="0"/>
    <s v="Egypt"/>
    <x v="29"/>
    <x v="141"/>
    <x v="141"/>
    <d v="2025-06-23T00:00:00"/>
    <m/>
    <s v="Day Off"/>
    <m/>
    <m/>
    <n v="0"/>
    <x v="1"/>
  </r>
  <r>
    <x v="0"/>
    <s v="Egypt"/>
    <x v="29"/>
    <x v="141"/>
    <x v="141"/>
    <d v="2025-06-24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15:00"/>
    <d v="1899-12-30T17:30:00"/>
    <n v="0"/>
    <x v="1"/>
  </r>
  <r>
    <x v="0"/>
    <s v="Egypt"/>
    <x v="29"/>
    <x v="141"/>
    <x v="141"/>
    <m/>
    <m/>
    <s v="Break 30 Morning"/>
    <d v="1899-12-30T19:45:00"/>
    <d v="1899-12-30T20:15:00"/>
    <n v="0"/>
    <x v="1"/>
  </r>
  <r>
    <x v="0"/>
    <s v="Egypt"/>
    <x v="29"/>
    <x v="141"/>
    <x v="141"/>
    <d v="2025-06-25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00:00"/>
    <d v="1899-12-30T17:15:00"/>
    <n v="0"/>
    <x v="1"/>
  </r>
  <r>
    <x v="0"/>
    <s v="Egypt"/>
    <x v="29"/>
    <x v="141"/>
    <x v="141"/>
    <m/>
    <m/>
    <s v="Break 30 Morning"/>
    <d v="1899-12-30T19:30:00"/>
    <d v="1899-12-30T20:00:00"/>
    <n v="0"/>
    <x v="1"/>
  </r>
  <r>
    <x v="0"/>
    <s v="Egypt"/>
    <x v="29"/>
    <x v="141"/>
    <x v="141"/>
    <d v="2025-06-26T00:00:00"/>
    <d v="1899-12-30T08:15:00"/>
    <s v="Public holiday"/>
    <m/>
    <m/>
    <n v="29700"/>
    <x v="1"/>
  </r>
  <r>
    <x v="0"/>
    <s v="Egypt"/>
    <x v="29"/>
    <x v="141"/>
    <x v="141"/>
    <d v="2025-06-27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6:45:00"/>
    <d v="1899-12-30T17:00:00"/>
    <n v="0"/>
    <x v="1"/>
  </r>
  <r>
    <x v="0"/>
    <s v="Egypt"/>
    <x v="29"/>
    <x v="141"/>
    <x v="141"/>
    <m/>
    <m/>
    <s v="Break 30 Morning"/>
    <d v="1899-12-30T20:15:00"/>
    <d v="1899-12-30T20:45:00"/>
    <n v="0"/>
    <x v="1"/>
  </r>
  <r>
    <x v="0"/>
    <s v="Egypt"/>
    <x v="29"/>
    <x v="141"/>
    <x v="141"/>
    <d v="2025-06-28T00:00:00"/>
    <d v="1899-12-30T08:15:00"/>
    <s v="Non Telecom Assyot"/>
    <d v="1899-12-30T14:00:00"/>
    <d v="1899-12-30T22:15:00"/>
    <n v="29700"/>
    <x v="0"/>
  </r>
  <r>
    <x v="0"/>
    <s v="Egypt"/>
    <x v="29"/>
    <x v="141"/>
    <x v="141"/>
    <m/>
    <m/>
    <s v="Break 15 Morning"/>
    <d v="1899-12-30T17:00:00"/>
    <d v="1899-12-30T17:15:00"/>
    <n v="0"/>
    <x v="1"/>
  </r>
  <r>
    <x v="0"/>
    <s v="Egypt"/>
    <x v="29"/>
    <x v="141"/>
    <x v="141"/>
    <m/>
    <m/>
    <s v="Break 30 Morning"/>
    <d v="1899-12-30T20:00:00"/>
    <d v="1899-12-30T20:30:00"/>
    <n v="0"/>
    <x v="1"/>
  </r>
  <r>
    <x v="0"/>
    <s v="Egypt"/>
    <x v="29"/>
    <x v="141"/>
    <x v="141"/>
    <d v="2025-06-29T00:00:00"/>
    <m/>
    <s v="Day Off"/>
    <m/>
    <m/>
    <n v="0"/>
    <x v="1"/>
  </r>
  <r>
    <x v="0"/>
    <s v="Egypt"/>
    <x v="29"/>
    <x v="141"/>
    <x v="141"/>
    <d v="2025-06-30T00:00:00"/>
    <d v="1899-12-30T08:15:00"/>
    <s v="Non Telecom Assyot"/>
    <d v="1899-12-30T17:15:00"/>
    <s v="+1:30 AM"/>
    <n v="29700"/>
    <x v="0"/>
  </r>
  <r>
    <x v="0"/>
    <s v="Egypt"/>
    <x v="29"/>
    <x v="141"/>
    <x v="141"/>
    <m/>
    <m/>
    <s v="Break 15 Night"/>
    <d v="1899-12-30T20:30:00"/>
    <d v="1899-12-30T20:45:00"/>
    <n v="0"/>
    <x v="1"/>
  </r>
  <r>
    <x v="0"/>
    <s v="Egypt"/>
    <x v="29"/>
    <x v="141"/>
    <x v="141"/>
    <m/>
    <m/>
    <s v="Break 30 Night"/>
    <s v="+12:00 AM"/>
    <s v="+12:30 AM"/>
    <n v="0"/>
    <x v="1"/>
  </r>
  <r>
    <x v="0"/>
    <s v="Egypt"/>
    <x v="29"/>
    <x v="142"/>
    <x v="142"/>
    <d v="2025-06-05T00:00:00"/>
    <d v="1899-12-30T08:15:00"/>
    <s v="Public holiday"/>
    <m/>
    <m/>
    <n v="29700"/>
    <x v="1"/>
  </r>
  <r>
    <x v="0"/>
    <s v="Egypt"/>
    <x v="29"/>
    <x v="142"/>
    <x v="142"/>
    <d v="2025-06-06T00:00:00"/>
    <m/>
    <s v="Day Off"/>
    <m/>
    <m/>
    <n v="0"/>
    <x v="1"/>
  </r>
  <r>
    <x v="0"/>
    <s v="Egypt"/>
    <x v="29"/>
    <x v="142"/>
    <x v="142"/>
    <d v="2025-06-07T00:00:00"/>
    <m/>
    <s v="Day Off"/>
    <m/>
    <m/>
    <n v="0"/>
    <x v="1"/>
  </r>
  <r>
    <x v="0"/>
    <s v="Egypt"/>
    <x v="29"/>
    <x v="142"/>
    <x v="142"/>
    <d v="2025-06-08T00:00:00"/>
    <d v="1899-12-30T08:15:00"/>
    <s v="Public holiday"/>
    <m/>
    <m/>
    <n v="29700"/>
    <x v="1"/>
  </r>
  <r>
    <x v="0"/>
    <s v="Egypt"/>
    <x v="29"/>
    <x v="142"/>
    <x v="142"/>
    <d v="2025-06-09T00:00:00"/>
    <m/>
    <s v="Day Off"/>
    <m/>
    <m/>
    <n v="0"/>
    <x v="1"/>
  </r>
  <r>
    <x v="0"/>
    <s v="Egypt"/>
    <x v="29"/>
    <x v="142"/>
    <x v="142"/>
    <d v="2025-06-10T00:00:00"/>
    <m/>
    <s v="Day Off"/>
    <m/>
    <m/>
    <n v="0"/>
    <x v="1"/>
  </r>
  <r>
    <x v="0"/>
    <s v="Egypt"/>
    <x v="29"/>
    <x v="142"/>
    <x v="142"/>
    <d v="2025-06-11T00:00:00"/>
    <d v="1899-12-30T08:15:00"/>
    <s v="Non Telecom Assyot"/>
    <d v="1899-12-30T11:00:00"/>
    <d v="1899-12-30T19:15:00"/>
    <n v="29700"/>
    <x v="0"/>
  </r>
  <r>
    <x v="0"/>
    <s v="Egypt"/>
    <x v="29"/>
    <x v="142"/>
    <x v="142"/>
    <m/>
    <m/>
    <s v="Break 15 Morning"/>
    <d v="1899-12-30T14:00:00"/>
    <d v="1899-12-30T14:15:00"/>
    <n v="0"/>
    <x v="1"/>
  </r>
  <r>
    <x v="0"/>
    <s v="Egypt"/>
    <x v="29"/>
    <x v="142"/>
    <x v="142"/>
    <m/>
    <m/>
    <s v="One to One"/>
    <d v="1899-12-30T16:30:00"/>
    <d v="1899-12-30T16:45:00"/>
    <n v="0"/>
    <x v="1"/>
  </r>
  <r>
    <x v="0"/>
    <s v="Egypt"/>
    <x v="29"/>
    <x v="142"/>
    <x v="142"/>
    <m/>
    <m/>
    <s v="Break 30 Morning"/>
    <d v="1899-12-30T17:15:00"/>
    <d v="1899-12-30T17:45:00"/>
    <n v="0"/>
    <x v="1"/>
  </r>
  <r>
    <x v="0"/>
    <s v="Egypt"/>
    <x v="29"/>
    <x v="142"/>
    <x v="142"/>
    <d v="2025-06-12T00:00:00"/>
    <d v="1899-12-30T08:15:00"/>
    <s v="Non Telecom Assyot"/>
    <d v="1899-12-30T11:00:00"/>
    <d v="1899-12-30T19:15:00"/>
    <n v="29700"/>
    <x v="0"/>
  </r>
  <r>
    <x v="0"/>
    <s v="Egypt"/>
    <x v="29"/>
    <x v="142"/>
    <x v="142"/>
    <m/>
    <m/>
    <s v="Break 15 Morning"/>
    <d v="1899-12-30T14:00:00"/>
    <d v="1899-12-30T14:15:00"/>
    <n v="0"/>
    <x v="1"/>
  </r>
  <r>
    <x v="0"/>
    <s v="Egypt"/>
    <x v="29"/>
    <x v="142"/>
    <x v="142"/>
    <m/>
    <m/>
    <s v="One to One"/>
    <d v="1899-12-30T16:30:00"/>
    <d v="1899-12-30T16:45:00"/>
    <n v="0"/>
    <x v="1"/>
  </r>
  <r>
    <x v="0"/>
    <s v="Egypt"/>
    <x v="29"/>
    <x v="142"/>
    <x v="142"/>
    <m/>
    <m/>
    <s v="Break 30 Morning"/>
    <d v="1899-12-30T17:15:00"/>
    <d v="1899-12-30T17:45:00"/>
    <n v="0"/>
    <x v="1"/>
  </r>
  <r>
    <x v="0"/>
    <s v="Egypt"/>
    <x v="29"/>
    <x v="142"/>
    <x v="142"/>
    <d v="2025-06-13T00:00:00"/>
    <d v="1899-12-30T08:15:00"/>
    <s v="Non Telecom Assyot"/>
    <d v="1899-12-30T11:00:00"/>
    <d v="1899-12-30T19:15:00"/>
    <n v="29700"/>
    <x v="0"/>
  </r>
  <r>
    <x v="0"/>
    <s v="Egypt"/>
    <x v="29"/>
    <x v="142"/>
    <x v="142"/>
    <m/>
    <m/>
    <s v="Break 15 Morning"/>
    <d v="1899-12-30T14:00:00"/>
    <d v="1899-12-30T14:15:00"/>
    <n v="0"/>
    <x v="1"/>
  </r>
  <r>
    <x v="0"/>
    <s v="Egypt"/>
    <x v="29"/>
    <x v="142"/>
    <x v="142"/>
    <m/>
    <m/>
    <s v="One to One"/>
    <d v="1899-12-30T16:00:00"/>
    <d v="1899-12-30T16:15:00"/>
    <n v="0"/>
    <x v="1"/>
  </r>
  <r>
    <x v="0"/>
    <s v="Egypt"/>
    <x v="29"/>
    <x v="142"/>
    <x v="142"/>
    <m/>
    <m/>
    <s v="Break 30 Morning"/>
    <d v="1899-12-30T17:00:00"/>
    <d v="1899-12-30T17:30:00"/>
    <n v="0"/>
    <x v="1"/>
  </r>
  <r>
    <x v="0"/>
    <s v="Egypt"/>
    <x v="29"/>
    <x v="142"/>
    <x v="142"/>
    <d v="2025-06-14T00:00:00"/>
    <d v="1899-12-30T08:15:00"/>
    <s v="Non Telecom Assyot"/>
    <d v="1899-12-30T11:00:00"/>
    <d v="1899-12-30T19:15:00"/>
    <n v="29700"/>
    <x v="0"/>
  </r>
  <r>
    <x v="0"/>
    <s v="Egypt"/>
    <x v="29"/>
    <x v="142"/>
    <x v="142"/>
    <m/>
    <m/>
    <s v="Break 15 Morning"/>
    <d v="1899-12-30T14:00:00"/>
    <d v="1899-12-30T14:15:00"/>
    <n v="0"/>
    <x v="1"/>
  </r>
  <r>
    <x v="0"/>
    <s v="Egypt"/>
    <x v="29"/>
    <x v="142"/>
    <x v="142"/>
    <m/>
    <m/>
    <s v="One to One"/>
    <d v="1899-12-30T16:45:00"/>
    <d v="1899-12-30T17:00:00"/>
    <n v="0"/>
    <x v="1"/>
  </r>
  <r>
    <x v="0"/>
    <s v="Egypt"/>
    <x v="29"/>
    <x v="142"/>
    <x v="142"/>
    <m/>
    <m/>
    <s v="Break 30 Morning"/>
    <d v="1899-12-30T17:15:00"/>
    <d v="1899-12-30T17:45:00"/>
    <n v="0"/>
    <x v="1"/>
  </r>
  <r>
    <x v="0"/>
    <s v="Egypt"/>
    <x v="29"/>
    <x v="142"/>
    <x v="142"/>
    <d v="2025-06-15T00:00:00"/>
    <d v="1899-12-30T08:15:00"/>
    <s v="Non Telecom Assyot"/>
    <d v="1899-12-30T11:00:00"/>
    <d v="1899-12-30T19:15:00"/>
    <n v="29700"/>
    <x v="0"/>
  </r>
  <r>
    <x v="0"/>
    <s v="Egypt"/>
    <x v="29"/>
    <x v="142"/>
    <x v="142"/>
    <m/>
    <m/>
    <s v="Break 15 Morning"/>
    <d v="1899-12-30T14:00:00"/>
    <d v="1899-12-30T14:15:00"/>
    <n v="0"/>
    <x v="1"/>
  </r>
  <r>
    <x v="0"/>
    <s v="Egypt"/>
    <x v="29"/>
    <x v="142"/>
    <x v="142"/>
    <m/>
    <m/>
    <s v="Break 30 Morning"/>
    <d v="1899-12-30T17:15:00"/>
    <d v="1899-12-30T17:45:00"/>
    <n v="0"/>
    <x v="1"/>
  </r>
  <r>
    <x v="0"/>
    <s v="Egypt"/>
    <x v="29"/>
    <x v="142"/>
    <x v="142"/>
    <d v="2025-06-16T00:00:00"/>
    <m/>
    <s v="Day Off"/>
    <m/>
    <m/>
    <n v="0"/>
    <x v="1"/>
  </r>
  <r>
    <x v="0"/>
    <s v="Egypt"/>
    <x v="29"/>
    <x v="142"/>
    <x v="142"/>
    <d v="2025-06-17T00:00:00"/>
    <m/>
    <s v="Day Off"/>
    <m/>
    <m/>
    <n v="0"/>
    <x v="1"/>
  </r>
  <r>
    <x v="0"/>
    <s v="Egypt"/>
    <x v="29"/>
    <x v="142"/>
    <x v="142"/>
    <d v="2025-06-18T00:00:00"/>
    <d v="1899-12-30T08:15:00"/>
    <s v="Non Telecom Assyot"/>
    <d v="1899-12-30T14:00:00"/>
    <d v="1899-12-30T22:15:00"/>
    <n v="29700"/>
    <x v="0"/>
  </r>
  <r>
    <x v="0"/>
    <s v="Egypt"/>
    <x v="29"/>
    <x v="142"/>
    <x v="142"/>
    <m/>
    <m/>
    <s v="Break 15 Morning"/>
    <d v="1899-12-30T17:00:00"/>
    <d v="1899-12-30T17:15:00"/>
    <n v="0"/>
    <x v="1"/>
  </r>
  <r>
    <x v="0"/>
    <s v="Egypt"/>
    <x v="29"/>
    <x v="142"/>
    <x v="142"/>
    <m/>
    <m/>
    <s v="Break 30 Morning"/>
    <d v="1899-12-30T19:45:00"/>
    <d v="1899-12-30T20:15:00"/>
    <n v="0"/>
    <x v="1"/>
  </r>
  <r>
    <x v="0"/>
    <s v="Egypt"/>
    <x v="29"/>
    <x v="142"/>
    <x v="142"/>
    <d v="2025-06-19T00:00:00"/>
    <d v="1899-12-30T08:15:00"/>
    <s v="Non Telecom Assyot"/>
    <d v="1899-12-30T14:00:00"/>
    <d v="1899-12-30T22:15:00"/>
    <n v="29700"/>
    <x v="0"/>
  </r>
  <r>
    <x v="0"/>
    <s v="Egypt"/>
    <x v="29"/>
    <x v="142"/>
    <x v="142"/>
    <m/>
    <m/>
    <s v="Break 15 Morning"/>
    <d v="1899-12-30T17:00:00"/>
    <d v="1899-12-30T17:15:00"/>
    <n v="0"/>
    <x v="1"/>
  </r>
  <r>
    <x v="0"/>
    <s v="Egypt"/>
    <x v="29"/>
    <x v="142"/>
    <x v="142"/>
    <m/>
    <m/>
    <s v="Break 30 Morning"/>
    <d v="1899-12-30T19:15:00"/>
    <d v="1899-12-30T19:45:00"/>
    <n v="0"/>
    <x v="1"/>
  </r>
  <r>
    <x v="0"/>
    <s v="Egypt"/>
    <x v="29"/>
    <x v="142"/>
    <x v="142"/>
    <d v="2025-06-20T00:00:00"/>
    <d v="1899-12-30T08:15:00"/>
    <s v="Non Telecom Assyot"/>
    <d v="1899-12-30T14:00:00"/>
    <d v="1899-12-30T22:15:00"/>
    <n v="29700"/>
    <x v="0"/>
  </r>
  <r>
    <x v="0"/>
    <s v="Egypt"/>
    <x v="29"/>
    <x v="142"/>
    <x v="142"/>
    <m/>
    <m/>
    <s v="Break 15 Morning"/>
    <d v="1899-12-30T16:45:00"/>
    <d v="1899-12-30T17:00:00"/>
    <n v="0"/>
    <x v="1"/>
  </r>
  <r>
    <x v="0"/>
    <s v="Egypt"/>
    <x v="29"/>
    <x v="142"/>
    <x v="142"/>
    <m/>
    <m/>
    <s v="Break 30 Morning"/>
    <d v="1899-12-30T19:45:00"/>
    <d v="1899-12-30T20:15:00"/>
    <n v="0"/>
    <x v="1"/>
  </r>
  <r>
    <x v="0"/>
    <s v="Egypt"/>
    <x v="29"/>
    <x v="142"/>
    <x v="142"/>
    <d v="2025-06-21T00:00:00"/>
    <d v="1899-12-30T08:15:00"/>
    <s v="Non Telecom Assyot"/>
    <d v="1899-12-30T14:00:00"/>
    <d v="1899-12-30T22:15:00"/>
    <n v="29700"/>
    <x v="0"/>
  </r>
  <r>
    <x v="0"/>
    <s v="Egypt"/>
    <x v="29"/>
    <x v="142"/>
    <x v="142"/>
    <m/>
    <m/>
    <s v="Break 15 Morning"/>
    <d v="1899-12-30T16:30:00"/>
    <d v="1899-12-30T16:45:00"/>
    <n v="0"/>
    <x v="1"/>
  </r>
  <r>
    <x v="0"/>
    <s v="Egypt"/>
    <x v="29"/>
    <x v="142"/>
    <x v="142"/>
    <m/>
    <m/>
    <s v="Break 30 Morning"/>
    <d v="1899-12-30T19:30:00"/>
    <d v="1899-12-30T20:00:00"/>
    <n v="0"/>
    <x v="1"/>
  </r>
  <r>
    <x v="0"/>
    <s v="Egypt"/>
    <x v="29"/>
    <x v="142"/>
    <x v="142"/>
    <d v="2025-06-22T00:00:00"/>
    <d v="1899-12-30T00:00:00"/>
    <s v="&lt;Exception&gt; -1"/>
    <m/>
    <m/>
    <n v="0"/>
    <x v="1"/>
  </r>
  <r>
    <x v="0"/>
    <s v="Egypt"/>
    <x v="29"/>
    <x v="142"/>
    <x v="142"/>
    <d v="2025-06-23T00:00:00"/>
    <m/>
    <s v="Day Off"/>
    <m/>
    <m/>
    <n v="0"/>
    <x v="1"/>
  </r>
  <r>
    <x v="0"/>
    <s v="Egypt"/>
    <x v="29"/>
    <x v="142"/>
    <x v="142"/>
    <d v="2025-06-24T00:00:00"/>
    <m/>
    <s v="Day Off"/>
    <m/>
    <m/>
    <n v="0"/>
    <x v="1"/>
  </r>
  <r>
    <x v="0"/>
    <s v="Egypt"/>
    <x v="29"/>
    <x v="142"/>
    <x v="142"/>
    <d v="2025-06-25T00:00:00"/>
    <d v="1899-12-30T08:15:00"/>
    <s v="Non Telecom Assyot"/>
    <d v="1899-12-30T17:15:00"/>
    <s v="+1:30 AM"/>
    <n v="29700"/>
    <x v="0"/>
  </r>
  <r>
    <x v="0"/>
    <s v="Egypt"/>
    <x v="29"/>
    <x v="142"/>
    <x v="142"/>
    <m/>
    <m/>
    <s v="Break 15 Night"/>
    <d v="1899-12-30T20:30:00"/>
    <d v="1899-12-30T20:45:00"/>
    <n v="0"/>
    <x v="1"/>
  </r>
  <r>
    <x v="0"/>
    <s v="Egypt"/>
    <x v="29"/>
    <x v="142"/>
    <x v="142"/>
    <m/>
    <m/>
    <s v="Break 30 Night"/>
    <s v="+12:00 AM"/>
    <s v="+12:30 AM"/>
    <n v="0"/>
    <x v="1"/>
  </r>
  <r>
    <x v="0"/>
    <s v="Egypt"/>
    <x v="29"/>
    <x v="142"/>
    <x v="142"/>
    <d v="2025-06-26T00:00:00"/>
    <d v="1899-12-30T08:15:00"/>
    <s v="Non Telecom Assyot"/>
    <d v="1899-12-30T17:15:00"/>
    <s v="+1:30 AM"/>
    <n v="29700"/>
    <x v="0"/>
  </r>
  <r>
    <x v="0"/>
    <s v="Egypt"/>
    <x v="29"/>
    <x v="142"/>
    <x v="142"/>
    <m/>
    <m/>
    <s v="Break 15 Night"/>
    <d v="1899-12-30T20:45:00"/>
    <d v="1899-12-30T21:00:00"/>
    <n v="0"/>
    <x v="1"/>
  </r>
  <r>
    <x v="0"/>
    <s v="Egypt"/>
    <x v="29"/>
    <x v="142"/>
    <x v="142"/>
    <m/>
    <m/>
    <s v="Break 30 Night"/>
    <s v="+12:00 AM"/>
    <s v="+12:30 AM"/>
    <n v="0"/>
    <x v="1"/>
  </r>
  <r>
    <x v="0"/>
    <s v="Egypt"/>
    <x v="29"/>
    <x v="142"/>
    <x v="142"/>
    <d v="2025-06-27T00:00:00"/>
    <d v="1899-12-30T08:15:00"/>
    <s v="Non Telecom Assyot"/>
    <d v="1899-12-30T17:15:00"/>
    <s v="+1:30 AM"/>
    <n v="29700"/>
    <x v="0"/>
  </r>
  <r>
    <x v="0"/>
    <s v="Egypt"/>
    <x v="29"/>
    <x v="142"/>
    <x v="142"/>
    <m/>
    <m/>
    <s v="Break 15 Night"/>
    <d v="1899-12-30T20:45:00"/>
    <d v="1899-12-30T21:00:00"/>
    <n v="0"/>
    <x v="1"/>
  </r>
  <r>
    <x v="0"/>
    <s v="Egypt"/>
    <x v="29"/>
    <x v="142"/>
    <x v="142"/>
    <m/>
    <m/>
    <s v="Break 30 Night"/>
    <d v="1899-12-30T23:45:00"/>
    <s v="+12:15 AM"/>
    <n v="0"/>
    <x v="1"/>
  </r>
  <r>
    <x v="0"/>
    <s v="Egypt"/>
    <x v="29"/>
    <x v="142"/>
    <x v="142"/>
    <d v="2025-06-28T00:00:00"/>
    <d v="1899-12-30T08:15:00"/>
    <s v="Non Telecom Assyot"/>
    <d v="1899-12-30T17:15:00"/>
    <s v="+1:30 AM"/>
    <n v="29700"/>
    <x v="0"/>
  </r>
  <r>
    <x v="0"/>
    <s v="Egypt"/>
    <x v="29"/>
    <x v="142"/>
    <x v="142"/>
    <m/>
    <m/>
    <s v="Break 15 Night"/>
    <d v="1899-12-30T20:30:00"/>
    <d v="1899-12-30T20:45:00"/>
    <n v="0"/>
    <x v="1"/>
  </r>
  <r>
    <x v="0"/>
    <s v="Egypt"/>
    <x v="29"/>
    <x v="142"/>
    <x v="142"/>
    <m/>
    <m/>
    <s v="Break 30 Night"/>
    <s v="+12:00 AM"/>
    <s v="+12:30 AM"/>
    <n v="0"/>
    <x v="1"/>
  </r>
  <r>
    <x v="0"/>
    <s v="Egypt"/>
    <x v="29"/>
    <x v="142"/>
    <x v="142"/>
    <d v="2025-06-29T00:00:00"/>
    <m/>
    <s v="Day Off"/>
    <m/>
    <m/>
    <n v="0"/>
    <x v="1"/>
  </r>
  <r>
    <x v="0"/>
    <s v="Egypt"/>
    <x v="29"/>
    <x v="142"/>
    <x v="142"/>
    <d v="2025-06-30T00:00:00"/>
    <d v="1899-12-30T08:15:00"/>
    <s v="Non Telecom Assyot"/>
    <d v="1899-12-30T17:15:00"/>
    <s v="+1:30 AM"/>
    <n v="29700"/>
    <x v="0"/>
  </r>
  <r>
    <x v="0"/>
    <s v="Egypt"/>
    <x v="29"/>
    <x v="142"/>
    <x v="142"/>
    <m/>
    <m/>
    <s v="Break 15 Night"/>
    <d v="1899-12-30T20:45:00"/>
    <d v="1899-12-30T21:00:00"/>
    <n v="0"/>
    <x v="1"/>
  </r>
  <r>
    <x v="0"/>
    <s v="Egypt"/>
    <x v="29"/>
    <x v="142"/>
    <x v="142"/>
    <m/>
    <m/>
    <s v="Break 30 Night"/>
    <s v="+12:00 AM"/>
    <s v="+12:30 AM"/>
    <n v="0"/>
    <x v="1"/>
  </r>
  <r>
    <x v="0"/>
    <s v="Egypt"/>
    <x v="30"/>
    <x v="143"/>
    <x v="143"/>
    <d v="2025-06-01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30:00"/>
    <d v="1899-12-30T11:45:00"/>
    <n v="0"/>
    <x v="1"/>
  </r>
  <r>
    <x v="0"/>
    <s v="Egypt"/>
    <x v="30"/>
    <x v="143"/>
    <x v="143"/>
    <m/>
    <m/>
    <s v="Break 30 Morning"/>
    <d v="1899-12-30T14:45:00"/>
    <d v="1899-12-30T15:15:00"/>
    <n v="0"/>
    <x v="1"/>
  </r>
  <r>
    <x v="0"/>
    <s v="Egypt"/>
    <x v="30"/>
    <x v="143"/>
    <x v="143"/>
    <d v="2025-06-02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30:00"/>
    <d v="1899-12-30T11:45:00"/>
    <n v="0"/>
    <x v="1"/>
  </r>
  <r>
    <x v="0"/>
    <s v="Egypt"/>
    <x v="30"/>
    <x v="143"/>
    <x v="143"/>
    <m/>
    <m/>
    <s v="Break 30 Morning"/>
    <d v="1899-12-30T14:45:00"/>
    <d v="1899-12-30T15:15:00"/>
    <n v="0"/>
    <x v="1"/>
  </r>
  <r>
    <x v="0"/>
    <s v="Egypt"/>
    <x v="30"/>
    <x v="143"/>
    <x v="143"/>
    <d v="2025-06-03T00:00:00"/>
    <m/>
    <s v="Day Off"/>
    <m/>
    <m/>
    <n v="0"/>
    <x v="1"/>
  </r>
  <r>
    <x v="0"/>
    <s v="Egypt"/>
    <x v="30"/>
    <x v="143"/>
    <x v="143"/>
    <d v="2025-06-04T00:00:00"/>
    <m/>
    <s v="Day Off"/>
    <m/>
    <m/>
    <n v="0"/>
    <x v="1"/>
  </r>
  <r>
    <x v="0"/>
    <s v="Egypt"/>
    <x v="30"/>
    <x v="143"/>
    <x v="143"/>
    <d v="2025-06-05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00:00"/>
    <d v="1899-12-30T11:15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3"/>
    <x v="143"/>
    <d v="2025-06-06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15:00"/>
    <d v="1899-12-30T11:30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3"/>
    <x v="143"/>
    <d v="2025-06-07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0:45:00"/>
    <d v="1899-12-30T11:00:00"/>
    <n v="0"/>
    <x v="1"/>
  </r>
  <r>
    <x v="0"/>
    <s v="Egypt"/>
    <x v="30"/>
    <x v="143"/>
    <x v="143"/>
    <m/>
    <m/>
    <s v="Break 30 Morning"/>
    <d v="1899-12-30T13:45:00"/>
    <d v="1899-12-30T14:15:00"/>
    <n v="0"/>
    <x v="1"/>
  </r>
  <r>
    <x v="0"/>
    <s v="Egypt"/>
    <x v="30"/>
    <x v="143"/>
    <x v="143"/>
    <d v="2025-06-08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00:00"/>
    <d v="1899-12-30T11:15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3"/>
    <x v="143"/>
    <d v="2025-06-09T00:00:00"/>
    <m/>
    <s v="Day Off"/>
    <m/>
    <m/>
    <n v="0"/>
    <x v="1"/>
  </r>
  <r>
    <x v="0"/>
    <s v="Egypt"/>
    <x v="30"/>
    <x v="143"/>
    <x v="143"/>
    <d v="2025-06-10T00:00:00"/>
    <m/>
    <s v="Day Off"/>
    <m/>
    <m/>
    <n v="0"/>
    <x v="1"/>
  </r>
  <r>
    <x v="0"/>
    <s v="Egypt"/>
    <x v="30"/>
    <x v="143"/>
    <x v="143"/>
    <d v="2025-06-11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00:00"/>
    <d v="1899-12-30T13:15:00"/>
    <n v="0"/>
    <x v="1"/>
  </r>
  <r>
    <x v="0"/>
    <s v="Egypt"/>
    <x v="30"/>
    <x v="143"/>
    <x v="143"/>
    <m/>
    <m/>
    <s v="Break 30 Morning"/>
    <d v="1899-12-30T16:15:00"/>
    <d v="1899-12-30T16:45:00"/>
    <n v="0"/>
    <x v="1"/>
  </r>
  <r>
    <x v="0"/>
    <s v="Egypt"/>
    <x v="30"/>
    <x v="143"/>
    <x v="143"/>
    <d v="2025-06-12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2:45:00"/>
    <d v="1899-12-30T13:00:00"/>
    <n v="0"/>
    <x v="1"/>
  </r>
  <r>
    <x v="0"/>
    <s v="Egypt"/>
    <x v="30"/>
    <x v="143"/>
    <x v="143"/>
    <m/>
    <m/>
    <s v="Break 30 Morning"/>
    <d v="1899-12-30T15:45:00"/>
    <d v="1899-12-30T16:15:00"/>
    <n v="0"/>
    <x v="1"/>
  </r>
  <r>
    <x v="0"/>
    <s v="Egypt"/>
    <x v="30"/>
    <x v="143"/>
    <x v="143"/>
    <d v="2025-06-13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2:45:00"/>
    <d v="1899-12-30T13:00:00"/>
    <n v="0"/>
    <x v="1"/>
  </r>
  <r>
    <x v="0"/>
    <s v="Egypt"/>
    <x v="30"/>
    <x v="143"/>
    <x v="143"/>
    <m/>
    <m/>
    <s v="Break 30 Morning"/>
    <d v="1899-12-30T16:00:00"/>
    <d v="1899-12-30T16:30:00"/>
    <n v="0"/>
    <x v="1"/>
  </r>
  <r>
    <x v="0"/>
    <s v="Egypt"/>
    <x v="30"/>
    <x v="143"/>
    <x v="143"/>
    <d v="2025-06-14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00:00"/>
    <d v="1899-12-30T13:15:00"/>
    <n v="0"/>
    <x v="1"/>
  </r>
  <r>
    <x v="0"/>
    <s v="Egypt"/>
    <x v="30"/>
    <x v="143"/>
    <x v="143"/>
    <m/>
    <m/>
    <s v="Break 30 Morning"/>
    <d v="1899-12-30T16:15:00"/>
    <d v="1899-12-30T16:45:00"/>
    <n v="0"/>
    <x v="1"/>
  </r>
  <r>
    <x v="0"/>
    <s v="Egypt"/>
    <x v="30"/>
    <x v="143"/>
    <x v="143"/>
    <d v="2025-06-15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0:45:00"/>
    <d v="1899-12-30T11:00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3"/>
    <x v="143"/>
    <d v="2025-06-16T00:00:00"/>
    <m/>
    <s v="Day Off"/>
    <m/>
    <m/>
    <n v="0"/>
    <x v="1"/>
  </r>
  <r>
    <x v="0"/>
    <s v="Egypt"/>
    <x v="30"/>
    <x v="143"/>
    <x v="143"/>
    <d v="2025-06-17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00:00"/>
    <d v="1899-12-30T11:15:00"/>
    <n v="0"/>
    <x v="1"/>
  </r>
  <r>
    <x v="0"/>
    <s v="Egypt"/>
    <x v="30"/>
    <x v="143"/>
    <x v="143"/>
    <m/>
    <m/>
    <s v="Break 30 Morning"/>
    <d v="1899-12-30T13:45:00"/>
    <d v="1899-12-30T14:15:00"/>
    <n v="0"/>
    <x v="1"/>
  </r>
  <r>
    <x v="0"/>
    <s v="Egypt"/>
    <x v="30"/>
    <x v="143"/>
    <x v="143"/>
    <d v="2025-06-18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00:00"/>
    <d v="1899-12-30T11:15:00"/>
    <n v="0"/>
    <x v="1"/>
  </r>
  <r>
    <x v="0"/>
    <s v="Egypt"/>
    <x v="30"/>
    <x v="143"/>
    <x v="143"/>
    <m/>
    <m/>
    <s v="Break 30 Morning"/>
    <d v="1899-12-30T13:45:00"/>
    <d v="1899-12-30T14:15:00"/>
    <n v="0"/>
    <x v="1"/>
  </r>
  <r>
    <x v="0"/>
    <s v="Egypt"/>
    <x v="30"/>
    <x v="143"/>
    <x v="143"/>
    <d v="2025-06-19T00:00:00"/>
    <m/>
    <s v="Day Off"/>
    <m/>
    <m/>
    <n v="0"/>
    <x v="1"/>
  </r>
  <r>
    <x v="0"/>
    <s v="Egypt"/>
    <x v="30"/>
    <x v="143"/>
    <x v="143"/>
    <d v="2025-06-20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30:00"/>
    <d v="1899-12-30T13:45:00"/>
    <n v="0"/>
    <x v="1"/>
  </r>
  <r>
    <x v="0"/>
    <s v="Egypt"/>
    <x v="30"/>
    <x v="143"/>
    <x v="143"/>
    <m/>
    <m/>
    <s v="Break 30 Morning"/>
    <d v="1899-12-30T16:15:00"/>
    <d v="1899-12-30T16:45:00"/>
    <n v="0"/>
    <x v="1"/>
  </r>
  <r>
    <x v="0"/>
    <s v="Egypt"/>
    <x v="30"/>
    <x v="143"/>
    <x v="143"/>
    <d v="2025-06-21T00:00:00"/>
    <d v="1899-12-30T00:00:00"/>
    <s v="&lt;Exception&gt; -1"/>
    <m/>
    <m/>
    <n v="0"/>
    <x v="1"/>
  </r>
  <r>
    <x v="0"/>
    <s v="Egypt"/>
    <x v="30"/>
    <x v="143"/>
    <x v="143"/>
    <d v="2025-06-22T00:00:00"/>
    <m/>
    <s v="Day Off"/>
    <m/>
    <m/>
    <n v="0"/>
    <x v="1"/>
  </r>
  <r>
    <x v="0"/>
    <s v="Egypt"/>
    <x v="30"/>
    <x v="143"/>
    <x v="143"/>
    <d v="2025-06-23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2:45:00"/>
    <d v="1899-12-30T13:00:00"/>
    <n v="0"/>
    <x v="1"/>
  </r>
  <r>
    <x v="0"/>
    <s v="Egypt"/>
    <x v="30"/>
    <x v="143"/>
    <x v="143"/>
    <m/>
    <m/>
    <s v="Break 30 Morning"/>
    <d v="1899-12-30T15:45:00"/>
    <d v="1899-12-30T16:15:00"/>
    <n v="0"/>
    <x v="1"/>
  </r>
  <r>
    <x v="0"/>
    <s v="Egypt"/>
    <x v="30"/>
    <x v="143"/>
    <x v="143"/>
    <d v="2025-06-24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00:00"/>
    <d v="1899-12-30T13:15:00"/>
    <n v="0"/>
    <x v="1"/>
  </r>
  <r>
    <x v="0"/>
    <s v="Egypt"/>
    <x v="30"/>
    <x v="143"/>
    <x v="143"/>
    <m/>
    <m/>
    <s v="Break 30 Morning"/>
    <d v="1899-12-30T16:15:00"/>
    <d v="1899-12-30T16:45:00"/>
    <n v="0"/>
    <x v="1"/>
  </r>
  <r>
    <x v="0"/>
    <s v="Egypt"/>
    <x v="30"/>
    <x v="143"/>
    <x v="143"/>
    <d v="2025-06-25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15:00"/>
    <d v="1899-12-30T13:30:00"/>
    <n v="0"/>
    <x v="1"/>
  </r>
  <r>
    <x v="0"/>
    <s v="Egypt"/>
    <x v="30"/>
    <x v="143"/>
    <x v="143"/>
    <m/>
    <m/>
    <s v="Break 30 Morning"/>
    <d v="1899-12-30T15:45:00"/>
    <d v="1899-12-30T16:15:00"/>
    <n v="0"/>
    <x v="1"/>
  </r>
  <r>
    <x v="0"/>
    <s v="Egypt"/>
    <x v="30"/>
    <x v="143"/>
    <x v="143"/>
    <d v="2025-06-26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00:00"/>
    <d v="1899-12-30T13:15:00"/>
    <n v="0"/>
    <x v="1"/>
  </r>
  <r>
    <x v="0"/>
    <s v="Egypt"/>
    <x v="30"/>
    <x v="143"/>
    <x v="143"/>
    <m/>
    <m/>
    <s v="Break 30 Morning"/>
    <d v="1899-12-30T16:15:00"/>
    <d v="1899-12-30T16:45:00"/>
    <n v="0"/>
    <x v="1"/>
  </r>
  <r>
    <x v="0"/>
    <s v="Egypt"/>
    <x v="30"/>
    <x v="143"/>
    <x v="143"/>
    <d v="2025-06-27T00:00:00"/>
    <d v="1899-12-30T08:15:00"/>
    <s v="Non Telecom Assyot"/>
    <d v="1899-12-30T11:00:00"/>
    <d v="1899-12-30T19:15:00"/>
    <n v="29700"/>
    <x v="0"/>
  </r>
  <r>
    <x v="0"/>
    <s v="Egypt"/>
    <x v="30"/>
    <x v="143"/>
    <x v="143"/>
    <m/>
    <m/>
    <s v="Break 15 Morning"/>
    <d v="1899-12-30T13:15:00"/>
    <d v="1899-12-30T13:30:00"/>
    <n v="0"/>
    <x v="1"/>
  </r>
  <r>
    <x v="0"/>
    <s v="Egypt"/>
    <x v="30"/>
    <x v="143"/>
    <x v="143"/>
    <m/>
    <m/>
    <s v="Break 30 Morning"/>
    <d v="1899-12-30T16:45:00"/>
    <d v="1899-12-30T17:15:00"/>
    <n v="0"/>
    <x v="1"/>
  </r>
  <r>
    <x v="0"/>
    <s v="Egypt"/>
    <x v="30"/>
    <x v="143"/>
    <x v="143"/>
    <d v="2025-06-28T00:00:00"/>
    <m/>
    <s v="Day Off"/>
    <m/>
    <m/>
    <n v="0"/>
    <x v="1"/>
  </r>
  <r>
    <x v="0"/>
    <s v="Egypt"/>
    <x v="30"/>
    <x v="143"/>
    <x v="143"/>
    <d v="2025-06-29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00:00"/>
    <d v="1899-12-30T11:15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3"/>
    <x v="143"/>
    <d v="2025-06-30T00:00:00"/>
    <d v="1899-12-30T08:15:00"/>
    <s v="Non Telecom Assyot"/>
    <d v="1899-12-30T09:00:00"/>
    <d v="1899-12-30T17:15:00"/>
    <n v="29700"/>
    <x v="0"/>
  </r>
  <r>
    <x v="0"/>
    <s v="Egypt"/>
    <x v="30"/>
    <x v="143"/>
    <x v="143"/>
    <m/>
    <m/>
    <s v="Break 15 Morning"/>
    <d v="1899-12-30T11:30:00"/>
    <d v="1899-12-30T11:45:00"/>
    <n v="0"/>
    <x v="1"/>
  </r>
  <r>
    <x v="0"/>
    <s v="Egypt"/>
    <x v="30"/>
    <x v="143"/>
    <x v="143"/>
    <m/>
    <m/>
    <s v="Break 30 Morning"/>
    <d v="1899-12-30T14:15:00"/>
    <d v="1899-12-30T14:45:00"/>
    <n v="0"/>
    <x v="1"/>
  </r>
  <r>
    <x v="0"/>
    <s v="Egypt"/>
    <x v="30"/>
    <x v="144"/>
    <x v="144"/>
    <d v="2025-06-01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2:15:00"/>
    <d v="1899-12-30T12:30:00"/>
    <n v="0"/>
    <x v="1"/>
  </r>
  <r>
    <x v="0"/>
    <s v="Egypt"/>
    <x v="30"/>
    <x v="144"/>
    <x v="144"/>
    <m/>
    <m/>
    <s v="Break 30 Morning"/>
    <d v="1899-12-30T15:45:00"/>
    <d v="1899-12-30T16:15:00"/>
    <n v="0"/>
    <x v="1"/>
  </r>
  <r>
    <x v="0"/>
    <s v="Egypt"/>
    <x v="30"/>
    <x v="144"/>
    <x v="144"/>
    <d v="2025-06-02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2:15:00"/>
    <d v="1899-12-30T12:30:00"/>
    <n v="0"/>
    <x v="1"/>
  </r>
  <r>
    <x v="0"/>
    <s v="Egypt"/>
    <x v="30"/>
    <x v="144"/>
    <x v="144"/>
    <m/>
    <m/>
    <s v="Break 30 Morning"/>
    <d v="1899-12-30T15:15:00"/>
    <d v="1899-12-30T15:45:00"/>
    <n v="0"/>
    <x v="1"/>
  </r>
  <r>
    <x v="0"/>
    <s v="Egypt"/>
    <x v="30"/>
    <x v="144"/>
    <x v="144"/>
    <d v="2025-06-03T00:00:00"/>
    <m/>
    <s v="Day Off"/>
    <m/>
    <m/>
    <n v="0"/>
    <x v="1"/>
  </r>
  <r>
    <x v="0"/>
    <s v="Egypt"/>
    <x v="30"/>
    <x v="144"/>
    <x v="144"/>
    <d v="2025-06-04T00:00:00"/>
    <m/>
    <s v="Day Off"/>
    <m/>
    <m/>
    <n v="0"/>
    <x v="1"/>
  </r>
  <r>
    <x v="0"/>
    <s v="Egypt"/>
    <x v="30"/>
    <x v="144"/>
    <x v="144"/>
    <d v="2025-06-05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30:00"/>
    <d v="1899-12-30T11:45:00"/>
    <n v="0"/>
    <x v="1"/>
  </r>
  <r>
    <x v="0"/>
    <s v="Egypt"/>
    <x v="30"/>
    <x v="144"/>
    <x v="144"/>
    <m/>
    <m/>
    <s v="Break 30 Morning"/>
    <d v="1899-12-30T14:45:00"/>
    <d v="1899-12-30T15:15:00"/>
    <n v="0"/>
    <x v="1"/>
  </r>
  <r>
    <x v="0"/>
    <s v="Egypt"/>
    <x v="30"/>
    <x v="144"/>
    <x v="144"/>
    <d v="2025-06-06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4:00:00"/>
    <d v="1899-12-30T14:15:00"/>
    <n v="0"/>
    <x v="1"/>
  </r>
  <r>
    <x v="0"/>
    <s v="Egypt"/>
    <x v="30"/>
    <x v="144"/>
    <x v="144"/>
    <m/>
    <m/>
    <s v="Break 30 Morning"/>
    <d v="1899-12-30T17:15:00"/>
    <d v="1899-12-30T17:45:00"/>
    <n v="0"/>
    <x v="1"/>
  </r>
  <r>
    <x v="0"/>
    <s v="Egypt"/>
    <x v="30"/>
    <x v="144"/>
    <x v="144"/>
    <d v="2025-06-07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00:00"/>
    <d v="1899-12-30T11:15:00"/>
    <n v="0"/>
    <x v="1"/>
  </r>
  <r>
    <x v="0"/>
    <s v="Egypt"/>
    <x v="30"/>
    <x v="144"/>
    <x v="144"/>
    <m/>
    <m/>
    <s v="Break 30 Morning"/>
    <d v="1899-12-30T14:15:00"/>
    <d v="1899-12-30T14:45:00"/>
    <n v="0"/>
    <x v="1"/>
  </r>
  <r>
    <x v="0"/>
    <s v="Egypt"/>
    <x v="30"/>
    <x v="144"/>
    <x v="144"/>
    <d v="2025-06-08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30:00"/>
    <d v="1899-12-30T11:45:00"/>
    <n v="0"/>
    <x v="1"/>
  </r>
  <r>
    <x v="0"/>
    <s v="Egypt"/>
    <x v="30"/>
    <x v="144"/>
    <x v="144"/>
    <m/>
    <m/>
    <s v="Break 30 Morning"/>
    <d v="1899-12-30T14:45:00"/>
    <d v="1899-12-30T15:15:00"/>
    <n v="0"/>
    <x v="1"/>
  </r>
  <r>
    <x v="0"/>
    <s v="Egypt"/>
    <x v="30"/>
    <x v="144"/>
    <x v="144"/>
    <d v="2025-06-09T00:00:00"/>
    <m/>
    <s v="Day Off"/>
    <m/>
    <m/>
    <n v="0"/>
    <x v="1"/>
  </r>
  <r>
    <x v="0"/>
    <s v="Egypt"/>
    <x v="30"/>
    <x v="144"/>
    <x v="144"/>
    <d v="2025-06-10T00:00:00"/>
    <m/>
    <s v="Day Off"/>
    <m/>
    <m/>
    <n v="0"/>
    <x v="1"/>
  </r>
  <r>
    <x v="0"/>
    <s v="Egypt"/>
    <x v="30"/>
    <x v="144"/>
    <x v="144"/>
    <d v="2025-06-11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2:00:00"/>
    <d v="1899-12-30T12:15:00"/>
    <n v="0"/>
    <x v="1"/>
  </r>
  <r>
    <x v="0"/>
    <s v="Egypt"/>
    <x v="30"/>
    <x v="144"/>
    <x v="144"/>
    <m/>
    <m/>
    <s v="Break 30 Morning"/>
    <d v="1899-12-30T15:15:00"/>
    <d v="1899-12-30T15:45:00"/>
    <n v="0"/>
    <x v="1"/>
  </r>
  <r>
    <x v="0"/>
    <s v="Egypt"/>
    <x v="30"/>
    <x v="144"/>
    <x v="144"/>
    <d v="2025-06-12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15:00"/>
    <d v="1899-12-30T13:30:00"/>
    <n v="0"/>
    <x v="1"/>
  </r>
  <r>
    <x v="0"/>
    <s v="Egypt"/>
    <x v="30"/>
    <x v="144"/>
    <x v="144"/>
    <m/>
    <m/>
    <s v="Break 30 Morning"/>
    <d v="1899-12-30T16:15:00"/>
    <d v="1899-12-30T16:45:00"/>
    <n v="0"/>
    <x v="1"/>
  </r>
  <r>
    <x v="0"/>
    <s v="Egypt"/>
    <x v="30"/>
    <x v="144"/>
    <x v="144"/>
    <d v="2025-06-13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15:00"/>
    <d v="1899-12-30T13:30:00"/>
    <n v="0"/>
    <x v="1"/>
  </r>
  <r>
    <x v="0"/>
    <s v="Egypt"/>
    <x v="30"/>
    <x v="144"/>
    <x v="144"/>
    <m/>
    <m/>
    <s v="Break 30 Morning"/>
    <d v="1899-12-30T16:30:00"/>
    <d v="1899-12-30T17:00:00"/>
    <n v="0"/>
    <x v="1"/>
  </r>
  <r>
    <x v="0"/>
    <s v="Egypt"/>
    <x v="30"/>
    <x v="144"/>
    <x v="144"/>
    <d v="2025-06-14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30:00"/>
    <d v="1899-12-30T13:45:00"/>
    <n v="0"/>
    <x v="1"/>
  </r>
  <r>
    <x v="0"/>
    <s v="Egypt"/>
    <x v="30"/>
    <x v="144"/>
    <x v="144"/>
    <m/>
    <m/>
    <s v="Break 30 Morning"/>
    <d v="1899-12-30T16:45:00"/>
    <d v="1899-12-30T17:15:00"/>
    <n v="0"/>
    <x v="1"/>
  </r>
  <r>
    <x v="0"/>
    <s v="Egypt"/>
    <x v="30"/>
    <x v="144"/>
    <x v="144"/>
    <d v="2025-06-15T00:00:00"/>
    <m/>
    <s v="Day Off"/>
    <m/>
    <m/>
    <n v="0"/>
    <x v="1"/>
  </r>
  <r>
    <x v="0"/>
    <s v="Egypt"/>
    <x v="30"/>
    <x v="144"/>
    <x v="144"/>
    <d v="2025-06-16T00:00:00"/>
    <m/>
    <s v="Day Off"/>
    <m/>
    <m/>
    <n v="0"/>
    <x v="1"/>
  </r>
  <r>
    <x v="0"/>
    <s v="Egypt"/>
    <x v="30"/>
    <x v="144"/>
    <x v="144"/>
    <d v="2025-06-17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15:00"/>
    <d v="1899-12-30T11:30:00"/>
    <n v="0"/>
    <x v="1"/>
  </r>
  <r>
    <x v="0"/>
    <s v="Egypt"/>
    <x v="30"/>
    <x v="144"/>
    <x v="144"/>
    <m/>
    <m/>
    <s v="Break 30 Morning"/>
    <d v="1899-12-30T14:15:00"/>
    <d v="1899-12-30T14:45:00"/>
    <n v="0"/>
    <x v="1"/>
  </r>
  <r>
    <x v="0"/>
    <s v="Egypt"/>
    <x v="30"/>
    <x v="144"/>
    <x v="144"/>
    <d v="2025-06-18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30:00"/>
    <d v="1899-12-30T11:45:00"/>
    <n v="0"/>
    <x v="1"/>
  </r>
  <r>
    <x v="0"/>
    <s v="Egypt"/>
    <x v="30"/>
    <x v="144"/>
    <x v="144"/>
    <m/>
    <m/>
    <s v="Break 30 Morning"/>
    <d v="1899-12-30T14:15:00"/>
    <d v="1899-12-30T14:45:00"/>
    <n v="0"/>
    <x v="1"/>
  </r>
  <r>
    <x v="0"/>
    <s v="Egypt"/>
    <x v="30"/>
    <x v="144"/>
    <x v="144"/>
    <d v="2025-06-19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30:00"/>
    <d v="1899-12-30T11:45:00"/>
    <n v="0"/>
    <x v="1"/>
  </r>
  <r>
    <x v="0"/>
    <s v="Egypt"/>
    <x v="30"/>
    <x v="144"/>
    <x v="144"/>
    <m/>
    <m/>
    <s v="Break 30 Morning"/>
    <d v="1899-12-30T14:15:00"/>
    <d v="1899-12-30T14:45:00"/>
    <n v="0"/>
    <x v="1"/>
  </r>
  <r>
    <x v="0"/>
    <s v="Egypt"/>
    <x v="30"/>
    <x v="144"/>
    <x v="144"/>
    <d v="2025-06-20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1:00:00"/>
    <d v="1899-12-30T11:15:00"/>
    <n v="0"/>
    <x v="1"/>
  </r>
  <r>
    <x v="0"/>
    <s v="Egypt"/>
    <x v="30"/>
    <x v="144"/>
    <x v="144"/>
    <m/>
    <m/>
    <s v="Break 30 Morning"/>
    <d v="1899-12-30T13:45:00"/>
    <d v="1899-12-30T14:15:00"/>
    <n v="0"/>
    <x v="1"/>
  </r>
  <r>
    <x v="0"/>
    <s v="Egypt"/>
    <x v="30"/>
    <x v="144"/>
    <x v="144"/>
    <d v="2025-06-21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2:45:00"/>
    <d v="1899-12-30T13:00:00"/>
    <n v="0"/>
    <x v="1"/>
  </r>
  <r>
    <x v="0"/>
    <s v="Egypt"/>
    <x v="30"/>
    <x v="144"/>
    <x v="144"/>
    <m/>
    <m/>
    <s v="Break 30 Morning"/>
    <d v="1899-12-30T15:45:00"/>
    <d v="1899-12-30T16:15:00"/>
    <n v="0"/>
    <x v="1"/>
  </r>
  <r>
    <x v="0"/>
    <s v="Egypt"/>
    <x v="30"/>
    <x v="144"/>
    <x v="144"/>
    <d v="2025-06-22T00:00:00"/>
    <m/>
    <s v="Day Off"/>
    <m/>
    <m/>
    <n v="0"/>
    <x v="1"/>
  </r>
  <r>
    <x v="0"/>
    <s v="Egypt"/>
    <x v="30"/>
    <x v="144"/>
    <x v="144"/>
    <d v="2025-06-23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15:00"/>
    <d v="1899-12-30T13:30:00"/>
    <n v="0"/>
    <x v="1"/>
  </r>
  <r>
    <x v="0"/>
    <s v="Egypt"/>
    <x v="30"/>
    <x v="144"/>
    <x v="144"/>
    <m/>
    <m/>
    <s v="Break 30 Morning"/>
    <d v="1899-12-30T15:45:00"/>
    <d v="1899-12-30T16:15:00"/>
    <n v="0"/>
    <x v="1"/>
  </r>
  <r>
    <x v="0"/>
    <s v="Egypt"/>
    <x v="30"/>
    <x v="144"/>
    <x v="144"/>
    <d v="2025-06-24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30:00"/>
    <d v="1899-12-30T13:45:00"/>
    <n v="0"/>
    <x v="1"/>
  </r>
  <r>
    <x v="0"/>
    <s v="Egypt"/>
    <x v="30"/>
    <x v="144"/>
    <x v="144"/>
    <m/>
    <m/>
    <s v="Break 30 Morning"/>
    <d v="1899-12-30T16:45:00"/>
    <d v="1899-12-30T17:15:00"/>
    <n v="0"/>
    <x v="1"/>
  </r>
  <r>
    <x v="0"/>
    <s v="Egypt"/>
    <x v="30"/>
    <x v="144"/>
    <x v="144"/>
    <d v="2025-06-25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30:00"/>
    <d v="1899-12-30T13:45:00"/>
    <n v="0"/>
    <x v="1"/>
  </r>
  <r>
    <x v="0"/>
    <s v="Egypt"/>
    <x v="30"/>
    <x v="144"/>
    <x v="144"/>
    <m/>
    <m/>
    <s v="Break 30 Morning"/>
    <d v="1899-12-30T16:15:00"/>
    <d v="1899-12-30T16:45:00"/>
    <n v="0"/>
    <x v="1"/>
  </r>
  <r>
    <x v="0"/>
    <s v="Egypt"/>
    <x v="30"/>
    <x v="144"/>
    <x v="144"/>
    <d v="2025-06-26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15:00"/>
    <d v="1899-12-30T13:30:00"/>
    <n v="0"/>
    <x v="1"/>
  </r>
  <r>
    <x v="0"/>
    <s v="Egypt"/>
    <x v="30"/>
    <x v="144"/>
    <x v="144"/>
    <m/>
    <m/>
    <s v="Break 30 Morning"/>
    <d v="1899-12-30T16:45:00"/>
    <d v="1899-12-30T17:15:00"/>
    <n v="0"/>
    <x v="1"/>
  </r>
  <r>
    <x v="0"/>
    <s v="Egypt"/>
    <x v="30"/>
    <x v="144"/>
    <x v="144"/>
    <d v="2025-06-27T00:00:00"/>
    <d v="1899-12-30T08:15:00"/>
    <s v="Non Telecom Assyot"/>
    <d v="1899-12-30T11:00:00"/>
    <d v="1899-12-30T19:15:00"/>
    <n v="29700"/>
    <x v="0"/>
  </r>
  <r>
    <x v="0"/>
    <s v="Egypt"/>
    <x v="30"/>
    <x v="144"/>
    <x v="144"/>
    <m/>
    <m/>
    <s v="Break 15 Morning"/>
    <d v="1899-12-30T13:45:00"/>
    <d v="1899-12-30T14:00:00"/>
    <n v="0"/>
    <x v="1"/>
  </r>
  <r>
    <x v="0"/>
    <s v="Egypt"/>
    <x v="30"/>
    <x v="144"/>
    <x v="144"/>
    <m/>
    <m/>
    <s v="Break 30 Morning"/>
    <d v="1899-12-30T17:15:00"/>
    <d v="1899-12-30T17:45:00"/>
    <n v="0"/>
    <x v="1"/>
  </r>
  <r>
    <x v="0"/>
    <s v="Egypt"/>
    <x v="30"/>
    <x v="144"/>
    <x v="144"/>
    <d v="2025-06-28T00:00:00"/>
    <m/>
    <s v="Day Off"/>
    <m/>
    <m/>
    <n v="0"/>
    <x v="1"/>
  </r>
  <r>
    <x v="0"/>
    <s v="Egypt"/>
    <x v="30"/>
    <x v="144"/>
    <x v="144"/>
    <d v="2025-06-29T00:00:00"/>
    <d v="1899-12-30T08:15:00"/>
    <s v="Annual Exception"/>
    <m/>
    <m/>
    <n v="29700"/>
    <x v="1"/>
  </r>
  <r>
    <x v="0"/>
    <s v="Egypt"/>
    <x v="30"/>
    <x v="144"/>
    <x v="144"/>
    <d v="2025-06-30T00:00:00"/>
    <d v="1899-12-30T08:15:00"/>
    <s v="Non Telecom Assyot"/>
    <d v="1899-12-30T09:00:00"/>
    <d v="1899-12-30T17:15:00"/>
    <n v="29700"/>
    <x v="0"/>
  </r>
  <r>
    <x v="0"/>
    <s v="Egypt"/>
    <x v="30"/>
    <x v="144"/>
    <x v="144"/>
    <m/>
    <m/>
    <s v="Break 15 Morning"/>
    <d v="1899-12-30T12:00:00"/>
    <d v="1899-12-30T12:15:00"/>
    <n v="0"/>
    <x v="1"/>
  </r>
  <r>
    <x v="0"/>
    <s v="Egypt"/>
    <x v="30"/>
    <x v="144"/>
    <x v="144"/>
    <m/>
    <m/>
    <s v="Break 30 Morning"/>
    <d v="1899-12-30T14:45:00"/>
    <d v="1899-12-30T15:15:00"/>
    <n v="0"/>
    <x v="1"/>
  </r>
  <r>
    <x v="0"/>
    <s v="Egypt"/>
    <x v="30"/>
    <x v="145"/>
    <x v="145"/>
    <d v="2025-06-01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45:00"/>
    <d v="1899-12-30T14:00:00"/>
    <n v="0"/>
    <x v="1"/>
  </r>
  <r>
    <x v="0"/>
    <s v="Egypt"/>
    <x v="30"/>
    <x v="145"/>
    <x v="145"/>
    <m/>
    <m/>
    <s v="Break 30 Morning"/>
    <d v="1899-12-30T17:30:00"/>
    <d v="1899-12-30T18:00:00"/>
    <n v="0"/>
    <x v="1"/>
  </r>
  <r>
    <x v="0"/>
    <s v="Egypt"/>
    <x v="30"/>
    <x v="145"/>
    <x v="145"/>
    <d v="2025-06-02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45:00"/>
    <d v="1899-12-30T17:15:00"/>
    <n v="0"/>
    <x v="1"/>
  </r>
  <r>
    <x v="0"/>
    <s v="Egypt"/>
    <x v="30"/>
    <x v="145"/>
    <x v="145"/>
    <d v="2025-06-03T00:00:00"/>
    <m/>
    <s v="Day Off"/>
    <m/>
    <m/>
    <n v="0"/>
    <x v="1"/>
  </r>
  <r>
    <x v="0"/>
    <s v="Egypt"/>
    <x v="30"/>
    <x v="145"/>
    <x v="145"/>
    <d v="2025-06-04T00:00:00"/>
    <m/>
    <s v="Day Off"/>
    <m/>
    <m/>
    <n v="0"/>
    <x v="1"/>
  </r>
  <r>
    <x v="0"/>
    <s v="Egypt"/>
    <x v="30"/>
    <x v="145"/>
    <x v="145"/>
    <d v="2025-06-05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1:45:00"/>
    <d v="1899-12-30T12:00:00"/>
    <n v="0"/>
    <x v="1"/>
  </r>
  <r>
    <x v="0"/>
    <s v="Egypt"/>
    <x v="30"/>
    <x v="145"/>
    <x v="145"/>
    <m/>
    <m/>
    <s v="Break 30 Morning"/>
    <d v="1899-12-30T14:45:00"/>
    <d v="1899-12-30T15:15:00"/>
    <n v="0"/>
    <x v="1"/>
  </r>
  <r>
    <x v="0"/>
    <s v="Egypt"/>
    <x v="30"/>
    <x v="145"/>
    <x v="145"/>
    <d v="2025-06-06T00:00:00"/>
    <d v="1899-12-30T08:15:00"/>
    <s v="Public holiday"/>
    <m/>
    <m/>
    <n v="29700"/>
    <x v="1"/>
  </r>
  <r>
    <x v="0"/>
    <s v="Egypt"/>
    <x v="30"/>
    <x v="145"/>
    <x v="145"/>
    <d v="2025-06-07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1:15:00"/>
    <d v="1899-12-30T11:30:00"/>
    <n v="0"/>
    <x v="1"/>
  </r>
  <r>
    <x v="0"/>
    <s v="Egypt"/>
    <x v="30"/>
    <x v="145"/>
    <x v="145"/>
    <m/>
    <m/>
    <s v="Break 30 Morning"/>
    <d v="1899-12-30T14:30:00"/>
    <d v="1899-12-30T15:00:00"/>
    <n v="0"/>
    <x v="1"/>
  </r>
  <r>
    <x v="0"/>
    <s v="Egypt"/>
    <x v="30"/>
    <x v="145"/>
    <x v="145"/>
    <d v="2025-06-08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1:45:00"/>
    <d v="1899-12-30T12:00:00"/>
    <n v="0"/>
    <x v="1"/>
  </r>
  <r>
    <x v="0"/>
    <s v="Egypt"/>
    <x v="30"/>
    <x v="145"/>
    <x v="145"/>
    <m/>
    <m/>
    <s v="Break 30 Morning"/>
    <d v="1899-12-30T14:45:00"/>
    <d v="1899-12-30T15:15:00"/>
    <n v="0"/>
    <x v="1"/>
  </r>
  <r>
    <x v="0"/>
    <s v="Egypt"/>
    <x v="30"/>
    <x v="145"/>
    <x v="145"/>
    <d v="2025-06-09T00:00:00"/>
    <m/>
    <s v="Day Off"/>
    <m/>
    <m/>
    <n v="0"/>
    <x v="1"/>
  </r>
  <r>
    <x v="0"/>
    <s v="Egypt"/>
    <x v="30"/>
    <x v="145"/>
    <x v="145"/>
    <d v="2025-06-10T00:00:00"/>
    <m/>
    <s v="Day Off"/>
    <m/>
    <m/>
    <n v="0"/>
    <x v="1"/>
  </r>
  <r>
    <x v="0"/>
    <s v="Egypt"/>
    <x v="30"/>
    <x v="145"/>
    <x v="145"/>
    <d v="2025-06-11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45:00"/>
    <d v="1899-12-30T17:15:00"/>
    <n v="0"/>
    <x v="1"/>
  </r>
  <r>
    <x v="0"/>
    <s v="Egypt"/>
    <x v="30"/>
    <x v="145"/>
    <x v="145"/>
    <d v="2025-06-12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45:00"/>
    <d v="1899-12-30T17:15:00"/>
    <n v="0"/>
    <x v="1"/>
  </r>
  <r>
    <x v="0"/>
    <s v="Egypt"/>
    <x v="30"/>
    <x v="145"/>
    <x v="145"/>
    <d v="2025-06-13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30:00"/>
    <d v="1899-12-30T17:00:00"/>
    <n v="0"/>
    <x v="1"/>
  </r>
  <r>
    <x v="0"/>
    <s v="Egypt"/>
    <x v="30"/>
    <x v="145"/>
    <x v="145"/>
    <d v="2025-06-14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45:00"/>
    <d v="1899-12-30T17:15:00"/>
    <n v="0"/>
    <x v="1"/>
  </r>
  <r>
    <x v="0"/>
    <s v="Egypt"/>
    <x v="30"/>
    <x v="145"/>
    <x v="145"/>
    <d v="2025-06-15T00:00:00"/>
    <m/>
    <s v="Day Off"/>
    <m/>
    <m/>
    <n v="0"/>
    <x v="1"/>
  </r>
  <r>
    <x v="0"/>
    <s v="Egypt"/>
    <x v="30"/>
    <x v="145"/>
    <x v="145"/>
    <d v="2025-06-16T00:00:00"/>
    <m/>
    <s v="Day Off"/>
    <m/>
    <m/>
    <n v="0"/>
    <x v="1"/>
  </r>
  <r>
    <x v="0"/>
    <s v="Egypt"/>
    <x v="30"/>
    <x v="145"/>
    <x v="145"/>
    <d v="2025-06-17T00:00:00"/>
    <d v="1899-12-30T08:15:00"/>
    <s v="Annual Exception"/>
    <m/>
    <m/>
    <n v="29700"/>
    <x v="1"/>
  </r>
  <r>
    <x v="0"/>
    <s v="Egypt"/>
    <x v="30"/>
    <x v="145"/>
    <x v="145"/>
    <d v="2025-06-18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1:45:00"/>
    <d v="1899-12-30T12:00:00"/>
    <n v="0"/>
    <x v="1"/>
  </r>
  <r>
    <x v="0"/>
    <s v="Egypt"/>
    <x v="30"/>
    <x v="145"/>
    <x v="145"/>
    <m/>
    <m/>
    <s v="Break 30 Morning"/>
    <d v="1899-12-30T14:15:00"/>
    <d v="1899-12-30T14:45:00"/>
    <n v="0"/>
    <x v="1"/>
  </r>
  <r>
    <x v="0"/>
    <s v="Egypt"/>
    <x v="30"/>
    <x v="145"/>
    <x v="145"/>
    <d v="2025-06-19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1:30:00"/>
    <d v="1899-12-30T11:45:00"/>
    <n v="0"/>
    <x v="1"/>
  </r>
  <r>
    <x v="0"/>
    <s v="Egypt"/>
    <x v="30"/>
    <x v="145"/>
    <x v="145"/>
    <m/>
    <m/>
    <s v="Break 30 Morning"/>
    <d v="1899-12-30T14:15:00"/>
    <d v="1899-12-30T14:45:00"/>
    <n v="0"/>
    <x v="1"/>
  </r>
  <r>
    <x v="0"/>
    <s v="Egypt"/>
    <x v="30"/>
    <x v="145"/>
    <x v="145"/>
    <d v="2025-06-20T00:00:00"/>
    <d v="1899-12-30T08:15:00"/>
    <s v="Annual Exception"/>
    <m/>
    <m/>
    <n v="29700"/>
    <x v="1"/>
  </r>
  <r>
    <x v="0"/>
    <s v="Egypt"/>
    <x v="30"/>
    <x v="145"/>
    <x v="145"/>
    <d v="2025-06-21T00:00:00"/>
    <d v="1899-12-30T08:15:00"/>
    <s v="Annual Exception"/>
    <m/>
    <m/>
    <n v="29700"/>
    <x v="1"/>
  </r>
  <r>
    <x v="0"/>
    <s v="Egypt"/>
    <x v="30"/>
    <x v="145"/>
    <x v="145"/>
    <d v="2025-06-22T00:00:00"/>
    <m/>
    <s v="Day Off"/>
    <m/>
    <m/>
    <n v="0"/>
    <x v="1"/>
  </r>
  <r>
    <x v="0"/>
    <s v="Egypt"/>
    <x v="30"/>
    <x v="145"/>
    <x v="145"/>
    <d v="2025-06-23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30:00"/>
    <d v="1899-12-30T13:45:00"/>
    <n v="0"/>
    <x v="1"/>
  </r>
  <r>
    <x v="0"/>
    <s v="Egypt"/>
    <x v="30"/>
    <x v="145"/>
    <x v="145"/>
    <m/>
    <m/>
    <s v="Break 30 Morning"/>
    <d v="1899-12-30T16:15:00"/>
    <d v="1899-12-30T16:45:00"/>
    <n v="0"/>
    <x v="1"/>
  </r>
  <r>
    <x v="0"/>
    <s v="Egypt"/>
    <x v="30"/>
    <x v="145"/>
    <x v="145"/>
    <d v="2025-06-24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45:00"/>
    <d v="1899-12-30T14:00:00"/>
    <n v="0"/>
    <x v="1"/>
  </r>
  <r>
    <x v="0"/>
    <s v="Egypt"/>
    <x v="30"/>
    <x v="145"/>
    <x v="145"/>
    <m/>
    <m/>
    <s v="Break 30 Morning"/>
    <d v="1899-12-30T16:45:00"/>
    <d v="1899-12-30T17:15:00"/>
    <n v="0"/>
    <x v="1"/>
  </r>
  <r>
    <x v="0"/>
    <s v="Egypt"/>
    <x v="30"/>
    <x v="145"/>
    <x v="145"/>
    <d v="2025-06-25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45:00"/>
    <d v="1899-12-30T14:00:00"/>
    <n v="0"/>
    <x v="1"/>
  </r>
  <r>
    <x v="0"/>
    <s v="Egypt"/>
    <x v="30"/>
    <x v="145"/>
    <x v="145"/>
    <m/>
    <m/>
    <s v="Break 30 Morning"/>
    <d v="1899-12-30T16:15:00"/>
    <d v="1899-12-30T16:45:00"/>
    <n v="0"/>
    <x v="1"/>
  </r>
  <r>
    <x v="0"/>
    <s v="Egypt"/>
    <x v="30"/>
    <x v="145"/>
    <x v="145"/>
    <d v="2025-06-26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3:15:00"/>
    <d v="1899-12-30T13:30:00"/>
    <n v="0"/>
    <x v="1"/>
  </r>
  <r>
    <x v="0"/>
    <s v="Egypt"/>
    <x v="30"/>
    <x v="145"/>
    <x v="145"/>
    <m/>
    <m/>
    <s v="Break 30 Morning"/>
    <d v="1899-12-30T17:00:00"/>
    <d v="1899-12-30T17:30:00"/>
    <n v="0"/>
    <x v="1"/>
  </r>
  <r>
    <x v="0"/>
    <s v="Egypt"/>
    <x v="30"/>
    <x v="145"/>
    <x v="145"/>
    <d v="2025-06-27T00:00:00"/>
    <d v="1899-12-30T08:15:00"/>
    <s v="Non Telecom Assyot"/>
    <d v="1899-12-30T11:00:00"/>
    <d v="1899-12-30T19:15:00"/>
    <n v="29700"/>
    <x v="0"/>
  </r>
  <r>
    <x v="0"/>
    <s v="Egypt"/>
    <x v="30"/>
    <x v="145"/>
    <x v="145"/>
    <m/>
    <m/>
    <s v="Break 15 Morning"/>
    <d v="1899-12-30T14:00:00"/>
    <d v="1899-12-30T14:15:00"/>
    <n v="0"/>
    <x v="1"/>
  </r>
  <r>
    <x v="0"/>
    <s v="Egypt"/>
    <x v="30"/>
    <x v="145"/>
    <x v="145"/>
    <m/>
    <m/>
    <s v="Break 30 Morning"/>
    <d v="1899-12-30T17:15:00"/>
    <d v="1899-12-30T17:45:00"/>
    <n v="0"/>
    <x v="1"/>
  </r>
  <r>
    <x v="0"/>
    <s v="Egypt"/>
    <x v="30"/>
    <x v="145"/>
    <x v="145"/>
    <d v="2025-06-28T00:00:00"/>
    <m/>
    <s v="Day Off"/>
    <m/>
    <m/>
    <n v="0"/>
    <x v="1"/>
  </r>
  <r>
    <x v="0"/>
    <s v="Egypt"/>
    <x v="30"/>
    <x v="145"/>
    <x v="145"/>
    <d v="2025-06-29T00:00:00"/>
    <d v="1899-12-30T08:15:00"/>
    <s v="Annual Exception"/>
    <m/>
    <m/>
    <n v="29700"/>
    <x v="1"/>
  </r>
  <r>
    <x v="0"/>
    <s v="Egypt"/>
    <x v="30"/>
    <x v="145"/>
    <x v="145"/>
    <d v="2025-06-30T00:00:00"/>
    <d v="1899-12-30T08:15:00"/>
    <s v="Non Telecom Assyot"/>
    <d v="1899-12-30T09:00:00"/>
    <d v="1899-12-30T17:15:00"/>
    <n v="29700"/>
    <x v="0"/>
  </r>
  <r>
    <x v="0"/>
    <s v="Egypt"/>
    <x v="30"/>
    <x v="145"/>
    <x v="145"/>
    <m/>
    <m/>
    <s v="Break 15 Morning"/>
    <d v="1899-12-30T12:00:00"/>
    <d v="1899-12-30T12:15:00"/>
    <n v="0"/>
    <x v="1"/>
  </r>
  <r>
    <x v="0"/>
    <s v="Egypt"/>
    <x v="30"/>
    <x v="145"/>
    <x v="145"/>
    <m/>
    <m/>
    <s v="Break 30 Morning"/>
    <d v="1899-12-30T15:15:00"/>
    <d v="1899-12-30T15:45:00"/>
    <n v="0"/>
    <x v="1"/>
  </r>
  <r>
    <x v="0"/>
    <s v="Egypt"/>
    <x v="30"/>
    <x v="146"/>
    <x v="146"/>
    <d v="2025-06-05T00:00:00"/>
    <d v="1899-12-30T08:15:00"/>
    <s v="Public holiday"/>
    <m/>
    <m/>
    <n v="29700"/>
    <x v="1"/>
  </r>
  <r>
    <x v="0"/>
    <s v="Egypt"/>
    <x v="30"/>
    <x v="146"/>
    <x v="146"/>
    <d v="2025-06-06T00:00:00"/>
    <m/>
    <s v="Day Off"/>
    <m/>
    <m/>
    <n v="0"/>
    <x v="1"/>
  </r>
  <r>
    <x v="0"/>
    <s v="Egypt"/>
    <x v="30"/>
    <x v="146"/>
    <x v="146"/>
    <d v="2025-06-07T00:00:00"/>
    <m/>
    <s v="Day Off"/>
    <m/>
    <m/>
    <n v="0"/>
    <x v="1"/>
  </r>
  <r>
    <x v="0"/>
    <s v="Egypt"/>
    <x v="30"/>
    <x v="146"/>
    <x v="146"/>
    <d v="2025-06-08T00:00:00"/>
    <d v="1899-12-30T08:15:00"/>
    <s v="Public holiday"/>
    <m/>
    <m/>
    <n v="29700"/>
    <x v="1"/>
  </r>
  <r>
    <x v="0"/>
    <s v="Egypt"/>
    <x v="30"/>
    <x v="146"/>
    <x v="146"/>
    <d v="2025-06-09T00:00:00"/>
    <m/>
    <s v="Day Off"/>
    <m/>
    <m/>
    <n v="0"/>
    <x v="1"/>
  </r>
  <r>
    <x v="0"/>
    <s v="Egypt"/>
    <x v="30"/>
    <x v="146"/>
    <x v="146"/>
    <d v="2025-06-10T00:00:00"/>
    <m/>
    <s v="Day Off"/>
    <m/>
    <m/>
    <n v="0"/>
    <x v="1"/>
  </r>
  <r>
    <x v="0"/>
    <s v="Egypt"/>
    <x v="30"/>
    <x v="146"/>
    <x v="146"/>
    <d v="2025-06-11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15:00"/>
    <d v="1899-12-30T11:30:00"/>
    <n v="0"/>
    <x v="1"/>
  </r>
  <r>
    <x v="0"/>
    <s v="Egypt"/>
    <x v="30"/>
    <x v="146"/>
    <x v="146"/>
    <m/>
    <m/>
    <s v="One to One"/>
    <d v="1899-12-30T12:45:00"/>
    <d v="1899-12-30T13:00:00"/>
    <n v="0"/>
    <x v="1"/>
  </r>
  <r>
    <x v="0"/>
    <s v="Egypt"/>
    <x v="30"/>
    <x v="146"/>
    <x v="146"/>
    <m/>
    <m/>
    <s v="Break 30 Morning"/>
    <d v="1899-12-30T14:45:00"/>
    <d v="1899-12-30T15:15:00"/>
    <n v="0"/>
    <x v="1"/>
  </r>
  <r>
    <x v="0"/>
    <s v="Egypt"/>
    <x v="30"/>
    <x v="146"/>
    <x v="146"/>
    <d v="2025-06-12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30:00"/>
    <d v="1899-12-30T11:45:00"/>
    <n v="0"/>
    <x v="1"/>
  </r>
  <r>
    <x v="0"/>
    <s v="Egypt"/>
    <x v="30"/>
    <x v="146"/>
    <x v="146"/>
    <m/>
    <m/>
    <s v="One to One"/>
    <d v="1899-12-30T12:45:00"/>
    <d v="1899-12-30T13:00:00"/>
    <n v="0"/>
    <x v="1"/>
  </r>
  <r>
    <x v="0"/>
    <s v="Egypt"/>
    <x v="30"/>
    <x v="146"/>
    <x v="146"/>
    <m/>
    <m/>
    <s v="Break 30 Morning"/>
    <d v="1899-12-30T14:15:00"/>
    <d v="1899-12-30T14:45:00"/>
    <n v="0"/>
    <x v="1"/>
  </r>
  <r>
    <x v="0"/>
    <s v="Egypt"/>
    <x v="30"/>
    <x v="146"/>
    <x v="146"/>
    <d v="2025-06-13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15:00"/>
    <d v="1899-12-30T11:30:00"/>
    <n v="0"/>
    <x v="1"/>
  </r>
  <r>
    <x v="0"/>
    <s v="Egypt"/>
    <x v="30"/>
    <x v="146"/>
    <x v="146"/>
    <m/>
    <m/>
    <s v="One to One"/>
    <d v="1899-12-30T12:15:00"/>
    <d v="1899-12-30T12:30:00"/>
    <n v="0"/>
    <x v="1"/>
  </r>
  <r>
    <x v="0"/>
    <s v="Egypt"/>
    <x v="30"/>
    <x v="146"/>
    <x v="146"/>
    <m/>
    <m/>
    <s v="Break 30 Morning"/>
    <d v="1899-12-30T14:30:00"/>
    <d v="1899-12-30T15:00:00"/>
    <n v="0"/>
    <x v="1"/>
  </r>
  <r>
    <x v="0"/>
    <s v="Egypt"/>
    <x v="30"/>
    <x v="146"/>
    <x v="146"/>
    <d v="2025-06-14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2:00:00"/>
    <d v="1899-12-30T12:15:00"/>
    <n v="0"/>
    <x v="1"/>
  </r>
  <r>
    <x v="0"/>
    <s v="Egypt"/>
    <x v="30"/>
    <x v="146"/>
    <x v="146"/>
    <m/>
    <m/>
    <s v="One to One"/>
    <d v="1899-12-30T13:00:00"/>
    <d v="1899-12-30T13:15:00"/>
    <n v="0"/>
    <x v="1"/>
  </r>
  <r>
    <x v="0"/>
    <s v="Egypt"/>
    <x v="30"/>
    <x v="146"/>
    <x v="146"/>
    <m/>
    <m/>
    <s v="Break 30 Morning"/>
    <d v="1899-12-30T15:15:00"/>
    <d v="1899-12-30T15:45:00"/>
    <n v="0"/>
    <x v="1"/>
  </r>
  <r>
    <x v="0"/>
    <s v="Egypt"/>
    <x v="30"/>
    <x v="146"/>
    <x v="146"/>
    <d v="2025-06-15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2:00:00"/>
    <d v="1899-12-30T12:15:00"/>
    <n v="0"/>
    <x v="1"/>
  </r>
  <r>
    <x v="0"/>
    <s v="Egypt"/>
    <x v="30"/>
    <x v="146"/>
    <x v="146"/>
    <m/>
    <m/>
    <s v="Break 30 Morning"/>
    <d v="1899-12-30T15:15:00"/>
    <d v="1899-12-30T15:45:00"/>
    <n v="0"/>
    <x v="1"/>
  </r>
  <r>
    <x v="0"/>
    <s v="Egypt"/>
    <x v="30"/>
    <x v="146"/>
    <x v="146"/>
    <d v="2025-06-16T00:00:00"/>
    <m/>
    <s v="Day Off"/>
    <m/>
    <m/>
    <n v="0"/>
    <x v="1"/>
  </r>
  <r>
    <x v="0"/>
    <s v="Egypt"/>
    <x v="30"/>
    <x v="146"/>
    <x v="146"/>
    <d v="2025-06-17T00:00:00"/>
    <m/>
    <s v="Day Off"/>
    <m/>
    <m/>
    <n v="0"/>
    <x v="1"/>
  </r>
  <r>
    <x v="0"/>
    <s v="Egypt"/>
    <x v="30"/>
    <x v="146"/>
    <x v="146"/>
    <d v="2025-06-18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45:00"/>
    <d v="1899-12-30T12:00:00"/>
    <n v="0"/>
    <x v="1"/>
  </r>
  <r>
    <x v="0"/>
    <s v="Egypt"/>
    <x v="30"/>
    <x v="146"/>
    <x v="146"/>
    <m/>
    <m/>
    <s v="Break 30 Morning"/>
    <d v="1899-12-30T14:45:00"/>
    <d v="1899-12-30T15:15:00"/>
    <n v="0"/>
    <x v="1"/>
  </r>
  <r>
    <x v="0"/>
    <s v="Egypt"/>
    <x v="30"/>
    <x v="146"/>
    <x v="146"/>
    <d v="2025-06-19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45:00"/>
    <d v="1899-12-30T12:00:00"/>
    <n v="0"/>
    <x v="1"/>
  </r>
  <r>
    <x v="0"/>
    <s v="Egypt"/>
    <x v="30"/>
    <x v="146"/>
    <x v="146"/>
    <m/>
    <m/>
    <s v="Break 30 Morning"/>
    <d v="1899-12-30T14:45:00"/>
    <d v="1899-12-30T15:15:00"/>
    <n v="0"/>
    <x v="1"/>
  </r>
  <r>
    <x v="0"/>
    <s v="Egypt"/>
    <x v="30"/>
    <x v="146"/>
    <x v="146"/>
    <d v="2025-06-20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1:30:00"/>
    <d v="1899-12-30T11:45:00"/>
    <n v="0"/>
    <x v="1"/>
  </r>
  <r>
    <x v="0"/>
    <s v="Egypt"/>
    <x v="30"/>
    <x v="146"/>
    <x v="146"/>
    <m/>
    <m/>
    <s v="Break 30 Morning"/>
    <d v="1899-12-30T14:15:00"/>
    <d v="1899-12-30T14:45:00"/>
    <n v="0"/>
    <x v="1"/>
  </r>
  <r>
    <x v="0"/>
    <s v="Egypt"/>
    <x v="30"/>
    <x v="146"/>
    <x v="146"/>
    <d v="2025-06-21T00:00:00"/>
    <d v="1899-12-30T08:15:00"/>
    <s v="Non Telecom Assyot"/>
    <d v="1899-12-30T09:00:00"/>
    <d v="1899-12-30T17:15:00"/>
    <n v="29700"/>
    <x v="0"/>
  </r>
  <r>
    <x v="0"/>
    <s v="Egypt"/>
    <x v="30"/>
    <x v="146"/>
    <x v="146"/>
    <m/>
    <m/>
    <s v="Break 15 Morning"/>
    <d v="1899-12-30T12:00:00"/>
    <d v="1899-12-30T12:15:00"/>
    <n v="0"/>
    <x v="1"/>
  </r>
  <r>
    <x v="0"/>
    <s v="Egypt"/>
    <x v="30"/>
    <x v="146"/>
    <x v="146"/>
    <m/>
    <m/>
    <s v="Break 30 Morning"/>
    <d v="1899-12-30T14:45:00"/>
    <d v="1899-12-30T15:15:00"/>
    <n v="0"/>
    <x v="1"/>
  </r>
  <r>
    <x v="0"/>
    <s v="Egypt"/>
    <x v="30"/>
    <x v="146"/>
    <x v="146"/>
    <d v="2025-06-22T00:00:00"/>
    <m/>
    <s v="Day Off"/>
    <m/>
    <m/>
    <n v="0"/>
    <x v="1"/>
  </r>
  <r>
    <x v="0"/>
    <s v="Egypt"/>
    <x v="30"/>
    <x v="146"/>
    <x v="146"/>
    <d v="2025-06-23T00:00:00"/>
    <m/>
    <s v="Day Off"/>
    <m/>
    <m/>
    <n v="0"/>
    <x v="1"/>
  </r>
  <r>
    <x v="0"/>
    <s v="Egypt"/>
    <x v="30"/>
    <x v="146"/>
    <x v="146"/>
    <d v="2025-06-24T00:00:00"/>
    <d v="1899-12-30T08:15:00"/>
    <s v="Non Telecom Assyot"/>
    <d v="1899-12-30T11:00:00"/>
    <d v="1899-12-30T19:15:00"/>
    <n v="29700"/>
    <x v="0"/>
  </r>
  <r>
    <x v="0"/>
    <s v="Egypt"/>
    <x v="30"/>
    <x v="146"/>
    <x v="146"/>
    <m/>
    <m/>
    <s v="Break 15 Morning"/>
    <d v="1899-12-30T13:45:00"/>
    <d v="1899-12-30T14:00:00"/>
    <n v="0"/>
    <x v="1"/>
  </r>
  <r>
    <x v="0"/>
    <s v="Egypt"/>
    <x v="30"/>
    <x v="146"/>
    <x v="146"/>
    <m/>
    <m/>
    <s v="Break 30 Morning"/>
    <d v="1899-12-30T16:45:00"/>
    <d v="1899-12-30T17:15:00"/>
    <n v="0"/>
    <x v="1"/>
  </r>
  <r>
    <x v="0"/>
    <s v="Egypt"/>
    <x v="30"/>
    <x v="146"/>
    <x v="146"/>
    <d v="2025-06-25T00:00:00"/>
    <d v="1899-12-30T08:15:00"/>
    <s v="Non Telecom Assyot"/>
    <d v="1899-12-30T11:00:00"/>
    <d v="1899-12-30T19:15:00"/>
    <n v="29700"/>
    <x v="0"/>
  </r>
  <r>
    <x v="0"/>
    <s v="Egypt"/>
    <x v="30"/>
    <x v="146"/>
    <x v="146"/>
    <m/>
    <m/>
    <s v="Break 15 Morning"/>
    <d v="1899-12-30T13:45:00"/>
    <d v="1899-12-30T14:00:00"/>
    <n v="0"/>
    <x v="1"/>
  </r>
  <r>
    <x v="0"/>
    <s v="Egypt"/>
    <x v="30"/>
    <x v="146"/>
    <x v="146"/>
    <m/>
    <m/>
    <s v="Break 30 Morning"/>
    <d v="1899-12-30T16:15:00"/>
    <d v="1899-12-30T16:45:00"/>
    <n v="0"/>
    <x v="1"/>
  </r>
  <r>
    <x v="0"/>
    <s v="Egypt"/>
    <x v="30"/>
    <x v="146"/>
    <x v="146"/>
    <d v="2025-06-26T00:00:00"/>
    <d v="1899-12-30T08:15:00"/>
    <s v="Non Telecom Assyot"/>
    <d v="1899-12-30T11:00:00"/>
    <d v="1899-12-30T19:15:00"/>
    <n v="29700"/>
    <x v="0"/>
  </r>
  <r>
    <x v="0"/>
    <s v="Egypt"/>
    <x v="30"/>
    <x v="146"/>
    <x v="146"/>
    <m/>
    <m/>
    <s v="Break 15 Morning"/>
    <d v="1899-12-30T13:30:00"/>
    <d v="1899-12-30T13:45:00"/>
    <n v="0"/>
    <x v="1"/>
  </r>
  <r>
    <x v="0"/>
    <s v="Egypt"/>
    <x v="30"/>
    <x v="146"/>
    <x v="146"/>
    <m/>
    <m/>
    <s v="Break 30 Morning"/>
    <d v="1899-12-30T17:00:00"/>
    <d v="1899-12-30T17:30:00"/>
    <n v="0"/>
    <x v="1"/>
  </r>
  <r>
    <x v="0"/>
    <s v="Egypt"/>
    <x v="30"/>
    <x v="146"/>
    <x v="146"/>
    <d v="2025-06-27T00:00:00"/>
    <d v="1899-12-30T08:15:00"/>
    <s v="Non Telecom Assyot"/>
    <d v="1899-12-30T11:00:00"/>
    <d v="1899-12-30T19:15:00"/>
    <n v="29700"/>
    <x v="0"/>
  </r>
  <r>
    <x v="0"/>
    <s v="Egypt"/>
    <x v="30"/>
    <x v="146"/>
    <x v="146"/>
    <m/>
    <m/>
    <s v="Break 15 Morning"/>
    <d v="1899-12-30T14:00:00"/>
    <d v="1899-12-30T14:15:00"/>
    <n v="0"/>
    <x v="1"/>
  </r>
  <r>
    <x v="0"/>
    <s v="Egypt"/>
    <x v="30"/>
    <x v="146"/>
    <x v="146"/>
    <m/>
    <m/>
    <s v="Break 30 Morning"/>
    <d v="1899-12-30T17:15:00"/>
    <d v="1899-12-30T17:45:00"/>
    <n v="0"/>
    <x v="1"/>
  </r>
  <r>
    <x v="0"/>
    <s v="Egypt"/>
    <x v="30"/>
    <x v="146"/>
    <x v="146"/>
    <d v="2025-06-28T00:00:00"/>
    <d v="1899-12-30T08:15:00"/>
    <s v="Annual Exception"/>
    <m/>
    <m/>
    <n v="29700"/>
    <x v="1"/>
  </r>
  <r>
    <x v="0"/>
    <s v="Egypt"/>
    <x v="30"/>
    <x v="146"/>
    <x v="146"/>
    <d v="2025-06-29T00:00:00"/>
    <m/>
    <s v="Day Off"/>
    <m/>
    <m/>
    <n v="0"/>
    <x v="1"/>
  </r>
  <r>
    <x v="0"/>
    <s v="Egypt"/>
    <x v="30"/>
    <x v="146"/>
    <x v="146"/>
    <d v="2025-06-30T00:00:00"/>
    <d v="1899-12-30T08:15:00"/>
    <s v="Non Telecom Assyot"/>
    <d v="1899-12-30T11:00:00"/>
    <d v="1899-12-30T19:15:00"/>
    <n v="29700"/>
    <x v="0"/>
  </r>
  <r>
    <x v="0"/>
    <s v="Egypt"/>
    <x v="30"/>
    <x v="146"/>
    <x v="146"/>
    <m/>
    <m/>
    <s v="Break 15 Morning"/>
    <d v="1899-12-30T13:30:00"/>
    <d v="1899-12-30T13:45:00"/>
    <n v="0"/>
    <x v="1"/>
  </r>
  <r>
    <x v="0"/>
    <s v="Egypt"/>
    <x v="30"/>
    <x v="146"/>
    <x v="146"/>
    <m/>
    <m/>
    <s v="Break 30 Morning"/>
    <d v="1899-12-30T16:45:00"/>
    <d v="1899-12-30T17:15:00"/>
    <n v="0"/>
    <x v="1"/>
  </r>
  <r>
    <x v="0"/>
    <s v="Egypt"/>
    <x v="30"/>
    <x v="147"/>
    <x v="147"/>
    <d v="2025-06-01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00:00"/>
    <d v="1899-12-30T14:15:00"/>
    <n v="0"/>
    <x v="1"/>
  </r>
  <r>
    <x v="0"/>
    <s v="Egypt"/>
    <x v="30"/>
    <x v="147"/>
    <x v="147"/>
    <m/>
    <m/>
    <s v="Break 30 Morning"/>
    <d v="1899-12-30T18:00:00"/>
    <d v="1899-12-30T18:30:00"/>
    <n v="0"/>
    <x v="1"/>
  </r>
  <r>
    <x v="0"/>
    <s v="Egypt"/>
    <x v="30"/>
    <x v="147"/>
    <x v="147"/>
    <d v="2025-06-02T00:00:00"/>
    <d v="1899-12-30T08:15:00"/>
    <s v="No show"/>
    <d v="1899-12-30T11:00:00"/>
    <d v="1899-12-30T19:15:00"/>
    <n v="29700"/>
    <x v="1"/>
  </r>
  <r>
    <x v="0"/>
    <s v="Egypt"/>
    <x v="30"/>
    <x v="147"/>
    <x v="147"/>
    <d v="2025-06-03T00:00:00"/>
    <m/>
    <s v="Day Off"/>
    <m/>
    <m/>
    <n v="0"/>
    <x v="1"/>
  </r>
  <r>
    <x v="0"/>
    <s v="Egypt"/>
    <x v="30"/>
    <x v="147"/>
    <x v="147"/>
    <d v="2025-06-04T00:00:00"/>
    <m/>
    <s v="Day Off"/>
    <m/>
    <m/>
    <n v="0"/>
    <x v="1"/>
  </r>
  <r>
    <x v="0"/>
    <s v="Egypt"/>
    <x v="30"/>
    <x v="147"/>
    <x v="147"/>
    <d v="2025-06-05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2:00:00"/>
    <d v="1899-12-30T12:15:00"/>
    <n v="0"/>
    <x v="1"/>
  </r>
  <r>
    <x v="0"/>
    <s v="Egypt"/>
    <x v="30"/>
    <x v="147"/>
    <x v="147"/>
    <m/>
    <m/>
    <s v="Break 30 Morning"/>
    <d v="1899-12-30T15:15:00"/>
    <d v="1899-12-30T15:45:00"/>
    <n v="0"/>
    <x v="1"/>
  </r>
  <r>
    <x v="0"/>
    <s v="Egypt"/>
    <x v="30"/>
    <x v="147"/>
    <x v="147"/>
    <d v="2025-06-06T00:00:00"/>
    <d v="1899-12-30T08:15:00"/>
    <s v="Public holiday"/>
    <m/>
    <m/>
    <n v="29700"/>
    <x v="1"/>
  </r>
  <r>
    <x v="0"/>
    <s v="Egypt"/>
    <x v="30"/>
    <x v="147"/>
    <x v="147"/>
    <d v="2025-06-07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1:30:00"/>
    <d v="1899-12-30T11:45:00"/>
    <n v="0"/>
    <x v="1"/>
  </r>
  <r>
    <x v="0"/>
    <s v="Egypt"/>
    <x v="30"/>
    <x v="147"/>
    <x v="147"/>
    <m/>
    <m/>
    <s v="Break 30 Morning"/>
    <d v="1899-12-30T14:45:00"/>
    <d v="1899-12-30T15:15:00"/>
    <n v="0"/>
    <x v="1"/>
  </r>
  <r>
    <x v="0"/>
    <s v="Egypt"/>
    <x v="30"/>
    <x v="147"/>
    <x v="147"/>
    <d v="2025-06-08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2:00:00"/>
    <d v="1899-12-30T12:15:00"/>
    <n v="0"/>
    <x v="1"/>
  </r>
  <r>
    <x v="0"/>
    <s v="Egypt"/>
    <x v="30"/>
    <x v="147"/>
    <x v="147"/>
    <m/>
    <m/>
    <s v="Break 30 Morning"/>
    <d v="1899-12-30T15:15:00"/>
    <d v="1899-12-30T15:45:00"/>
    <n v="0"/>
    <x v="1"/>
  </r>
  <r>
    <x v="0"/>
    <s v="Egypt"/>
    <x v="30"/>
    <x v="147"/>
    <x v="147"/>
    <d v="2025-06-09T00:00:00"/>
    <m/>
    <s v="Day Off"/>
    <m/>
    <m/>
    <n v="0"/>
    <x v="1"/>
  </r>
  <r>
    <x v="0"/>
    <s v="Egypt"/>
    <x v="30"/>
    <x v="147"/>
    <x v="147"/>
    <d v="2025-06-10T00:00:00"/>
    <m/>
    <s v="Day Off"/>
    <m/>
    <m/>
    <n v="0"/>
    <x v="1"/>
  </r>
  <r>
    <x v="0"/>
    <s v="Egypt"/>
    <x v="30"/>
    <x v="147"/>
    <x v="147"/>
    <d v="2025-06-11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00:00"/>
    <d v="1899-12-30T14:15:00"/>
    <n v="0"/>
    <x v="1"/>
  </r>
  <r>
    <x v="0"/>
    <s v="Egypt"/>
    <x v="30"/>
    <x v="147"/>
    <x v="147"/>
    <m/>
    <m/>
    <s v="Break 30 Morning"/>
    <d v="1899-12-30T17:15:00"/>
    <d v="1899-12-30T17:45:00"/>
    <n v="0"/>
    <x v="1"/>
  </r>
  <r>
    <x v="0"/>
    <s v="Egypt"/>
    <x v="30"/>
    <x v="147"/>
    <x v="147"/>
    <d v="2025-06-12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00:00"/>
    <d v="1899-12-30T14:15:00"/>
    <n v="0"/>
    <x v="1"/>
  </r>
  <r>
    <x v="0"/>
    <s v="Egypt"/>
    <x v="30"/>
    <x v="147"/>
    <x v="147"/>
    <m/>
    <m/>
    <s v="Break 30 Morning"/>
    <d v="1899-12-30T16:45:00"/>
    <d v="1899-12-30T17:15:00"/>
    <n v="0"/>
    <x v="1"/>
  </r>
  <r>
    <x v="0"/>
    <s v="Egypt"/>
    <x v="30"/>
    <x v="147"/>
    <x v="147"/>
    <d v="2025-06-13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3:45:00"/>
    <d v="1899-12-30T14:00:00"/>
    <n v="0"/>
    <x v="1"/>
  </r>
  <r>
    <x v="0"/>
    <s v="Egypt"/>
    <x v="30"/>
    <x v="147"/>
    <x v="147"/>
    <m/>
    <m/>
    <s v="Break 30 Morning"/>
    <d v="1899-12-30T17:00:00"/>
    <d v="1899-12-30T17:30:00"/>
    <n v="0"/>
    <x v="1"/>
  </r>
  <r>
    <x v="0"/>
    <s v="Egypt"/>
    <x v="30"/>
    <x v="147"/>
    <x v="147"/>
    <d v="2025-06-14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00:00"/>
    <d v="1899-12-30T14:15:00"/>
    <n v="0"/>
    <x v="1"/>
  </r>
  <r>
    <x v="0"/>
    <s v="Egypt"/>
    <x v="30"/>
    <x v="147"/>
    <x v="147"/>
    <m/>
    <m/>
    <s v="Break 30 Morning"/>
    <d v="1899-12-30T17:15:00"/>
    <d v="1899-12-30T17:45:00"/>
    <n v="0"/>
    <x v="1"/>
  </r>
  <r>
    <x v="0"/>
    <s v="Egypt"/>
    <x v="30"/>
    <x v="147"/>
    <x v="147"/>
    <d v="2025-06-15T00:00:00"/>
    <m/>
    <s v="Day Off"/>
    <m/>
    <m/>
    <n v="0"/>
    <x v="1"/>
  </r>
  <r>
    <x v="0"/>
    <s v="Egypt"/>
    <x v="30"/>
    <x v="147"/>
    <x v="147"/>
    <d v="2025-06-16T00:00:00"/>
    <m/>
    <s v="Day Off"/>
    <m/>
    <m/>
    <n v="0"/>
    <x v="1"/>
  </r>
  <r>
    <x v="0"/>
    <s v="Egypt"/>
    <x v="30"/>
    <x v="147"/>
    <x v="147"/>
    <d v="2025-06-17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2:00:00"/>
    <d v="1899-12-30T12:15:00"/>
    <n v="0"/>
    <x v="1"/>
  </r>
  <r>
    <x v="0"/>
    <s v="Egypt"/>
    <x v="30"/>
    <x v="147"/>
    <x v="147"/>
    <m/>
    <m/>
    <s v="Break 30 Morning"/>
    <d v="1899-12-30T15:15:00"/>
    <d v="1899-12-30T15:45:00"/>
    <n v="0"/>
    <x v="1"/>
  </r>
  <r>
    <x v="0"/>
    <s v="Egypt"/>
    <x v="30"/>
    <x v="147"/>
    <x v="147"/>
    <d v="2025-06-18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15:00"/>
    <d v="1899-12-30T14:30:00"/>
    <n v="0"/>
    <x v="1"/>
  </r>
  <r>
    <x v="0"/>
    <s v="Egypt"/>
    <x v="30"/>
    <x v="147"/>
    <x v="147"/>
    <m/>
    <m/>
    <s v="Break 30 Morning"/>
    <d v="1899-12-30T16:45:00"/>
    <d v="1899-12-30T17:15:00"/>
    <n v="0"/>
    <x v="1"/>
  </r>
  <r>
    <x v="0"/>
    <s v="Egypt"/>
    <x v="30"/>
    <x v="147"/>
    <x v="147"/>
    <d v="2025-06-19T00:00:00"/>
    <d v="1899-12-30T08:15:00"/>
    <s v="Annual Exception"/>
    <m/>
    <m/>
    <n v="29700"/>
    <x v="1"/>
  </r>
  <r>
    <x v="0"/>
    <s v="Egypt"/>
    <x v="30"/>
    <x v="147"/>
    <x v="147"/>
    <d v="2025-06-20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1:45:00"/>
    <d v="1899-12-30T12:00:00"/>
    <n v="0"/>
    <x v="1"/>
  </r>
  <r>
    <x v="0"/>
    <s v="Egypt"/>
    <x v="30"/>
    <x v="147"/>
    <x v="147"/>
    <m/>
    <m/>
    <s v="Break 30 Morning"/>
    <d v="1899-12-30T14:15:00"/>
    <d v="1899-12-30T14:45:00"/>
    <n v="0"/>
    <x v="1"/>
  </r>
  <r>
    <x v="0"/>
    <s v="Egypt"/>
    <x v="30"/>
    <x v="147"/>
    <x v="147"/>
    <d v="2025-06-21T00:00:00"/>
    <d v="1899-12-30T08:15:00"/>
    <s v="Non Telecom Assyot"/>
    <d v="1899-12-30T09:00:00"/>
    <d v="1899-12-30T17:15:00"/>
    <n v="29700"/>
    <x v="0"/>
  </r>
  <r>
    <x v="0"/>
    <s v="Egypt"/>
    <x v="30"/>
    <x v="147"/>
    <x v="147"/>
    <m/>
    <m/>
    <s v="Break 15 Morning"/>
    <d v="1899-12-30T12:15:00"/>
    <d v="1899-12-30T12:30:00"/>
    <n v="0"/>
    <x v="1"/>
  </r>
  <r>
    <x v="0"/>
    <s v="Egypt"/>
    <x v="30"/>
    <x v="147"/>
    <x v="147"/>
    <m/>
    <m/>
    <s v="Break 30 Morning"/>
    <d v="1899-12-30T14:45:00"/>
    <d v="1899-12-30T15:15:00"/>
    <n v="0"/>
    <x v="1"/>
  </r>
  <r>
    <x v="0"/>
    <s v="Egypt"/>
    <x v="30"/>
    <x v="147"/>
    <x v="147"/>
    <d v="2025-06-22T00:00:00"/>
    <m/>
    <s v="Day Off"/>
    <m/>
    <m/>
    <n v="0"/>
    <x v="1"/>
  </r>
  <r>
    <x v="0"/>
    <s v="Egypt"/>
    <x v="30"/>
    <x v="147"/>
    <x v="147"/>
    <d v="2025-06-23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3:45:00"/>
    <d v="1899-12-30T14:00:00"/>
    <n v="0"/>
    <x v="1"/>
  </r>
  <r>
    <x v="0"/>
    <s v="Egypt"/>
    <x v="30"/>
    <x v="147"/>
    <x v="147"/>
    <m/>
    <m/>
    <s v="Break 30 Morning"/>
    <d v="1899-12-30T16:45:00"/>
    <d v="1899-12-30T17:15:00"/>
    <n v="0"/>
    <x v="1"/>
  </r>
  <r>
    <x v="0"/>
    <s v="Egypt"/>
    <x v="30"/>
    <x v="147"/>
    <x v="147"/>
    <d v="2025-06-24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15:00"/>
    <d v="1899-12-30T14:30:00"/>
    <n v="0"/>
    <x v="1"/>
  </r>
  <r>
    <x v="0"/>
    <s v="Egypt"/>
    <x v="30"/>
    <x v="147"/>
    <x v="147"/>
    <m/>
    <m/>
    <s v="Break 30 Morning"/>
    <d v="1899-12-30T17:15:00"/>
    <d v="1899-12-30T17:45:00"/>
    <n v="0"/>
    <x v="1"/>
  </r>
  <r>
    <x v="0"/>
    <s v="Egypt"/>
    <x v="30"/>
    <x v="147"/>
    <x v="147"/>
    <d v="2025-06-25T00:00:00"/>
    <d v="1899-12-30T08:15:00"/>
    <s v="Annual Exception"/>
    <m/>
    <m/>
    <n v="29700"/>
    <x v="1"/>
  </r>
  <r>
    <x v="0"/>
    <s v="Egypt"/>
    <x v="30"/>
    <x v="147"/>
    <x v="147"/>
    <d v="2025-06-26T00:00:00"/>
    <d v="1899-12-30T08:15:00"/>
    <s v="Public holiday"/>
    <m/>
    <m/>
    <n v="29700"/>
    <x v="1"/>
  </r>
  <r>
    <x v="0"/>
    <s v="Egypt"/>
    <x v="30"/>
    <x v="147"/>
    <x v="147"/>
    <d v="2025-06-27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4:15:00"/>
    <d v="1899-12-30T14:30:00"/>
    <n v="0"/>
    <x v="1"/>
  </r>
  <r>
    <x v="0"/>
    <s v="Egypt"/>
    <x v="30"/>
    <x v="147"/>
    <x v="147"/>
    <m/>
    <m/>
    <s v="Break 30 Morning"/>
    <d v="1899-12-30T17:45:00"/>
    <d v="1899-12-30T18:15:00"/>
    <n v="0"/>
    <x v="1"/>
  </r>
  <r>
    <x v="0"/>
    <s v="Egypt"/>
    <x v="30"/>
    <x v="147"/>
    <x v="147"/>
    <d v="2025-06-28T00:00:00"/>
    <m/>
    <s v="Day Off"/>
    <m/>
    <m/>
    <n v="0"/>
    <x v="1"/>
  </r>
  <r>
    <x v="0"/>
    <s v="Egypt"/>
    <x v="30"/>
    <x v="147"/>
    <x v="147"/>
    <d v="2025-06-29T00:00:00"/>
    <d v="1899-12-30T08:15:00"/>
    <s v="Non Telecom Assyot"/>
    <d v="1899-12-30T11:00:00"/>
    <d v="1899-12-30T19:15:00"/>
    <n v="29700"/>
    <x v="0"/>
  </r>
  <r>
    <x v="0"/>
    <s v="Egypt"/>
    <x v="30"/>
    <x v="147"/>
    <x v="147"/>
    <m/>
    <m/>
    <s v="Break 15 Morning"/>
    <d v="1899-12-30T13:45:00"/>
    <d v="1899-12-30T14:00:00"/>
    <n v="0"/>
    <x v="1"/>
  </r>
  <r>
    <x v="0"/>
    <s v="Egypt"/>
    <x v="30"/>
    <x v="147"/>
    <x v="147"/>
    <m/>
    <m/>
    <s v="Break 30 Morning"/>
    <d v="1899-12-30T17:15:00"/>
    <d v="1899-12-30T17:45:00"/>
    <n v="0"/>
    <x v="1"/>
  </r>
  <r>
    <x v="0"/>
    <s v="Egypt"/>
    <x v="30"/>
    <x v="147"/>
    <x v="147"/>
    <d v="2025-06-30T00:00:00"/>
    <d v="1899-12-30T08:15:00"/>
    <s v="Annual Exception"/>
    <m/>
    <m/>
    <n v="29700"/>
    <x v="1"/>
  </r>
  <r>
    <x v="0"/>
    <s v="Egypt"/>
    <x v="30"/>
    <x v="148"/>
    <x v="148"/>
    <d v="2025-06-01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8:00:00"/>
    <d v="1899-12-30T18:30:00"/>
    <n v="0"/>
    <x v="1"/>
  </r>
  <r>
    <x v="0"/>
    <s v="Egypt"/>
    <x v="30"/>
    <x v="148"/>
    <x v="148"/>
    <d v="2025-06-02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03T00:00:00"/>
    <m/>
    <s v="Day Off"/>
    <m/>
    <m/>
    <n v="0"/>
    <x v="1"/>
  </r>
  <r>
    <x v="0"/>
    <s v="Egypt"/>
    <x v="30"/>
    <x v="148"/>
    <x v="148"/>
    <d v="2025-06-04T00:00:00"/>
    <m/>
    <s v="Day Off"/>
    <m/>
    <m/>
    <n v="0"/>
    <x v="1"/>
  </r>
  <r>
    <x v="0"/>
    <s v="Egypt"/>
    <x v="30"/>
    <x v="148"/>
    <x v="148"/>
    <d v="2025-06-05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0"/>
    <x v="148"/>
    <x v="148"/>
    <d v="2025-06-06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15:00"/>
    <d v="1899-12-30T12:30:00"/>
    <n v="0"/>
    <x v="1"/>
  </r>
  <r>
    <x v="0"/>
    <s v="Egypt"/>
    <x v="30"/>
    <x v="148"/>
    <x v="148"/>
    <m/>
    <m/>
    <s v="Break 30 Morning"/>
    <d v="1899-12-30T15:15:00"/>
    <d v="1899-12-30T15:45:00"/>
    <n v="0"/>
    <x v="1"/>
  </r>
  <r>
    <x v="0"/>
    <s v="Egypt"/>
    <x v="30"/>
    <x v="148"/>
    <x v="148"/>
    <d v="2025-06-07T00:00:00"/>
    <d v="1899-12-30T08:15:00"/>
    <s v="Public holiday"/>
    <m/>
    <m/>
    <n v="29700"/>
    <x v="1"/>
  </r>
  <r>
    <x v="0"/>
    <s v="Egypt"/>
    <x v="30"/>
    <x v="148"/>
    <x v="148"/>
    <d v="2025-06-08T00:00:00"/>
    <m/>
    <s v="Day Off"/>
    <m/>
    <m/>
    <n v="0"/>
    <x v="1"/>
  </r>
  <r>
    <x v="0"/>
    <s v="Egypt"/>
    <x v="30"/>
    <x v="148"/>
    <x v="148"/>
    <d v="2025-06-09T00:00:00"/>
    <m/>
    <s v="Day Off"/>
    <m/>
    <m/>
    <n v="0"/>
    <x v="1"/>
  </r>
  <r>
    <x v="0"/>
    <s v="Egypt"/>
    <x v="30"/>
    <x v="148"/>
    <x v="148"/>
    <d v="2025-06-10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15:00"/>
    <d v="1899-12-30T12:30:00"/>
    <n v="0"/>
    <x v="1"/>
  </r>
  <r>
    <x v="0"/>
    <s v="Egypt"/>
    <x v="30"/>
    <x v="148"/>
    <x v="148"/>
    <m/>
    <m/>
    <s v="Break 30 Morning"/>
    <d v="1899-12-30T15:15:00"/>
    <d v="1899-12-30T15:45:00"/>
    <n v="0"/>
    <x v="1"/>
  </r>
  <r>
    <x v="0"/>
    <s v="Egypt"/>
    <x v="30"/>
    <x v="148"/>
    <x v="148"/>
    <d v="2025-06-11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12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13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14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1:15:00"/>
    <d v="1899-12-30T11:30:00"/>
    <n v="0"/>
    <x v="1"/>
  </r>
  <r>
    <x v="0"/>
    <s v="Egypt"/>
    <x v="30"/>
    <x v="148"/>
    <x v="148"/>
    <m/>
    <m/>
    <s v="Break 30 Morning"/>
    <d v="1899-12-30T13:45:00"/>
    <d v="1899-12-30T14:15:00"/>
    <n v="0"/>
    <x v="1"/>
  </r>
  <r>
    <x v="0"/>
    <s v="Egypt"/>
    <x v="30"/>
    <x v="148"/>
    <x v="148"/>
    <d v="2025-06-15T00:00:00"/>
    <m/>
    <s v="Day Off"/>
    <m/>
    <m/>
    <n v="0"/>
    <x v="1"/>
  </r>
  <r>
    <x v="0"/>
    <s v="Egypt"/>
    <x v="30"/>
    <x v="148"/>
    <x v="148"/>
    <d v="2025-06-16T00:00:00"/>
    <m/>
    <s v="Day Off"/>
    <m/>
    <m/>
    <n v="0"/>
    <x v="1"/>
  </r>
  <r>
    <x v="0"/>
    <s v="Egypt"/>
    <x v="30"/>
    <x v="148"/>
    <x v="148"/>
    <d v="2025-06-17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0"/>
    <x v="148"/>
    <x v="148"/>
    <d v="2025-06-18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15:00"/>
    <d v="1899-12-30T15:45:00"/>
    <n v="0"/>
    <x v="1"/>
  </r>
  <r>
    <x v="0"/>
    <s v="Egypt"/>
    <x v="30"/>
    <x v="148"/>
    <x v="148"/>
    <d v="2025-06-19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0"/>
    <x v="148"/>
    <x v="148"/>
    <d v="2025-06-20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3:00:00"/>
    <d v="1899-12-30T13:15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0"/>
    <x v="148"/>
    <x v="148"/>
    <d v="2025-06-21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15:00"/>
    <d v="1899-12-30T15:45:00"/>
    <n v="0"/>
    <x v="1"/>
  </r>
  <r>
    <x v="0"/>
    <s v="Egypt"/>
    <x v="30"/>
    <x v="148"/>
    <x v="148"/>
    <d v="2025-06-22T00:00:00"/>
    <m/>
    <s v="Day Off"/>
    <m/>
    <m/>
    <n v="0"/>
    <x v="1"/>
  </r>
  <r>
    <x v="0"/>
    <s v="Egypt"/>
    <x v="30"/>
    <x v="148"/>
    <x v="148"/>
    <d v="2025-06-23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00:00"/>
    <d v="1899-12-30T14:15:00"/>
    <n v="0"/>
    <x v="1"/>
  </r>
  <r>
    <x v="0"/>
    <s v="Egypt"/>
    <x v="30"/>
    <x v="148"/>
    <x v="148"/>
    <m/>
    <m/>
    <s v="Break 30 Morning"/>
    <d v="1899-12-30T16:45:00"/>
    <d v="1899-12-30T17:15:00"/>
    <n v="0"/>
    <x v="1"/>
  </r>
  <r>
    <x v="0"/>
    <s v="Egypt"/>
    <x v="30"/>
    <x v="148"/>
    <x v="148"/>
    <d v="2025-06-24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15:00"/>
    <d v="1899-12-30T17:45:00"/>
    <n v="0"/>
    <x v="1"/>
  </r>
  <r>
    <x v="0"/>
    <s v="Egypt"/>
    <x v="30"/>
    <x v="148"/>
    <x v="148"/>
    <d v="2025-06-25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6:45:00"/>
    <d v="1899-12-30T17:15:00"/>
    <n v="0"/>
    <x v="1"/>
  </r>
  <r>
    <x v="0"/>
    <s v="Egypt"/>
    <x v="30"/>
    <x v="148"/>
    <x v="148"/>
    <d v="2025-06-26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3:45:00"/>
    <d v="1899-12-30T14:00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27T00:00:00"/>
    <d v="1899-12-30T08:15:00"/>
    <s v="Non Telecom Assyot"/>
    <d v="1899-12-30T11:00:00"/>
    <d v="1899-12-30T19:15:00"/>
    <n v="29700"/>
    <x v="0"/>
  </r>
  <r>
    <x v="0"/>
    <s v="Egypt"/>
    <x v="30"/>
    <x v="148"/>
    <x v="148"/>
    <m/>
    <m/>
    <s v="Break 15 Morning"/>
    <d v="1899-12-30T14:30:00"/>
    <d v="1899-12-30T14:45:00"/>
    <n v="0"/>
    <x v="1"/>
  </r>
  <r>
    <x v="0"/>
    <s v="Egypt"/>
    <x v="30"/>
    <x v="148"/>
    <x v="148"/>
    <m/>
    <m/>
    <s v="Break 30 Morning"/>
    <d v="1899-12-30T17:45:00"/>
    <d v="1899-12-30T18:15:00"/>
    <n v="0"/>
    <x v="1"/>
  </r>
  <r>
    <x v="0"/>
    <s v="Egypt"/>
    <x v="30"/>
    <x v="148"/>
    <x v="148"/>
    <d v="2025-06-28T00:00:00"/>
    <m/>
    <s v="Day Off"/>
    <m/>
    <m/>
    <n v="0"/>
    <x v="1"/>
  </r>
  <r>
    <x v="0"/>
    <s v="Egypt"/>
    <x v="30"/>
    <x v="148"/>
    <x v="148"/>
    <d v="2025-06-29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15:00"/>
    <d v="1899-12-30T12:30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0"/>
    <x v="148"/>
    <x v="148"/>
    <d v="2025-06-30T00:00:00"/>
    <d v="1899-12-30T08:15:00"/>
    <s v="Non Telecom Assyot"/>
    <d v="1899-12-30T09:00:00"/>
    <d v="1899-12-30T17:15:00"/>
    <n v="29700"/>
    <x v="0"/>
  </r>
  <r>
    <x v="0"/>
    <s v="Egypt"/>
    <x v="30"/>
    <x v="148"/>
    <x v="148"/>
    <m/>
    <m/>
    <s v="Break 15 Morning"/>
    <d v="1899-12-30T12:30:00"/>
    <d v="1899-12-30T12:45:00"/>
    <n v="0"/>
    <x v="1"/>
  </r>
  <r>
    <x v="0"/>
    <s v="Egypt"/>
    <x v="30"/>
    <x v="148"/>
    <x v="148"/>
    <m/>
    <m/>
    <s v="Break 30 Morning"/>
    <d v="1899-12-30T15:45:00"/>
    <d v="1899-12-30T16:15:00"/>
    <n v="0"/>
    <x v="1"/>
  </r>
  <r>
    <x v="0"/>
    <s v="Egypt"/>
    <x v="31"/>
    <x v="149"/>
    <x v="149"/>
    <d v="2025-06-01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30:00"/>
    <d v="1899-12-30T15:45:00"/>
    <n v="0"/>
    <x v="1"/>
  </r>
  <r>
    <x v="0"/>
    <s v="Egypt"/>
    <x v="31"/>
    <x v="149"/>
    <x v="149"/>
    <m/>
    <m/>
    <s v="Break 30 Morning"/>
    <d v="1899-12-30T19:00:00"/>
    <d v="1899-12-30T19:30:00"/>
    <n v="0"/>
    <x v="1"/>
  </r>
  <r>
    <x v="0"/>
    <s v="Egypt"/>
    <x v="31"/>
    <x v="149"/>
    <x v="149"/>
    <d v="2025-06-02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30:00"/>
    <d v="1899-12-30T15:45:00"/>
    <n v="0"/>
    <x v="1"/>
  </r>
  <r>
    <x v="0"/>
    <s v="Egypt"/>
    <x v="31"/>
    <x v="149"/>
    <x v="149"/>
    <m/>
    <m/>
    <s v="Break 30 Morning"/>
    <d v="1899-12-30T18:45:00"/>
    <d v="1899-12-30T19:15:00"/>
    <n v="0"/>
    <x v="1"/>
  </r>
  <r>
    <x v="0"/>
    <s v="Egypt"/>
    <x v="31"/>
    <x v="149"/>
    <x v="149"/>
    <d v="2025-06-03T00:00:00"/>
    <m/>
    <s v="Day Off"/>
    <m/>
    <m/>
    <n v="0"/>
    <x v="1"/>
  </r>
  <r>
    <x v="0"/>
    <s v="Egypt"/>
    <x v="31"/>
    <x v="149"/>
    <x v="149"/>
    <d v="2025-06-04T00:00:00"/>
    <m/>
    <s v="Day Off"/>
    <m/>
    <m/>
    <n v="0"/>
    <x v="1"/>
  </r>
  <r>
    <x v="0"/>
    <s v="Egypt"/>
    <x v="31"/>
    <x v="149"/>
    <x v="149"/>
    <d v="2025-06-05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30:00"/>
    <d v="1899-12-30T15:45:00"/>
    <n v="0"/>
    <x v="1"/>
  </r>
  <r>
    <x v="0"/>
    <s v="Egypt"/>
    <x v="31"/>
    <x v="149"/>
    <x v="149"/>
    <m/>
    <m/>
    <s v="Break 30 Morning"/>
    <d v="1899-12-30T18:45:00"/>
    <d v="1899-12-30T19:15:00"/>
    <n v="0"/>
    <x v="1"/>
  </r>
  <r>
    <x v="0"/>
    <s v="Egypt"/>
    <x v="31"/>
    <x v="149"/>
    <x v="149"/>
    <d v="2025-06-06T00:00:00"/>
    <d v="1899-12-30T08:15:00"/>
    <s v="Public holiday"/>
    <m/>
    <m/>
    <n v="29700"/>
    <x v="1"/>
  </r>
  <r>
    <x v="0"/>
    <s v="Egypt"/>
    <x v="31"/>
    <x v="149"/>
    <x v="149"/>
    <d v="2025-06-07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00:00"/>
    <d v="1899-12-30T15:15:00"/>
    <n v="0"/>
    <x v="1"/>
  </r>
  <r>
    <x v="0"/>
    <s v="Egypt"/>
    <x v="31"/>
    <x v="149"/>
    <x v="149"/>
    <m/>
    <m/>
    <s v="Break 30 Morning"/>
    <d v="1899-12-30T18:15:00"/>
    <d v="1899-12-30T18:45:00"/>
    <n v="0"/>
    <x v="1"/>
  </r>
  <r>
    <x v="0"/>
    <s v="Egypt"/>
    <x v="31"/>
    <x v="149"/>
    <x v="149"/>
    <d v="2025-06-08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8:45:00"/>
    <d v="1899-12-30T19:00:00"/>
    <n v="0"/>
    <x v="1"/>
  </r>
  <r>
    <x v="0"/>
    <s v="Egypt"/>
    <x v="31"/>
    <x v="149"/>
    <x v="149"/>
    <m/>
    <m/>
    <s v="Break 30 Night"/>
    <d v="1899-12-30T21:45:00"/>
    <d v="1899-12-30T22:15:00"/>
    <n v="0"/>
    <x v="1"/>
  </r>
  <r>
    <x v="0"/>
    <s v="Egypt"/>
    <x v="31"/>
    <x v="149"/>
    <x v="149"/>
    <d v="2025-06-09T00:00:00"/>
    <m/>
    <s v="Day Off"/>
    <m/>
    <m/>
    <n v="0"/>
    <x v="1"/>
  </r>
  <r>
    <x v="0"/>
    <s v="Egypt"/>
    <x v="31"/>
    <x v="149"/>
    <x v="149"/>
    <d v="2025-06-10T00:00:00"/>
    <m/>
    <s v="Day Off"/>
    <m/>
    <m/>
    <n v="0"/>
    <x v="1"/>
  </r>
  <r>
    <x v="0"/>
    <s v="Egypt"/>
    <x v="31"/>
    <x v="149"/>
    <x v="149"/>
    <d v="2025-06-11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9:00:00"/>
    <d v="1899-12-30T19:15:00"/>
    <n v="0"/>
    <x v="1"/>
  </r>
  <r>
    <x v="0"/>
    <s v="Egypt"/>
    <x v="31"/>
    <x v="149"/>
    <x v="149"/>
    <m/>
    <m/>
    <s v="Break 30 Night"/>
    <d v="1899-12-30T22:00:00"/>
    <d v="1899-12-30T22:30:00"/>
    <n v="0"/>
    <x v="1"/>
  </r>
  <r>
    <x v="0"/>
    <s v="Egypt"/>
    <x v="31"/>
    <x v="149"/>
    <x v="149"/>
    <d v="2025-06-12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9:15:00"/>
    <d v="1899-12-30T19:30:00"/>
    <n v="0"/>
    <x v="1"/>
  </r>
  <r>
    <x v="0"/>
    <s v="Egypt"/>
    <x v="31"/>
    <x v="149"/>
    <x v="149"/>
    <m/>
    <m/>
    <s v="Break 30 Night"/>
    <d v="1899-12-30T22:00:00"/>
    <d v="1899-12-30T22:30:00"/>
    <n v="0"/>
    <x v="1"/>
  </r>
  <r>
    <x v="0"/>
    <s v="Egypt"/>
    <x v="31"/>
    <x v="149"/>
    <x v="149"/>
    <d v="2025-06-13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00:00"/>
    <d v="1899-12-30T15:15:00"/>
    <n v="0"/>
    <x v="1"/>
  </r>
  <r>
    <x v="0"/>
    <s v="Egypt"/>
    <x v="31"/>
    <x v="149"/>
    <x v="149"/>
    <m/>
    <m/>
    <s v="Break 30 Morning"/>
    <d v="1899-12-30T18:30:00"/>
    <d v="1899-12-30T19:00:00"/>
    <n v="0"/>
    <x v="1"/>
  </r>
  <r>
    <x v="0"/>
    <s v="Egypt"/>
    <x v="31"/>
    <x v="149"/>
    <x v="149"/>
    <d v="2025-06-14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8:45:00"/>
    <d v="1899-12-30T19:00:00"/>
    <n v="0"/>
    <x v="1"/>
  </r>
  <r>
    <x v="0"/>
    <s v="Egypt"/>
    <x v="31"/>
    <x v="149"/>
    <x v="149"/>
    <m/>
    <m/>
    <s v="Break 30 Night"/>
    <d v="1899-12-30T21:30:00"/>
    <d v="1899-12-30T22:00:00"/>
    <n v="0"/>
    <x v="1"/>
  </r>
  <r>
    <x v="0"/>
    <s v="Egypt"/>
    <x v="31"/>
    <x v="149"/>
    <x v="149"/>
    <d v="2025-06-15T00:00:00"/>
    <m/>
    <s v="Day Off"/>
    <m/>
    <m/>
    <n v="0"/>
    <x v="1"/>
  </r>
  <r>
    <x v="0"/>
    <s v="Egypt"/>
    <x v="31"/>
    <x v="149"/>
    <x v="149"/>
    <d v="2025-06-16T00:00:00"/>
    <m/>
    <s v="Day Off"/>
    <m/>
    <m/>
    <n v="0"/>
    <x v="1"/>
  </r>
  <r>
    <x v="0"/>
    <s v="Egypt"/>
    <x v="31"/>
    <x v="149"/>
    <x v="149"/>
    <d v="2025-06-17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00:00"/>
    <d v="1899-12-30T15:15:00"/>
    <n v="0"/>
    <x v="1"/>
  </r>
  <r>
    <x v="0"/>
    <s v="Egypt"/>
    <x v="31"/>
    <x v="149"/>
    <x v="149"/>
    <m/>
    <m/>
    <s v="Break 30 Morning"/>
    <d v="1899-12-30T18:30:00"/>
    <d v="1899-12-30T19:00:00"/>
    <n v="0"/>
    <x v="1"/>
  </r>
  <r>
    <x v="0"/>
    <s v="Egypt"/>
    <x v="31"/>
    <x v="149"/>
    <x v="149"/>
    <d v="2025-06-18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15:00"/>
    <d v="1899-12-30T15:30:00"/>
    <n v="0"/>
    <x v="1"/>
  </r>
  <r>
    <x v="0"/>
    <s v="Egypt"/>
    <x v="31"/>
    <x v="149"/>
    <x v="149"/>
    <m/>
    <m/>
    <s v="Break 30 Morning"/>
    <d v="1899-12-30T18:15:00"/>
    <d v="1899-12-30T18:45:00"/>
    <n v="0"/>
    <x v="1"/>
  </r>
  <r>
    <x v="0"/>
    <s v="Egypt"/>
    <x v="31"/>
    <x v="149"/>
    <x v="149"/>
    <d v="2025-06-19T00:00:00"/>
    <d v="1899-12-30T08:15:00"/>
    <s v="Annual Exception"/>
    <m/>
    <m/>
    <n v="29700"/>
    <x v="1"/>
  </r>
  <r>
    <x v="0"/>
    <s v="Egypt"/>
    <x v="31"/>
    <x v="149"/>
    <x v="149"/>
    <d v="2025-06-20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15:00"/>
    <d v="1899-12-30T15:30:00"/>
    <n v="0"/>
    <x v="1"/>
  </r>
  <r>
    <x v="0"/>
    <s v="Egypt"/>
    <x v="31"/>
    <x v="149"/>
    <x v="149"/>
    <m/>
    <m/>
    <s v="Break 30 Morning"/>
    <d v="1899-12-30T18:15:00"/>
    <d v="1899-12-30T18:45:00"/>
    <n v="0"/>
    <x v="1"/>
  </r>
  <r>
    <x v="0"/>
    <s v="Egypt"/>
    <x v="31"/>
    <x v="149"/>
    <x v="149"/>
    <d v="2025-06-21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30:00"/>
    <d v="1899-12-30T15:45:00"/>
    <n v="0"/>
    <x v="1"/>
  </r>
  <r>
    <x v="0"/>
    <s v="Egypt"/>
    <x v="31"/>
    <x v="149"/>
    <x v="149"/>
    <m/>
    <m/>
    <s v="Break 30 Morning"/>
    <d v="1899-12-30T18:15:00"/>
    <d v="1899-12-30T18:45:00"/>
    <n v="0"/>
    <x v="1"/>
  </r>
  <r>
    <x v="0"/>
    <s v="Egypt"/>
    <x v="31"/>
    <x v="149"/>
    <x v="149"/>
    <d v="2025-06-22T00:00:00"/>
    <m/>
    <s v="Day Off"/>
    <m/>
    <m/>
    <n v="0"/>
    <x v="1"/>
  </r>
  <r>
    <x v="0"/>
    <s v="Egypt"/>
    <x v="31"/>
    <x v="149"/>
    <x v="149"/>
    <d v="2025-06-23T00:00:00"/>
    <d v="1899-12-30T08:15:00"/>
    <s v="Annual Exception"/>
    <m/>
    <m/>
    <n v="29700"/>
    <x v="1"/>
  </r>
  <r>
    <x v="0"/>
    <s v="Egypt"/>
    <x v="31"/>
    <x v="149"/>
    <x v="149"/>
    <d v="2025-06-24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6:15:00"/>
    <d v="1899-12-30T16:30:00"/>
    <n v="0"/>
    <x v="1"/>
  </r>
  <r>
    <x v="0"/>
    <s v="Egypt"/>
    <x v="31"/>
    <x v="149"/>
    <x v="149"/>
    <m/>
    <m/>
    <s v="Break 30 Morning"/>
    <d v="1899-12-30T18:45:00"/>
    <d v="1899-12-30T19:15:00"/>
    <n v="0"/>
    <x v="1"/>
  </r>
  <r>
    <x v="0"/>
    <s v="Egypt"/>
    <x v="31"/>
    <x v="149"/>
    <x v="149"/>
    <d v="2025-06-25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45:00"/>
    <d v="1899-12-30T16:00:00"/>
    <n v="0"/>
    <x v="1"/>
  </r>
  <r>
    <x v="0"/>
    <s v="Egypt"/>
    <x v="31"/>
    <x v="149"/>
    <x v="149"/>
    <m/>
    <m/>
    <s v="Break 30 Morning"/>
    <d v="1899-12-30T18:15:00"/>
    <d v="1899-12-30T18:45:00"/>
    <n v="0"/>
    <x v="1"/>
  </r>
  <r>
    <x v="0"/>
    <s v="Egypt"/>
    <x v="31"/>
    <x v="149"/>
    <x v="149"/>
    <d v="2025-06-26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00:00"/>
    <d v="1899-12-30T15:15:00"/>
    <n v="0"/>
    <x v="1"/>
  </r>
  <r>
    <x v="0"/>
    <s v="Egypt"/>
    <x v="31"/>
    <x v="149"/>
    <x v="149"/>
    <m/>
    <m/>
    <s v="Break 30 Morning"/>
    <d v="1899-12-30T18:30:00"/>
    <d v="1899-12-30T19:00:00"/>
    <n v="0"/>
    <x v="1"/>
  </r>
  <r>
    <x v="0"/>
    <s v="Egypt"/>
    <x v="31"/>
    <x v="149"/>
    <x v="149"/>
    <d v="2025-06-27T00:00:00"/>
    <d v="1899-12-30T08:15:00"/>
    <s v="Non Telecom Assyot"/>
    <d v="1899-12-30T14:00:00"/>
    <d v="1899-12-30T22:15:00"/>
    <n v="29700"/>
    <x v="0"/>
  </r>
  <r>
    <x v="0"/>
    <s v="Egypt"/>
    <x v="31"/>
    <x v="149"/>
    <x v="149"/>
    <m/>
    <m/>
    <s v="Break 15 Morning"/>
    <d v="1899-12-30T15:15:00"/>
    <d v="1899-12-30T15:30:00"/>
    <n v="0"/>
    <x v="1"/>
  </r>
  <r>
    <x v="0"/>
    <s v="Egypt"/>
    <x v="31"/>
    <x v="149"/>
    <x v="149"/>
    <m/>
    <m/>
    <s v="Break 30 Morning"/>
    <d v="1899-12-30T18:45:00"/>
    <d v="1899-12-30T19:15:00"/>
    <n v="0"/>
    <x v="1"/>
  </r>
  <r>
    <x v="0"/>
    <s v="Egypt"/>
    <x v="31"/>
    <x v="149"/>
    <x v="149"/>
    <d v="2025-06-28T00:00:00"/>
    <m/>
    <s v="Day Off"/>
    <m/>
    <m/>
    <n v="0"/>
    <x v="1"/>
  </r>
  <r>
    <x v="0"/>
    <s v="Egypt"/>
    <x v="31"/>
    <x v="149"/>
    <x v="149"/>
    <d v="2025-06-29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9:30:00"/>
    <d v="1899-12-30T19:45:00"/>
    <n v="0"/>
    <x v="1"/>
  </r>
  <r>
    <x v="0"/>
    <s v="Egypt"/>
    <x v="31"/>
    <x v="149"/>
    <x v="149"/>
    <m/>
    <m/>
    <s v="Break 30 Night"/>
    <d v="1899-12-30T22:30:00"/>
    <d v="1899-12-30T23:00:00"/>
    <n v="0"/>
    <x v="1"/>
  </r>
  <r>
    <x v="0"/>
    <s v="Egypt"/>
    <x v="31"/>
    <x v="149"/>
    <x v="149"/>
    <d v="2025-06-30T00:00:00"/>
    <d v="1899-12-30T08:15:00"/>
    <s v="Non Telecom Assyot"/>
    <d v="1899-12-30T17:15:00"/>
    <s v="+1:30 AM"/>
    <n v="29700"/>
    <x v="0"/>
  </r>
  <r>
    <x v="0"/>
    <s v="Egypt"/>
    <x v="31"/>
    <x v="149"/>
    <x v="149"/>
    <m/>
    <m/>
    <s v="Break 15 Night"/>
    <d v="1899-12-30T19:30:00"/>
    <d v="1899-12-30T19:45:00"/>
    <n v="0"/>
    <x v="1"/>
  </r>
  <r>
    <x v="0"/>
    <s v="Egypt"/>
    <x v="31"/>
    <x v="149"/>
    <x v="149"/>
    <m/>
    <m/>
    <s v="Break 30 Night"/>
    <d v="1899-12-30T22:30:00"/>
    <d v="1899-12-30T23:00:00"/>
    <n v="0"/>
    <x v="1"/>
  </r>
  <r>
    <x v="0"/>
    <s v="Egypt"/>
    <x v="31"/>
    <x v="150"/>
    <x v="150"/>
    <d v="2025-06-01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45:00"/>
    <d v="1899-12-30T16:00:00"/>
    <n v="0"/>
    <x v="1"/>
  </r>
  <r>
    <x v="0"/>
    <s v="Egypt"/>
    <x v="31"/>
    <x v="150"/>
    <x v="150"/>
    <m/>
    <m/>
    <s v="Break 30 Morning"/>
    <d v="1899-12-30T19:15:00"/>
    <d v="1899-12-30T19:45:00"/>
    <n v="0"/>
    <x v="1"/>
  </r>
  <r>
    <x v="0"/>
    <s v="Egypt"/>
    <x v="31"/>
    <x v="150"/>
    <x v="150"/>
    <d v="2025-06-02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45:00"/>
    <d v="1899-12-30T16:00:00"/>
    <n v="0"/>
    <x v="1"/>
  </r>
  <r>
    <x v="0"/>
    <s v="Egypt"/>
    <x v="31"/>
    <x v="150"/>
    <x v="150"/>
    <m/>
    <m/>
    <s v="Break 30 Morning"/>
    <d v="1899-12-30T19:15:00"/>
    <d v="1899-12-30T19:45:00"/>
    <n v="0"/>
    <x v="1"/>
  </r>
  <r>
    <x v="0"/>
    <s v="Egypt"/>
    <x v="31"/>
    <x v="150"/>
    <x v="150"/>
    <d v="2025-06-03T00:00:00"/>
    <m/>
    <s v="Day Off"/>
    <m/>
    <m/>
    <n v="0"/>
    <x v="1"/>
  </r>
  <r>
    <x v="0"/>
    <s v="Egypt"/>
    <x v="31"/>
    <x v="150"/>
    <x v="150"/>
    <d v="2025-06-04T00:00:00"/>
    <m/>
    <s v="Day Off"/>
    <m/>
    <m/>
    <n v="0"/>
    <x v="1"/>
  </r>
  <r>
    <x v="0"/>
    <s v="Egypt"/>
    <x v="31"/>
    <x v="150"/>
    <x v="150"/>
    <d v="2025-06-05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45:00"/>
    <d v="1899-12-30T16:00:00"/>
    <n v="0"/>
    <x v="1"/>
  </r>
  <r>
    <x v="0"/>
    <s v="Egypt"/>
    <x v="31"/>
    <x v="150"/>
    <x v="150"/>
    <m/>
    <m/>
    <s v="Break 30 Morning"/>
    <d v="1899-12-30T18:45:00"/>
    <d v="1899-12-30T19:15:00"/>
    <n v="0"/>
    <x v="1"/>
  </r>
  <r>
    <x v="0"/>
    <s v="Egypt"/>
    <x v="31"/>
    <x v="150"/>
    <x v="150"/>
    <d v="2025-06-06T00:00:00"/>
    <d v="1899-12-30T08:15:00"/>
    <s v="Public holiday"/>
    <m/>
    <m/>
    <n v="29700"/>
    <x v="1"/>
  </r>
  <r>
    <x v="0"/>
    <s v="Egypt"/>
    <x v="31"/>
    <x v="150"/>
    <x v="150"/>
    <d v="2025-06-07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15:00"/>
    <d v="1899-12-30T15:30:00"/>
    <n v="0"/>
    <x v="1"/>
  </r>
  <r>
    <x v="0"/>
    <s v="Egypt"/>
    <x v="31"/>
    <x v="150"/>
    <x v="150"/>
    <m/>
    <m/>
    <s v="Break 30 Morning"/>
    <d v="1899-12-30T18:15:00"/>
    <d v="1899-12-30T18:45:00"/>
    <n v="0"/>
    <x v="1"/>
  </r>
  <r>
    <x v="0"/>
    <s v="Egypt"/>
    <x v="31"/>
    <x v="150"/>
    <x v="150"/>
    <d v="2025-06-08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00:00"/>
    <d v="1899-12-30T19:15:00"/>
    <n v="0"/>
    <x v="1"/>
  </r>
  <r>
    <x v="0"/>
    <s v="Egypt"/>
    <x v="31"/>
    <x v="150"/>
    <x v="150"/>
    <m/>
    <m/>
    <s v="Break 30 Night"/>
    <d v="1899-12-30T22:15:00"/>
    <d v="1899-12-30T22:45:00"/>
    <n v="0"/>
    <x v="1"/>
  </r>
  <r>
    <x v="0"/>
    <s v="Egypt"/>
    <x v="31"/>
    <x v="150"/>
    <x v="150"/>
    <d v="2025-06-09T00:00:00"/>
    <m/>
    <s v="Day Off"/>
    <m/>
    <m/>
    <n v="0"/>
    <x v="1"/>
  </r>
  <r>
    <x v="0"/>
    <s v="Egypt"/>
    <x v="31"/>
    <x v="150"/>
    <x v="150"/>
    <d v="2025-06-10T00:00:00"/>
    <m/>
    <s v="Day Off"/>
    <m/>
    <m/>
    <n v="0"/>
    <x v="1"/>
  </r>
  <r>
    <x v="0"/>
    <s v="Egypt"/>
    <x v="31"/>
    <x v="150"/>
    <x v="150"/>
    <d v="2025-06-11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15:00"/>
    <d v="1899-12-30T19:30:00"/>
    <n v="0"/>
    <x v="1"/>
  </r>
  <r>
    <x v="0"/>
    <s v="Egypt"/>
    <x v="31"/>
    <x v="150"/>
    <x v="150"/>
    <m/>
    <m/>
    <s v="Break 30 Night"/>
    <d v="1899-12-30T22:30:00"/>
    <d v="1899-12-30T23:00:00"/>
    <n v="0"/>
    <x v="1"/>
  </r>
  <r>
    <x v="0"/>
    <s v="Egypt"/>
    <x v="31"/>
    <x v="150"/>
    <x v="150"/>
    <d v="2025-06-12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45:00"/>
    <d v="1899-12-30T20:00:00"/>
    <n v="0"/>
    <x v="1"/>
  </r>
  <r>
    <x v="0"/>
    <s v="Egypt"/>
    <x v="31"/>
    <x v="150"/>
    <x v="150"/>
    <m/>
    <m/>
    <s v="Break 30 Night"/>
    <d v="1899-12-30T22:30:00"/>
    <d v="1899-12-30T23:00:00"/>
    <n v="0"/>
    <x v="1"/>
  </r>
  <r>
    <x v="0"/>
    <s v="Egypt"/>
    <x v="31"/>
    <x v="150"/>
    <x v="150"/>
    <d v="2025-06-13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00:00"/>
    <d v="1899-12-30T19:15:00"/>
    <n v="0"/>
    <x v="1"/>
  </r>
  <r>
    <x v="0"/>
    <s v="Egypt"/>
    <x v="31"/>
    <x v="150"/>
    <x v="150"/>
    <m/>
    <m/>
    <s v="Break 30 Night"/>
    <d v="1899-12-30T22:00:00"/>
    <d v="1899-12-30T22:30:00"/>
    <n v="0"/>
    <x v="1"/>
  </r>
  <r>
    <x v="0"/>
    <s v="Egypt"/>
    <x v="31"/>
    <x v="150"/>
    <x v="150"/>
    <d v="2025-06-14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8:45:00"/>
    <d v="1899-12-30T19:00:00"/>
    <n v="0"/>
    <x v="1"/>
  </r>
  <r>
    <x v="0"/>
    <s v="Egypt"/>
    <x v="31"/>
    <x v="150"/>
    <x v="150"/>
    <m/>
    <m/>
    <s v="Break 30 Night"/>
    <d v="1899-12-30T22:00:00"/>
    <d v="1899-12-30T22:30:00"/>
    <n v="0"/>
    <x v="1"/>
  </r>
  <r>
    <x v="0"/>
    <s v="Egypt"/>
    <x v="31"/>
    <x v="150"/>
    <x v="150"/>
    <d v="2025-06-15T00:00:00"/>
    <m/>
    <s v="Day Off"/>
    <m/>
    <m/>
    <n v="0"/>
    <x v="1"/>
  </r>
  <r>
    <x v="0"/>
    <s v="Egypt"/>
    <x v="31"/>
    <x v="150"/>
    <x v="150"/>
    <d v="2025-06-16T00:00:00"/>
    <m/>
    <s v="Day Off"/>
    <m/>
    <m/>
    <n v="0"/>
    <x v="1"/>
  </r>
  <r>
    <x v="0"/>
    <s v="Egypt"/>
    <x v="31"/>
    <x v="150"/>
    <x v="150"/>
    <d v="2025-06-17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15:00"/>
    <d v="1899-12-30T15:30:00"/>
    <n v="0"/>
    <x v="1"/>
  </r>
  <r>
    <x v="0"/>
    <s v="Egypt"/>
    <x v="31"/>
    <x v="150"/>
    <x v="150"/>
    <m/>
    <m/>
    <s v="Break 30 Morning"/>
    <d v="1899-12-30T19:00:00"/>
    <d v="1899-12-30T19:30:00"/>
    <n v="0"/>
    <x v="1"/>
  </r>
  <r>
    <x v="0"/>
    <s v="Egypt"/>
    <x v="31"/>
    <x v="150"/>
    <x v="150"/>
    <d v="2025-06-18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45:00"/>
    <d v="1899-12-30T16:00:00"/>
    <n v="0"/>
    <x v="1"/>
  </r>
  <r>
    <x v="0"/>
    <s v="Egypt"/>
    <x v="31"/>
    <x v="150"/>
    <x v="150"/>
    <m/>
    <m/>
    <s v="Break 30 Morning"/>
    <d v="1899-12-30T18:15:00"/>
    <d v="1899-12-30T18:45:00"/>
    <n v="0"/>
    <x v="1"/>
  </r>
  <r>
    <x v="0"/>
    <s v="Egypt"/>
    <x v="31"/>
    <x v="150"/>
    <x v="150"/>
    <d v="2025-06-19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45:00"/>
    <d v="1899-12-30T16:00:00"/>
    <n v="0"/>
    <x v="1"/>
  </r>
  <r>
    <x v="0"/>
    <s v="Egypt"/>
    <x v="31"/>
    <x v="150"/>
    <x v="150"/>
    <m/>
    <m/>
    <s v="Break 30 Morning"/>
    <d v="1899-12-30T18:15:00"/>
    <d v="1899-12-30T18:45:00"/>
    <n v="0"/>
    <x v="1"/>
  </r>
  <r>
    <x v="0"/>
    <s v="Egypt"/>
    <x v="31"/>
    <x v="150"/>
    <x v="150"/>
    <d v="2025-06-20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15:00"/>
    <d v="1899-12-30T15:30:00"/>
    <n v="0"/>
    <x v="1"/>
  </r>
  <r>
    <x v="0"/>
    <s v="Egypt"/>
    <x v="31"/>
    <x v="150"/>
    <x v="150"/>
    <m/>
    <m/>
    <s v="Break 30 Morning"/>
    <d v="1899-12-30T18:15:00"/>
    <d v="1899-12-30T18:45:00"/>
    <n v="0"/>
    <x v="1"/>
  </r>
  <r>
    <x v="0"/>
    <s v="Egypt"/>
    <x v="31"/>
    <x v="150"/>
    <x v="150"/>
    <d v="2025-06-21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30:00"/>
    <d v="1899-12-30T15:45:00"/>
    <n v="0"/>
    <x v="1"/>
  </r>
  <r>
    <x v="0"/>
    <s v="Egypt"/>
    <x v="31"/>
    <x v="150"/>
    <x v="150"/>
    <m/>
    <m/>
    <s v="Break 30 Morning"/>
    <d v="1899-12-30T18:30:00"/>
    <d v="1899-12-30T19:00:00"/>
    <n v="0"/>
    <x v="1"/>
  </r>
  <r>
    <x v="0"/>
    <s v="Egypt"/>
    <x v="31"/>
    <x v="150"/>
    <x v="150"/>
    <d v="2025-06-22T00:00:00"/>
    <m/>
    <s v="Day Off"/>
    <m/>
    <m/>
    <n v="0"/>
    <x v="1"/>
  </r>
  <r>
    <x v="0"/>
    <s v="Egypt"/>
    <x v="31"/>
    <x v="150"/>
    <x v="150"/>
    <d v="2025-06-23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20:00:00"/>
    <d v="1899-12-30T20:15:00"/>
    <n v="0"/>
    <x v="1"/>
  </r>
  <r>
    <x v="0"/>
    <s v="Egypt"/>
    <x v="31"/>
    <x v="150"/>
    <x v="150"/>
    <m/>
    <m/>
    <s v="Break 30 Night"/>
    <d v="1899-12-30T22:30:00"/>
    <d v="1899-12-30T23:00:00"/>
    <n v="0"/>
    <x v="1"/>
  </r>
  <r>
    <x v="0"/>
    <s v="Egypt"/>
    <x v="31"/>
    <x v="150"/>
    <x v="150"/>
    <d v="2025-06-24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20:00:00"/>
    <d v="1899-12-30T20:15:00"/>
    <n v="0"/>
    <x v="1"/>
  </r>
  <r>
    <x v="0"/>
    <s v="Egypt"/>
    <x v="31"/>
    <x v="150"/>
    <x v="150"/>
    <m/>
    <m/>
    <s v="Break 30 Night"/>
    <d v="1899-12-30T22:15:00"/>
    <d v="1899-12-30T22:45:00"/>
    <n v="0"/>
    <x v="1"/>
  </r>
  <r>
    <x v="0"/>
    <s v="Egypt"/>
    <x v="31"/>
    <x v="150"/>
    <x v="150"/>
    <d v="2025-06-25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30:00"/>
    <d v="1899-12-30T19:45:00"/>
    <n v="0"/>
    <x v="1"/>
  </r>
  <r>
    <x v="0"/>
    <s v="Egypt"/>
    <x v="31"/>
    <x v="150"/>
    <x v="150"/>
    <m/>
    <m/>
    <s v="Break 30 Night"/>
    <d v="1899-12-30T22:30:00"/>
    <d v="1899-12-30T23:00:00"/>
    <n v="0"/>
    <x v="1"/>
  </r>
  <r>
    <x v="0"/>
    <s v="Egypt"/>
    <x v="31"/>
    <x v="150"/>
    <x v="150"/>
    <d v="2025-06-26T00:00:00"/>
    <d v="1899-12-30T08:15:00"/>
    <s v="Non Telecom Assyot"/>
    <d v="1899-12-30T17:15:00"/>
    <s v="+1:30 AM"/>
    <n v="29700"/>
    <x v="0"/>
  </r>
  <r>
    <x v="0"/>
    <s v="Egypt"/>
    <x v="31"/>
    <x v="150"/>
    <x v="150"/>
    <m/>
    <m/>
    <s v="Break 15 Night"/>
    <d v="1899-12-30T19:15:00"/>
    <d v="1899-12-30T19:30:00"/>
    <n v="0"/>
    <x v="1"/>
  </r>
  <r>
    <x v="0"/>
    <s v="Egypt"/>
    <x v="31"/>
    <x v="150"/>
    <x v="150"/>
    <m/>
    <m/>
    <s v="Break 30 Night"/>
    <d v="1899-12-30T22:00:00"/>
    <d v="1899-12-30T22:30:00"/>
    <n v="0"/>
    <x v="1"/>
  </r>
  <r>
    <x v="0"/>
    <s v="Egypt"/>
    <x v="31"/>
    <x v="150"/>
    <x v="150"/>
    <d v="2025-06-27T00:00:00"/>
    <d v="1899-12-30T08:15:00"/>
    <s v="Annual Exception"/>
    <m/>
    <m/>
    <n v="29700"/>
    <x v="1"/>
  </r>
  <r>
    <x v="0"/>
    <s v="Egypt"/>
    <x v="31"/>
    <x v="150"/>
    <x v="150"/>
    <d v="2025-06-28T00:00:00"/>
    <m/>
    <s v="Day Off"/>
    <m/>
    <m/>
    <n v="0"/>
    <x v="1"/>
  </r>
  <r>
    <x v="0"/>
    <s v="Egypt"/>
    <x v="31"/>
    <x v="150"/>
    <x v="150"/>
    <d v="2025-06-29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5:15:00"/>
    <d v="1899-12-30T15:30:00"/>
    <n v="0"/>
    <x v="1"/>
  </r>
  <r>
    <x v="0"/>
    <s v="Egypt"/>
    <x v="31"/>
    <x v="150"/>
    <x v="150"/>
    <m/>
    <m/>
    <s v="Break 30 Morning"/>
    <d v="1899-12-30T18:45:00"/>
    <d v="1899-12-30T19:15:00"/>
    <n v="0"/>
    <x v="1"/>
  </r>
  <r>
    <x v="0"/>
    <s v="Egypt"/>
    <x v="31"/>
    <x v="150"/>
    <x v="150"/>
    <d v="2025-06-30T00:00:00"/>
    <d v="1899-12-30T08:15:00"/>
    <s v="Non Telecom Assyot"/>
    <d v="1899-12-30T14:00:00"/>
    <d v="1899-12-30T22:15:00"/>
    <n v="29700"/>
    <x v="0"/>
  </r>
  <r>
    <x v="0"/>
    <s v="Egypt"/>
    <x v="31"/>
    <x v="150"/>
    <x v="150"/>
    <m/>
    <m/>
    <s v="Break 15 Morning"/>
    <d v="1899-12-30T16:00:00"/>
    <d v="1899-12-30T16:15:00"/>
    <n v="0"/>
    <x v="1"/>
  </r>
  <r>
    <x v="0"/>
    <s v="Egypt"/>
    <x v="31"/>
    <x v="150"/>
    <x v="150"/>
    <m/>
    <m/>
    <s v="Break 30 Morning"/>
    <d v="1899-12-30T19:00:00"/>
    <d v="1899-12-30T19:30:00"/>
    <n v="0"/>
    <x v="1"/>
  </r>
  <r>
    <x v="0"/>
    <s v="Egypt"/>
    <x v="31"/>
    <x v="151"/>
    <x v="151"/>
    <d v="2025-06-05T00:00:00"/>
    <d v="1899-12-30T08:15:00"/>
    <s v="Public holiday"/>
    <m/>
    <m/>
    <n v="29700"/>
    <x v="1"/>
  </r>
  <r>
    <x v="0"/>
    <s v="Egypt"/>
    <x v="31"/>
    <x v="151"/>
    <x v="151"/>
    <d v="2025-06-06T00:00:00"/>
    <m/>
    <s v="Day Off"/>
    <m/>
    <m/>
    <n v="0"/>
    <x v="1"/>
  </r>
  <r>
    <x v="0"/>
    <s v="Egypt"/>
    <x v="31"/>
    <x v="151"/>
    <x v="151"/>
    <d v="2025-06-07T00:00:00"/>
    <m/>
    <s v="Day Off"/>
    <m/>
    <m/>
    <n v="0"/>
    <x v="1"/>
  </r>
  <r>
    <x v="0"/>
    <s v="Egypt"/>
    <x v="31"/>
    <x v="151"/>
    <x v="151"/>
    <d v="2025-06-08T00:00:00"/>
    <d v="1899-12-30T08:15:00"/>
    <s v="Public holiday"/>
    <m/>
    <m/>
    <n v="29700"/>
    <x v="1"/>
  </r>
  <r>
    <x v="0"/>
    <s v="Egypt"/>
    <x v="31"/>
    <x v="151"/>
    <x v="151"/>
    <d v="2025-06-09T00:00:00"/>
    <m/>
    <s v="Day Off"/>
    <m/>
    <m/>
    <n v="0"/>
    <x v="1"/>
  </r>
  <r>
    <x v="0"/>
    <s v="Egypt"/>
    <x v="31"/>
    <x v="151"/>
    <x v="151"/>
    <d v="2025-06-10T00:00:00"/>
    <m/>
    <s v="Day Off"/>
    <m/>
    <m/>
    <n v="0"/>
    <x v="1"/>
  </r>
  <r>
    <x v="0"/>
    <s v="Egypt"/>
    <x v="31"/>
    <x v="151"/>
    <x v="151"/>
    <d v="2025-06-11T00:00:00"/>
    <d v="1899-12-30T08:15:00"/>
    <s v="Non Telecom Assyot"/>
    <d v="1899-12-30T11:00:00"/>
    <d v="1899-12-30T19:15:00"/>
    <n v="29700"/>
    <x v="0"/>
  </r>
  <r>
    <x v="0"/>
    <s v="Egypt"/>
    <x v="31"/>
    <x v="151"/>
    <x v="151"/>
    <m/>
    <m/>
    <s v="Break 15 Morning"/>
    <d v="1899-12-30T12:45:00"/>
    <d v="1899-12-30T13:00:00"/>
    <n v="0"/>
    <x v="1"/>
  </r>
  <r>
    <x v="0"/>
    <s v="Egypt"/>
    <x v="31"/>
    <x v="151"/>
    <x v="151"/>
    <m/>
    <m/>
    <s v="One to One"/>
    <d v="1899-12-30T14:30:00"/>
    <d v="1899-12-30T14:45:00"/>
    <n v="0"/>
    <x v="1"/>
  </r>
  <r>
    <x v="0"/>
    <s v="Egypt"/>
    <x v="31"/>
    <x v="151"/>
    <x v="151"/>
    <m/>
    <m/>
    <s v="Break 30 Morning"/>
    <d v="1899-12-30T16:15:00"/>
    <d v="1899-12-30T16:45:00"/>
    <n v="0"/>
    <x v="1"/>
  </r>
  <r>
    <x v="0"/>
    <s v="Egypt"/>
    <x v="31"/>
    <x v="151"/>
    <x v="151"/>
    <d v="2025-06-12T00:00:00"/>
    <d v="1899-12-30T08:15:00"/>
    <s v="Non Telecom Assyot"/>
    <d v="1899-12-30T11:00:00"/>
    <d v="1899-12-30T19:15:00"/>
    <n v="29700"/>
    <x v="0"/>
  </r>
  <r>
    <x v="0"/>
    <s v="Egypt"/>
    <x v="31"/>
    <x v="151"/>
    <x v="151"/>
    <m/>
    <m/>
    <s v="Break 15 Morning"/>
    <d v="1899-12-30T12:30:00"/>
    <d v="1899-12-30T12:45:00"/>
    <n v="0"/>
    <x v="1"/>
  </r>
  <r>
    <x v="0"/>
    <s v="Egypt"/>
    <x v="31"/>
    <x v="151"/>
    <x v="151"/>
    <m/>
    <m/>
    <s v="One to One"/>
    <d v="1899-12-30T14:30:00"/>
    <d v="1899-12-30T14:45:00"/>
    <n v="0"/>
    <x v="1"/>
  </r>
  <r>
    <x v="0"/>
    <s v="Egypt"/>
    <x v="31"/>
    <x v="151"/>
    <x v="151"/>
    <m/>
    <m/>
    <s v="Break 30 Morning"/>
    <d v="1899-12-30T15:45:00"/>
    <d v="1899-12-30T16:15:00"/>
    <n v="0"/>
    <x v="1"/>
  </r>
  <r>
    <x v="0"/>
    <s v="Egypt"/>
    <x v="31"/>
    <x v="151"/>
    <x v="151"/>
    <d v="2025-06-13T00:00:00"/>
    <d v="1899-12-30T08:15:00"/>
    <s v="Non Telecom Assyot"/>
    <d v="1899-12-30T11:00:00"/>
    <d v="1899-12-30T19:15:00"/>
    <n v="29700"/>
    <x v="0"/>
  </r>
  <r>
    <x v="0"/>
    <s v="Egypt"/>
    <x v="31"/>
    <x v="151"/>
    <x v="151"/>
    <m/>
    <m/>
    <s v="Break 15 Morning"/>
    <d v="1899-12-30T12:15:00"/>
    <d v="1899-12-30T12:30:00"/>
    <n v="0"/>
    <x v="1"/>
  </r>
  <r>
    <x v="0"/>
    <s v="Egypt"/>
    <x v="31"/>
    <x v="151"/>
    <x v="151"/>
    <m/>
    <m/>
    <s v="Friday Pray"/>
    <d v="1899-12-30T12:55:00"/>
    <d v="1899-12-30T13:50:00"/>
    <n v="0"/>
    <x v="1"/>
  </r>
  <r>
    <x v="0"/>
    <s v="Egypt"/>
    <x v="31"/>
    <x v="151"/>
    <x v="151"/>
    <m/>
    <m/>
    <s v="One to One"/>
    <d v="1899-12-30T14:00:00"/>
    <d v="1899-12-30T14:15:00"/>
    <n v="0"/>
    <x v="1"/>
  </r>
  <r>
    <x v="0"/>
    <s v="Egypt"/>
    <x v="31"/>
    <x v="151"/>
    <x v="151"/>
    <m/>
    <m/>
    <s v="Break 30 Morning"/>
    <d v="1899-12-30T15:30:00"/>
    <d v="1899-12-30T16:00:00"/>
    <n v="0"/>
    <x v="1"/>
  </r>
  <r>
    <x v="0"/>
    <s v="Egypt"/>
    <x v="31"/>
    <x v="151"/>
    <x v="151"/>
    <d v="2025-06-14T00:00:00"/>
    <d v="1899-12-30T08:15:00"/>
    <s v="Non Telecom Assyot"/>
    <d v="1899-12-30T11:00:00"/>
    <d v="1899-12-30T19:15:00"/>
    <n v="29700"/>
    <x v="0"/>
  </r>
  <r>
    <x v="0"/>
    <s v="Egypt"/>
    <x v="31"/>
    <x v="151"/>
    <x v="151"/>
    <m/>
    <m/>
    <s v="Break 15 Morning"/>
    <d v="1899-12-30T12:45:00"/>
    <d v="1899-12-30T13:00:00"/>
    <n v="0"/>
    <x v="1"/>
  </r>
  <r>
    <x v="0"/>
    <s v="Egypt"/>
    <x v="31"/>
    <x v="151"/>
    <x v="151"/>
    <m/>
    <m/>
    <s v="One to One"/>
    <d v="1899-12-30T14:45:00"/>
    <d v="1899-12-30T15:00:00"/>
    <n v="0"/>
    <x v="1"/>
  </r>
  <r>
    <x v="0"/>
    <s v="Egypt"/>
    <x v="31"/>
    <x v="151"/>
    <x v="151"/>
    <m/>
    <m/>
    <s v="Break 30 Morning"/>
    <d v="1899-12-30T15:45:00"/>
    <d v="1899-12-30T16:15:00"/>
    <n v="0"/>
    <x v="1"/>
  </r>
  <r>
    <x v="0"/>
    <s v="Egypt"/>
    <x v="31"/>
    <x v="151"/>
    <x v="151"/>
    <d v="2025-06-15T00:00:00"/>
    <d v="1899-12-30T08:15:00"/>
    <s v="Non Telecom Assyot"/>
    <d v="1899-12-30T11:00:00"/>
    <d v="1899-12-30T19:15:00"/>
    <n v="29700"/>
    <x v="0"/>
  </r>
  <r>
    <x v="0"/>
    <s v="Egypt"/>
    <x v="31"/>
    <x v="151"/>
    <x v="151"/>
    <m/>
    <m/>
    <s v="Break 15 Morning"/>
    <d v="1899-12-30T12:45:00"/>
    <d v="1899-12-30T13:00:00"/>
    <n v="0"/>
    <x v="1"/>
  </r>
  <r>
    <x v="0"/>
    <s v="Egypt"/>
    <x v="31"/>
    <x v="151"/>
    <x v="151"/>
    <m/>
    <m/>
    <s v="Break 30 Morning"/>
    <d v="1899-12-30T16:15:00"/>
    <d v="1899-12-30T16:45:00"/>
    <n v="0"/>
    <x v="1"/>
  </r>
  <r>
    <x v="0"/>
    <s v="Egypt"/>
    <x v="31"/>
    <x v="151"/>
    <x v="151"/>
    <d v="2025-06-16T00:00:00"/>
    <m/>
    <s v="Day Off"/>
    <m/>
    <m/>
    <n v="0"/>
    <x v="1"/>
  </r>
  <r>
    <x v="0"/>
    <s v="Egypt"/>
    <x v="31"/>
    <x v="151"/>
    <x v="151"/>
    <d v="2025-06-17T00:00:00"/>
    <m/>
    <s v="Day Off"/>
    <m/>
    <m/>
    <n v="0"/>
    <x v="1"/>
  </r>
  <r>
    <x v="0"/>
    <s v="Egypt"/>
    <x v="31"/>
    <x v="151"/>
    <x v="151"/>
    <d v="2025-06-18T00:00:00"/>
    <d v="1899-12-30T08:15:00"/>
    <s v="Non Telecom Assyot"/>
    <d v="1899-12-30T14:00:00"/>
    <d v="1899-12-30T22:15:00"/>
    <n v="29700"/>
    <x v="0"/>
  </r>
  <r>
    <x v="0"/>
    <s v="Egypt"/>
    <x v="31"/>
    <x v="151"/>
    <x v="151"/>
    <m/>
    <m/>
    <s v="Break 15 Morning"/>
    <d v="1899-12-30T16:00:00"/>
    <d v="1899-12-30T16:15:00"/>
    <n v="0"/>
    <x v="1"/>
  </r>
  <r>
    <x v="0"/>
    <s v="Egypt"/>
    <x v="31"/>
    <x v="151"/>
    <x v="151"/>
    <m/>
    <m/>
    <s v="Break 30 Morning"/>
    <d v="1899-12-30T18:45:00"/>
    <d v="1899-12-30T19:15:00"/>
    <n v="0"/>
    <x v="1"/>
  </r>
  <r>
    <x v="0"/>
    <s v="Egypt"/>
    <x v="31"/>
    <x v="151"/>
    <x v="151"/>
    <d v="2025-06-19T00:00:00"/>
    <d v="1899-12-30T08:15:00"/>
    <s v="Non Telecom Assyot"/>
    <d v="1899-12-30T14:00:00"/>
    <d v="1899-12-30T22:15:00"/>
    <n v="29700"/>
    <x v="0"/>
  </r>
  <r>
    <x v="0"/>
    <s v="Egypt"/>
    <x v="31"/>
    <x v="151"/>
    <x v="151"/>
    <m/>
    <m/>
    <s v="Break 15 Morning"/>
    <d v="1899-12-30T16:00:00"/>
    <d v="1899-12-30T16:15:00"/>
    <n v="0"/>
    <x v="1"/>
  </r>
  <r>
    <x v="0"/>
    <s v="Egypt"/>
    <x v="31"/>
    <x v="151"/>
    <x v="151"/>
    <m/>
    <m/>
    <s v="Break 30 Morning"/>
    <d v="1899-12-30T18:15:00"/>
    <d v="1899-12-30T18:45:00"/>
    <n v="0"/>
    <x v="1"/>
  </r>
  <r>
    <x v="0"/>
    <s v="Egypt"/>
    <x v="31"/>
    <x v="151"/>
    <x v="151"/>
    <d v="2025-06-20T00:00:00"/>
    <d v="1899-12-30T08:15:00"/>
    <s v="Non Telecom Assyot"/>
    <d v="1899-12-30T14:00:00"/>
    <d v="1899-12-30T22:15:00"/>
    <n v="29700"/>
    <x v="0"/>
  </r>
  <r>
    <x v="0"/>
    <s v="Egypt"/>
    <x v="31"/>
    <x v="151"/>
    <x v="151"/>
    <m/>
    <m/>
    <s v="Break 15 Morning"/>
    <d v="1899-12-30T15:30:00"/>
    <d v="1899-12-30T15:45:00"/>
    <n v="0"/>
    <x v="1"/>
  </r>
  <r>
    <x v="0"/>
    <s v="Egypt"/>
    <x v="31"/>
    <x v="151"/>
    <x v="151"/>
    <m/>
    <m/>
    <s v="Break 30 Morning"/>
    <d v="1899-12-30T18:45:00"/>
    <d v="1899-12-30T19:15:00"/>
    <n v="0"/>
    <x v="1"/>
  </r>
  <r>
    <x v="0"/>
    <s v="Egypt"/>
    <x v="31"/>
    <x v="151"/>
    <x v="151"/>
    <d v="2025-06-21T00:00:00"/>
    <d v="1899-12-30T08:15:00"/>
    <s v="Non Telecom Assyot"/>
    <d v="1899-12-30T14:00:00"/>
    <d v="1899-12-30T22:15:00"/>
    <n v="29700"/>
    <x v="0"/>
  </r>
  <r>
    <x v="0"/>
    <s v="Egypt"/>
    <x v="31"/>
    <x v="151"/>
    <x v="151"/>
    <m/>
    <m/>
    <s v="Break 15 Morning"/>
    <d v="1899-12-30T15:45:00"/>
    <d v="1899-12-30T16:00:00"/>
    <n v="0"/>
    <x v="1"/>
  </r>
  <r>
    <x v="0"/>
    <s v="Egypt"/>
    <x v="31"/>
    <x v="151"/>
    <x v="151"/>
    <m/>
    <m/>
    <s v="Break 30 Morning"/>
    <d v="1899-12-30T18:30:00"/>
    <d v="1899-12-30T19:00:00"/>
    <n v="0"/>
    <x v="1"/>
  </r>
  <r>
    <x v="0"/>
    <s v="Egypt"/>
    <x v="31"/>
    <x v="151"/>
    <x v="151"/>
    <d v="2025-06-22T00:00:00"/>
    <d v="1899-12-30T08:15:00"/>
    <s v="Non Telecom Assyot"/>
    <d v="1899-12-30T14:00:00"/>
    <d v="1899-12-30T22:15:00"/>
    <n v="29700"/>
    <x v="0"/>
  </r>
  <r>
    <x v="0"/>
    <s v="Egypt"/>
    <x v="31"/>
    <x v="151"/>
    <x v="151"/>
    <m/>
    <m/>
    <s v="Break 15 Morning"/>
    <d v="1899-12-30T15:45:00"/>
    <d v="1899-12-30T16:00:00"/>
    <n v="0"/>
    <x v="1"/>
  </r>
  <r>
    <x v="0"/>
    <s v="Egypt"/>
    <x v="31"/>
    <x v="151"/>
    <x v="151"/>
    <m/>
    <m/>
    <s v="Break 30 Morning"/>
    <d v="1899-12-30T18:15:00"/>
    <d v="1899-12-30T18:45:00"/>
    <n v="0"/>
    <x v="1"/>
  </r>
  <r>
    <x v="0"/>
    <s v="Egypt"/>
    <x v="31"/>
    <x v="151"/>
    <x v="151"/>
    <d v="2025-06-23T00:00:00"/>
    <m/>
    <s v="Day Off"/>
    <m/>
    <m/>
    <n v="0"/>
    <x v="1"/>
  </r>
  <r>
    <x v="0"/>
    <s v="Egypt"/>
    <x v="31"/>
    <x v="151"/>
    <x v="151"/>
    <d v="2025-06-24T00:00:00"/>
    <m/>
    <s v="Day Off"/>
    <m/>
    <m/>
    <n v="0"/>
    <x v="1"/>
  </r>
  <r>
    <x v="0"/>
    <s v="Egypt"/>
    <x v="31"/>
    <x v="151"/>
    <x v="151"/>
    <d v="2025-06-25T00:00:00"/>
    <d v="1899-12-30T08:15:00"/>
    <s v="Non Telecom Assyot"/>
    <d v="1899-12-30T17:15:00"/>
    <s v="+1:30 AM"/>
    <n v="29700"/>
    <x v="0"/>
  </r>
  <r>
    <x v="0"/>
    <s v="Egypt"/>
    <x v="31"/>
    <x v="151"/>
    <x v="151"/>
    <m/>
    <m/>
    <s v="Break 15 Night"/>
    <d v="1899-12-30T19:45:00"/>
    <d v="1899-12-30T20:00:00"/>
    <n v="0"/>
    <x v="1"/>
  </r>
  <r>
    <x v="0"/>
    <s v="Egypt"/>
    <x v="31"/>
    <x v="151"/>
    <x v="151"/>
    <m/>
    <m/>
    <s v="Break 30 Night"/>
    <d v="1899-12-30T22:30:00"/>
    <d v="1899-12-30T23:00:00"/>
    <n v="0"/>
    <x v="1"/>
  </r>
  <r>
    <x v="0"/>
    <s v="Egypt"/>
    <x v="31"/>
    <x v="151"/>
    <x v="151"/>
    <d v="2025-06-26T00:00:00"/>
    <d v="1899-12-30T08:15:00"/>
    <s v="Non Telecom Assyot"/>
    <d v="1899-12-30T17:15:00"/>
    <s v="+1:30 AM"/>
    <n v="29700"/>
    <x v="0"/>
  </r>
  <r>
    <x v="0"/>
    <s v="Egypt"/>
    <x v="31"/>
    <x v="151"/>
    <x v="151"/>
    <m/>
    <m/>
    <s v="Break 15 Night"/>
    <d v="1899-12-30T19:30:00"/>
    <d v="1899-12-30T19:45:00"/>
    <n v="0"/>
    <x v="1"/>
  </r>
  <r>
    <x v="0"/>
    <s v="Egypt"/>
    <x v="31"/>
    <x v="151"/>
    <x v="151"/>
    <m/>
    <m/>
    <s v="Break 30 Night"/>
    <d v="1899-12-30T22:30:00"/>
    <d v="1899-12-30T23:00:00"/>
    <n v="0"/>
    <x v="1"/>
  </r>
  <r>
    <x v="0"/>
    <s v="Egypt"/>
    <x v="31"/>
    <x v="151"/>
    <x v="151"/>
    <d v="2025-06-27T00:00:00"/>
    <d v="1899-12-30T08:15:00"/>
    <s v="Non Telecom Assyot"/>
    <d v="1899-12-30T17:15:00"/>
    <s v="+1:30 AM"/>
    <n v="29700"/>
    <x v="0"/>
  </r>
  <r>
    <x v="0"/>
    <s v="Egypt"/>
    <x v="31"/>
    <x v="151"/>
    <x v="151"/>
    <m/>
    <m/>
    <s v="Break 15 Night"/>
    <d v="1899-12-30T19:45:00"/>
    <d v="1899-12-30T20:00:00"/>
    <n v="0"/>
    <x v="1"/>
  </r>
  <r>
    <x v="0"/>
    <s v="Egypt"/>
    <x v="31"/>
    <x v="151"/>
    <x v="151"/>
    <m/>
    <m/>
    <s v="Break 30 Night"/>
    <d v="1899-12-30T22:45:00"/>
    <d v="1899-12-30T23:15:00"/>
    <n v="0"/>
    <x v="1"/>
  </r>
  <r>
    <x v="0"/>
    <s v="Egypt"/>
    <x v="31"/>
    <x v="151"/>
    <x v="151"/>
    <d v="2025-06-28T00:00:00"/>
    <d v="1899-12-30T08:15:00"/>
    <s v="Non Telecom Assyot"/>
    <d v="1899-12-30T17:15:00"/>
    <s v="+1:30 AM"/>
    <n v="29700"/>
    <x v="0"/>
  </r>
  <r>
    <x v="0"/>
    <s v="Egypt"/>
    <x v="31"/>
    <x v="151"/>
    <x v="151"/>
    <m/>
    <m/>
    <s v="Break 15 Night"/>
    <d v="1899-12-30T19:30:00"/>
    <d v="1899-12-30T19:45:00"/>
    <n v="0"/>
    <x v="1"/>
  </r>
  <r>
    <x v="0"/>
    <s v="Egypt"/>
    <x v="31"/>
    <x v="151"/>
    <x v="151"/>
    <m/>
    <m/>
    <s v="Break 30 Night"/>
    <d v="1899-12-30T23:00:00"/>
    <d v="1899-12-30T23:30:00"/>
    <n v="0"/>
    <x v="1"/>
  </r>
  <r>
    <x v="0"/>
    <s v="Egypt"/>
    <x v="31"/>
    <x v="151"/>
    <x v="151"/>
    <d v="2025-06-29T00:00:00"/>
    <m/>
    <s v="Day Off"/>
    <m/>
    <m/>
    <n v="0"/>
    <x v="1"/>
  </r>
  <r>
    <x v="0"/>
    <s v="Egypt"/>
    <x v="31"/>
    <x v="151"/>
    <x v="151"/>
    <d v="2025-06-30T00:00:00"/>
    <d v="1899-12-30T08:15:00"/>
    <s v="Non Telecom Assyot"/>
    <d v="1899-12-30T17:15:00"/>
    <s v="+1:30 AM"/>
    <n v="29700"/>
    <x v="0"/>
  </r>
  <r>
    <x v="0"/>
    <s v="Egypt"/>
    <x v="31"/>
    <x v="151"/>
    <x v="151"/>
    <m/>
    <m/>
    <s v="Break 15 Night"/>
    <d v="1899-12-30T19:45:00"/>
    <d v="1899-12-30T20:00:00"/>
    <n v="0"/>
    <x v="1"/>
  </r>
  <r>
    <x v="0"/>
    <s v="Egypt"/>
    <x v="31"/>
    <x v="151"/>
    <x v="151"/>
    <m/>
    <m/>
    <s v="Break 30 Night"/>
    <d v="1899-12-30T23:00:00"/>
    <d v="1899-12-30T23:30:00"/>
    <n v="0"/>
    <x v="1"/>
  </r>
  <r>
    <x v="0"/>
    <s v="Egypt"/>
    <x v="31"/>
    <x v="152"/>
    <x v="152"/>
    <d v="2025-06-01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19:30:00"/>
    <d v="1899-12-30T19:45:00"/>
    <n v="0"/>
    <x v="1"/>
  </r>
  <r>
    <x v="0"/>
    <s v="Egypt"/>
    <x v="31"/>
    <x v="152"/>
    <x v="152"/>
    <m/>
    <m/>
    <s v="Break 30 Night"/>
    <d v="1899-12-30T22:45:00"/>
    <d v="1899-12-30T23:15:00"/>
    <n v="0"/>
    <x v="1"/>
  </r>
  <r>
    <x v="0"/>
    <s v="Egypt"/>
    <x v="31"/>
    <x v="152"/>
    <x v="152"/>
    <d v="2025-06-02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19:30:00"/>
    <d v="1899-12-30T19:45:00"/>
    <n v="0"/>
    <x v="1"/>
  </r>
  <r>
    <x v="0"/>
    <s v="Egypt"/>
    <x v="31"/>
    <x v="152"/>
    <x v="152"/>
    <m/>
    <m/>
    <s v="Break 30 Night"/>
    <d v="1899-12-30T22:45:00"/>
    <d v="1899-12-30T23:15:00"/>
    <n v="0"/>
    <x v="1"/>
  </r>
  <r>
    <x v="0"/>
    <s v="Egypt"/>
    <x v="31"/>
    <x v="152"/>
    <x v="152"/>
    <d v="2025-06-03T00:00:00"/>
    <m/>
    <s v="Day Off"/>
    <m/>
    <m/>
    <n v="0"/>
    <x v="1"/>
  </r>
  <r>
    <x v="0"/>
    <s v="Egypt"/>
    <x v="31"/>
    <x v="152"/>
    <x v="152"/>
    <d v="2025-06-04T00:00:00"/>
    <m/>
    <s v="Day Off"/>
    <m/>
    <m/>
    <n v="0"/>
    <x v="1"/>
  </r>
  <r>
    <x v="0"/>
    <s v="Egypt"/>
    <x v="31"/>
    <x v="152"/>
    <x v="152"/>
    <d v="2025-06-05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19:45:00"/>
    <d v="1899-12-30T20:00:00"/>
    <n v="0"/>
    <x v="1"/>
  </r>
  <r>
    <x v="0"/>
    <s v="Egypt"/>
    <x v="31"/>
    <x v="152"/>
    <x v="152"/>
    <m/>
    <m/>
    <s v="Break 30 Night"/>
    <d v="1899-12-30T23:15:00"/>
    <d v="1899-12-30T23:45:00"/>
    <n v="0"/>
    <x v="1"/>
  </r>
  <r>
    <x v="0"/>
    <s v="Egypt"/>
    <x v="31"/>
    <x v="152"/>
    <x v="152"/>
    <d v="2025-06-06T00:00:00"/>
    <d v="1899-12-30T08:15:00"/>
    <s v="Public holiday"/>
    <m/>
    <m/>
    <n v="29700"/>
    <x v="1"/>
  </r>
  <r>
    <x v="0"/>
    <s v="Egypt"/>
    <x v="31"/>
    <x v="152"/>
    <x v="152"/>
    <d v="2025-06-07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5:45:00"/>
    <d v="1899-12-30T16:00:00"/>
    <n v="0"/>
    <x v="1"/>
  </r>
  <r>
    <x v="0"/>
    <s v="Egypt"/>
    <x v="31"/>
    <x v="152"/>
    <x v="152"/>
    <m/>
    <m/>
    <s v="Break 30 Morning"/>
    <d v="1899-12-30T18:45:00"/>
    <d v="1899-12-30T19:15:00"/>
    <n v="0"/>
    <x v="1"/>
  </r>
  <r>
    <x v="0"/>
    <s v="Egypt"/>
    <x v="31"/>
    <x v="152"/>
    <x v="152"/>
    <d v="2025-06-08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19:30:00"/>
    <d v="1899-12-30T19:45:00"/>
    <n v="0"/>
    <x v="1"/>
  </r>
  <r>
    <x v="0"/>
    <s v="Egypt"/>
    <x v="31"/>
    <x v="152"/>
    <x v="152"/>
    <m/>
    <m/>
    <s v="Break 30 Night"/>
    <d v="1899-12-30T22:45:00"/>
    <d v="1899-12-30T23:15:00"/>
    <n v="0"/>
    <x v="1"/>
  </r>
  <r>
    <x v="0"/>
    <s v="Egypt"/>
    <x v="31"/>
    <x v="152"/>
    <x v="152"/>
    <d v="2025-06-09T00:00:00"/>
    <m/>
    <s v="Day Off"/>
    <m/>
    <m/>
    <n v="0"/>
    <x v="1"/>
  </r>
  <r>
    <x v="0"/>
    <s v="Egypt"/>
    <x v="31"/>
    <x v="152"/>
    <x v="152"/>
    <d v="2025-06-10T00:00:00"/>
    <m/>
    <s v="Day Off"/>
    <m/>
    <m/>
    <n v="0"/>
    <x v="1"/>
  </r>
  <r>
    <x v="0"/>
    <s v="Egypt"/>
    <x v="31"/>
    <x v="152"/>
    <x v="152"/>
    <d v="2025-06-11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19:45:00"/>
    <d v="1899-12-30T20:00:00"/>
    <n v="0"/>
    <x v="1"/>
  </r>
  <r>
    <x v="0"/>
    <s v="Egypt"/>
    <x v="31"/>
    <x v="152"/>
    <x v="152"/>
    <m/>
    <m/>
    <s v="Break 30 Night"/>
    <d v="1899-12-30T23:00:00"/>
    <d v="1899-12-30T23:30:00"/>
    <n v="0"/>
    <x v="1"/>
  </r>
  <r>
    <x v="0"/>
    <s v="Egypt"/>
    <x v="31"/>
    <x v="152"/>
    <x v="152"/>
    <d v="2025-06-12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20:15:00"/>
    <d v="1899-12-30T20:30:00"/>
    <n v="0"/>
    <x v="1"/>
  </r>
  <r>
    <x v="0"/>
    <s v="Egypt"/>
    <x v="31"/>
    <x v="152"/>
    <x v="152"/>
    <m/>
    <m/>
    <s v="Break 30 Night"/>
    <d v="1899-12-30T23:00:00"/>
    <d v="1899-12-30T23:30:00"/>
    <n v="0"/>
    <x v="1"/>
  </r>
  <r>
    <x v="0"/>
    <s v="Egypt"/>
    <x v="31"/>
    <x v="152"/>
    <x v="152"/>
    <d v="2025-06-13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5:45:00"/>
    <d v="1899-12-30T16:00:00"/>
    <n v="0"/>
    <x v="1"/>
  </r>
  <r>
    <x v="0"/>
    <s v="Egypt"/>
    <x v="31"/>
    <x v="152"/>
    <x v="152"/>
    <m/>
    <m/>
    <s v="Break 30 Morning"/>
    <d v="1899-12-30T19:00:00"/>
    <d v="1899-12-30T19:30:00"/>
    <n v="0"/>
    <x v="1"/>
  </r>
  <r>
    <x v="0"/>
    <s v="Egypt"/>
    <x v="31"/>
    <x v="152"/>
    <x v="152"/>
    <d v="2025-06-14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5:30:00"/>
    <d v="1899-12-30T15:45:00"/>
    <n v="0"/>
    <x v="1"/>
  </r>
  <r>
    <x v="0"/>
    <s v="Egypt"/>
    <x v="31"/>
    <x v="152"/>
    <x v="152"/>
    <m/>
    <m/>
    <s v="Break 30 Morning"/>
    <d v="1899-12-30T18:45:00"/>
    <d v="1899-12-30T19:15:00"/>
    <n v="0"/>
    <x v="1"/>
  </r>
  <r>
    <x v="0"/>
    <s v="Egypt"/>
    <x v="31"/>
    <x v="152"/>
    <x v="152"/>
    <d v="2025-06-15T00:00:00"/>
    <m/>
    <s v="Day Off"/>
    <m/>
    <m/>
    <n v="0"/>
    <x v="1"/>
  </r>
  <r>
    <x v="0"/>
    <s v="Egypt"/>
    <x v="31"/>
    <x v="152"/>
    <x v="152"/>
    <d v="2025-06-16T00:00:00"/>
    <m/>
    <s v="Day Off"/>
    <m/>
    <m/>
    <n v="0"/>
    <x v="1"/>
  </r>
  <r>
    <x v="0"/>
    <s v="Egypt"/>
    <x v="31"/>
    <x v="152"/>
    <x v="152"/>
    <d v="2025-06-17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5:45:00"/>
    <d v="1899-12-30T16:00:00"/>
    <n v="0"/>
    <x v="1"/>
  </r>
  <r>
    <x v="0"/>
    <s v="Egypt"/>
    <x v="31"/>
    <x v="152"/>
    <x v="152"/>
    <m/>
    <m/>
    <s v="Break 30 Morning"/>
    <d v="1899-12-30T19:30:00"/>
    <d v="1899-12-30T20:00:00"/>
    <n v="0"/>
    <x v="1"/>
  </r>
  <r>
    <x v="0"/>
    <s v="Egypt"/>
    <x v="31"/>
    <x v="152"/>
    <x v="152"/>
    <d v="2025-06-18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6:15:00"/>
    <d v="1899-12-30T16:30:00"/>
    <n v="0"/>
    <x v="1"/>
  </r>
  <r>
    <x v="0"/>
    <s v="Egypt"/>
    <x v="31"/>
    <x v="152"/>
    <x v="152"/>
    <m/>
    <m/>
    <s v="Break 30 Morning"/>
    <d v="1899-12-30T18:45:00"/>
    <d v="1899-12-30T19:15:00"/>
    <n v="0"/>
    <x v="1"/>
  </r>
  <r>
    <x v="0"/>
    <s v="Egypt"/>
    <x v="31"/>
    <x v="152"/>
    <x v="152"/>
    <d v="2025-06-19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Shift Swap"/>
    <d v="1899-12-30T14:00:00"/>
    <d v="1899-12-30T14:15:00"/>
    <n v="0"/>
    <x v="1"/>
  </r>
  <r>
    <x v="0"/>
    <s v="Egypt"/>
    <x v="31"/>
    <x v="152"/>
    <x v="152"/>
    <m/>
    <m/>
    <s v="Break 15 Morning"/>
    <d v="1899-12-30T15:00:00"/>
    <d v="1899-12-30T15:15:00"/>
    <n v="0"/>
    <x v="1"/>
  </r>
  <r>
    <x v="0"/>
    <s v="Egypt"/>
    <x v="31"/>
    <x v="152"/>
    <x v="152"/>
    <m/>
    <m/>
    <s v="Break 30 Morning"/>
    <d v="1899-12-30T17:30:00"/>
    <d v="1899-12-30T18:00:00"/>
    <n v="0"/>
    <x v="1"/>
  </r>
  <r>
    <x v="0"/>
    <s v="Egypt"/>
    <x v="31"/>
    <x v="152"/>
    <x v="152"/>
    <d v="2025-06-20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6:15:00"/>
    <d v="1899-12-30T16:30:00"/>
    <n v="0"/>
    <x v="1"/>
  </r>
  <r>
    <x v="0"/>
    <s v="Egypt"/>
    <x v="31"/>
    <x v="152"/>
    <x v="152"/>
    <m/>
    <m/>
    <s v="Break 30 Morning"/>
    <d v="1899-12-30T19:15:00"/>
    <d v="1899-12-30T19:45:00"/>
    <n v="0"/>
    <x v="1"/>
  </r>
  <r>
    <x v="0"/>
    <s v="Egypt"/>
    <x v="31"/>
    <x v="152"/>
    <x v="152"/>
    <d v="2025-06-21T00:00:00"/>
    <d v="1899-12-30T08:15:00"/>
    <s v="Annual Exception"/>
    <m/>
    <m/>
    <n v="29700"/>
    <x v="1"/>
  </r>
  <r>
    <x v="0"/>
    <s v="Egypt"/>
    <x v="31"/>
    <x v="152"/>
    <x v="152"/>
    <d v="2025-06-22T00:00:00"/>
    <m/>
    <s v="Day Off"/>
    <m/>
    <m/>
    <n v="0"/>
    <x v="1"/>
  </r>
  <r>
    <x v="0"/>
    <s v="Egypt"/>
    <x v="31"/>
    <x v="152"/>
    <x v="152"/>
    <d v="2025-06-23T00:00:00"/>
    <d v="1899-12-30T08:15:00"/>
    <s v="Annual Exception"/>
    <m/>
    <m/>
    <n v="29700"/>
    <x v="1"/>
  </r>
  <r>
    <x v="0"/>
    <s v="Egypt"/>
    <x v="31"/>
    <x v="152"/>
    <x v="152"/>
    <d v="2025-06-24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20:30:00"/>
    <d v="1899-12-30T20:45:00"/>
    <n v="0"/>
    <x v="1"/>
  </r>
  <r>
    <x v="0"/>
    <s v="Egypt"/>
    <x v="31"/>
    <x v="152"/>
    <x v="152"/>
    <m/>
    <m/>
    <s v="Break 30 Night"/>
    <d v="1899-12-30T22:45:00"/>
    <d v="1899-12-30T23:15:00"/>
    <n v="0"/>
    <x v="1"/>
  </r>
  <r>
    <x v="0"/>
    <s v="Egypt"/>
    <x v="31"/>
    <x v="152"/>
    <x v="152"/>
    <d v="2025-06-25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20:00:00"/>
    <d v="1899-12-30T20:15:00"/>
    <n v="0"/>
    <x v="1"/>
  </r>
  <r>
    <x v="0"/>
    <s v="Egypt"/>
    <x v="31"/>
    <x v="152"/>
    <x v="152"/>
    <m/>
    <m/>
    <s v="Break 30 Night"/>
    <d v="1899-12-30T23:00:00"/>
    <d v="1899-12-30T23:30:00"/>
    <n v="0"/>
    <x v="1"/>
  </r>
  <r>
    <x v="0"/>
    <s v="Egypt"/>
    <x v="31"/>
    <x v="152"/>
    <x v="152"/>
    <d v="2025-06-26T00:00:00"/>
    <d v="1899-12-30T08:15:00"/>
    <s v="Public holiday"/>
    <m/>
    <m/>
    <n v="29700"/>
    <x v="1"/>
  </r>
  <r>
    <x v="0"/>
    <s v="Egypt"/>
    <x v="31"/>
    <x v="152"/>
    <x v="152"/>
    <d v="2025-06-27T00:00:00"/>
    <d v="1899-12-30T08:15:00"/>
    <s v="Non Telecom Assyot"/>
    <d v="1899-12-30T17:15:00"/>
    <s v="+1:30 AM"/>
    <n v="29700"/>
    <x v="0"/>
  </r>
  <r>
    <x v="0"/>
    <s v="Egypt"/>
    <x v="31"/>
    <x v="152"/>
    <x v="152"/>
    <m/>
    <m/>
    <s v="Break 15 Night"/>
    <d v="1899-12-30T20:30:00"/>
    <d v="1899-12-30T20:45:00"/>
    <n v="0"/>
    <x v="1"/>
  </r>
  <r>
    <x v="0"/>
    <s v="Egypt"/>
    <x v="31"/>
    <x v="152"/>
    <x v="152"/>
    <m/>
    <m/>
    <s v="Break 30 Night"/>
    <d v="1899-12-30T23:45:00"/>
    <s v="+12:15 AM"/>
    <n v="0"/>
    <x v="1"/>
  </r>
  <r>
    <x v="0"/>
    <s v="Egypt"/>
    <x v="31"/>
    <x v="152"/>
    <x v="152"/>
    <d v="2025-06-28T00:00:00"/>
    <m/>
    <s v="Day Off"/>
    <m/>
    <m/>
    <n v="0"/>
    <x v="1"/>
  </r>
  <r>
    <x v="0"/>
    <s v="Egypt"/>
    <x v="31"/>
    <x v="152"/>
    <x v="152"/>
    <d v="2025-06-29T00:00:00"/>
    <d v="1899-12-30T08:15:00"/>
    <s v="Non Telecom Assyot"/>
    <d v="1899-12-30T14:00:00"/>
    <d v="1899-12-30T22:15:00"/>
    <n v="29700"/>
    <x v="0"/>
  </r>
  <r>
    <x v="0"/>
    <s v="Egypt"/>
    <x v="31"/>
    <x v="152"/>
    <x v="152"/>
    <m/>
    <m/>
    <s v="Break 15 Morning"/>
    <d v="1899-12-30T15:00:00"/>
    <d v="1899-12-30T15:15:00"/>
    <n v="0"/>
    <x v="1"/>
  </r>
  <r>
    <x v="0"/>
    <s v="Egypt"/>
    <x v="31"/>
    <x v="152"/>
    <x v="152"/>
    <m/>
    <m/>
    <s v="Break 30 Morning"/>
    <d v="1899-12-30T19:00:00"/>
    <d v="1899-12-30T19:30:00"/>
    <n v="0"/>
    <x v="1"/>
  </r>
  <r>
    <x v="0"/>
    <s v="Egypt"/>
    <x v="31"/>
    <x v="152"/>
    <x v="152"/>
    <d v="2025-06-30T00:00:00"/>
    <d v="1899-12-30T08:15:00"/>
    <s v="Absent"/>
    <m/>
    <m/>
    <n v="29700"/>
    <x v="1"/>
  </r>
  <r>
    <x v="0"/>
    <s v="Egypt"/>
    <x v="31"/>
    <x v="153"/>
    <x v="153"/>
    <d v="2025-06-01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15:00"/>
    <d v="1899-12-30T20:30:00"/>
    <n v="0"/>
    <x v="1"/>
  </r>
  <r>
    <x v="0"/>
    <s v="Egypt"/>
    <x v="31"/>
    <x v="153"/>
    <x v="153"/>
    <m/>
    <m/>
    <s v="Break 30 Night"/>
    <d v="1899-12-30T23:45:00"/>
    <s v="+12:15 AM"/>
    <n v="0"/>
    <x v="1"/>
  </r>
  <r>
    <x v="0"/>
    <s v="Egypt"/>
    <x v="31"/>
    <x v="153"/>
    <x v="153"/>
    <d v="2025-06-02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00:00"/>
    <d v="1899-12-30T20:15:00"/>
    <n v="0"/>
    <x v="1"/>
  </r>
  <r>
    <x v="0"/>
    <s v="Egypt"/>
    <x v="31"/>
    <x v="153"/>
    <x v="153"/>
    <m/>
    <m/>
    <s v="Break 30 Night"/>
    <d v="1899-12-30T23:15:00"/>
    <d v="1899-12-30T23:45:00"/>
    <n v="0"/>
    <x v="1"/>
  </r>
  <r>
    <x v="0"/>
    <s v="Egypt"/>
    <x v="31"/>
    <x v="153"/>
    <x v="153"/>
    <d v="2025-06-03T00:00:00"/>
    <m/>
    <s v="Day Off"/>
    <m/>
    <m/>
    <n v="0"/>
    <x v="1"/>
  </r>
  <r>
    <x v="0"/>
    <s v="Egypt"/>
    <x v="31"/>
    <x v="153"/>
    <x v="153"/>
    <d v="2025-06-04T00:00:00"/>
    <m/>
    <s v="Day Off"/>
    <m/>
    <m/>
    <n v="0"/>
    <x v="1"/>
  </r>
  <r>
    <x v="0"/>
    <s v="Egypt"/>
    <x v="31"/>
    <x v="153"/>
    <x v="153"/>
    <d v="2025-06-05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30:00"/>
    <d v="1899-12-30T16:45:00"/>
    <n v="0"/>
    <x v="1"/>
  </r>
  <r>
    <x v="0"/>
    <s v="Egypt"/>
    <x v="31"/>
    <x v="153"/>
    <x v="153"/>
    <m/>
    <m/>
    <s v="Break 30 Morning"/>
    <d v="1899-12-30T19:45:00"/>
    <d v="1899-12-30T20:15:00"/>
    <n v="0"/>
    <x v="1"/>
  </r>
  <r>
    <x v="0"/>
    <s v="Egypt"/>
    <x v="31"/>
    <x v="153"/>
    <x v="153"/>
    <d v="2025-06-06T00:00:00"/>
    <d v="1899-12-30T08:15:00"/>
    <s v="Non Telecom Assyot"/>
    <d v="1899-12-30T11:00:00"/>
    <d v="1899-12-30T19:15:00"/>
    <n v="29700"/>
    <x v="0"/>
  </r>
  <r>
    <x v="0"/>
    <s v="Egypt"/>
    <x v="31"/>
    <x v="153"/>
    <x v="153"/>
    <m/>
    <m/>
    <s v="Break 15 Morning"/>
    <d v="1899-12-30T13:00:00"/>
    <d v="1899-12-30T13:15:00"/>
    <n v="0"/>
    <x v="1"/>
  </r>
  <r>
    <x v="0"/>
    <s v="Egypt"/>
    <x v="31"/>
    <x v="153"/>
    <x v="153"/>
    <m/>
    <m/>
    <s v="Break 30 Morning"/>
    <d v="1899-12-30T16:15:00"/>
    <d v="1899-12-30T16:45:00"/>
    <n v="0"/>
    <x v="1"/>
  </r>
  <r>
    <x v="0"/>
    <s v="Egypt"/>
    <x v="31"/>
    <x v="153"/>
    <x v="153"/>
    <d v="2025-06-07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30:00"/>
    <d v="1899-12-30T16:45:00"/>
    <n v="0"/>
    <x v="1"/>
  </r>
  <r>
    <x v="0"/>
    <s v="Egypt"/>
    <x v="31"/>
    <x v="153"/>
    <x v="153"/>
    <m/>
    <m/>
    <s v="Break 30 Morning"/>
    <d v="1899-12-30T19:30:00"/>
    <d v="1899-12-30T20:00:00"/>
    <n v="0"/>
    <x v="1"/>
  </r>
  <r>
    <x v="0"/>
    <s v="Egypt"/>
    <x v="31"/>
    <x v="153"/>
    <x v="153"/>
    <d v="2025-06-08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30:00"/>
    <d v="1899-12-30T16:45:00"/>
    <n v="0"/>
    <x v="1"/>
  </r>
  <r>
    <x v="0"/>
    <s v="Egypt"/>
    <x v="31"/>
    <x v="153"/>
    <x v="153"/>
    <m/>
    <m/>
    <s v="Break 30 Morning"/>
    <d v="1899-12-30T19:45:00"/>
    <d v="1899-12-30T20:15:00"/>
    <n v="0"/>
    <x v="1"/>
  </r>
  <r>
    <x v="0"/>
    <s v="Egypt"/>
    <x v="31"/>
    <x v="153"/>
    <x v="153"/>
    <d v="2025-06-09T00:00:00"/>
    <m/>
    <s v="Day Off"/>
    <m/>
    <m/>
    <n v="0"/>
    <x v="1"/>
  </r>
  <r>
    <x v="0"/>
    <s v="Egypt"/>
    <x v="31"/>
    <x v="153"/>
    <x v="153"/>
    <d v="2025-06-10T00:00:00"/>
    <m/>
    <s v="Day Off"/>
    <m/>
    <m/>
    <n v="0"/>
    <x v="1"/>
  </r>
  <r>
    <x v="0"/>
    <s v="Egypt"/>
    <x v="31"/>
    <x v="153"/>
    <x v="153"/>
    <d v="2025-06-11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5:30:00"/>
    <d v="1899-12-30T15:45:00"/>
    <n v="0"/>
    <x v="1"/>
  </r>
  <r>
    <x v="0"/>
    <s v="Egypt"/>
    <x v="31"/>
    <x v="153"/>
    <x v="153"/>
    <m/>
    <m/>
    <s v="Break 30 Morning"/>
    <d v="1899-12-30T18:45:00"/>
    <d v="1899-12-30T19:15:00"/>
    <n v="0"/>
    <x v="1"/>
  </r>
  <r>
    <x v="0"/>
    <s v="Egypt"/>
    <x v="31"/>
    <x v="153"/>
    <x v="153"/>
    <d v="2025-06-12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7:30:00"/>
    <d v="1899-12-30T17:45:00"/>
    <n v="0"/>
    <x v="1"/>
  </r>
  <r>
    <x v="0"/>
    <s v="Egypt"/>
    <x v="31"/>
    <x v="153"/>
    <x v="153"/>
    <m/>
    <m/>
    <s v="Break 30 Morning"/>
    <d v="1899-12-30T20:15:00"/>
    <d v="1899-12-30T20:45:00"/>
    <n v="0"/>
    <x v="1"/>
  </r>
  <r>
    <x v="0"/>
    <s v="Egypt"/>
    <x v="31"/>
    <x v="153"/>
    <x v="153"/>
    <d v="2025-06-13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00:00"/>
    <d v="1899-12-30T20:15:00"/>
    <n v="0"/>
    <x v="1"/>
  </r>
  <r>
    <x v="0"/>
    <s v="Egypt"/>
    <x v="31"/>
    <x v="153"/>
    <x v="153"/>
    <m/>
    <m/>
    <s v="Break 30 Night"/>
    <d v="1899-12-30T23:00:00"/>
    <d v="1899-12-30T23:30:00"/>
    <n v="0"/>
    <x v="1"/>
  </r>
  <r>
    <x v="0"/>
    <s v="Egypt"/>
    <x v="31"/>
    <x v="153"/>
    <x v="153"/>
    <d v="2025-06-14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30:00"/>
    <d v="1899-12-30T20:45:00"/>
    <n v="0"/>
    <x v="1"/>
  </r>
  <r>
    <x v="0"/>
    <s v="Egypt"/>
    <x v="31"/>
    <x v="153"/>
    <x v="153"/>
    <m/>
    <m/>
    <s v="Break 30 Night"/>
    <d v="1899-12-30T23:00:00"/>
    <d v="1899-12-30T23:30:00"/>
    <n v="0"/>
    <x v="1"/>
  </r>
  <r>
    <x v="0"/>
    <s v="Egypt"/>
    <x v="31"/>
    <x v="153"/>
    <x v="153"/>
    <d v="2025-06-15T00:00:00"/>
    <m/>
    <s v="Day Off"/>
    <m/>
    <m/>
    <n v="0"/>
    <x v="1"/>
  </r>
  <r>
    <x v="0"/>
    <s v="Egypt"/>
    <x v="31"/>
    <x v="153"/>
    <x v="153"/>
    <d v="2025-06-16T00:00:00"/>
    <m/>
    <s v="Day Off"/>
    <m/>
    <m/>
    <n v="0"/>
    <x v="1"/>
  </r>
  <r>
    <x v="0"/>
    <s v="Egypt"/>
    <x v="31"/>
    <x v="153"/>
    <x v="153"/>
    <d v="2025-06-17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45:00"/>
    <d v="1899-12-30T17:00:00"/>
    <n v="0"/>
    <x v="1"/>
  </r>
  <r>
    <x v="0"/>
    <s v="Egypt"/>
    <x v="31"/>
    <x v="153"/>
    <x v="153"/>
    <m/>
    <m/>
    <s v="Break 30 Morning"/>
    <d v="1899-12-30T20:00:00"/>
    <d v="1899-12-30T20:30:00"/>
    <n v="0"/>
    <x v="1"/>
  </r>
  <r>
    <x v="0"/>
    <s v="Egypt"/>
    <x v="31"/>
    <x v="153"/>
    <x v="153"/>
    <d v="2025-06-18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7:00:00"/>
    <d v="1899-12-30T17:15:00"/>
    <n v="0"/>
    <x v="1"/>
  </r>
  <r>
    <x v="0"/>
    <s v="Egypt"/>
    <x v="31"/>
    <x v="153"/>
    <x v="153"/>
    <m/>
    <m/>
    <s v="Break 30 Morning"/>
    <d v="1899-12-30T19:45:00"/>
    <d v="1899-12-30T20:15:00"/>
    <n v="0"/>
    <x v="1"/>
  </r>
  <r>
    <x v="0"/>
    <s v="Egypt"/>
    <x v="31"/>
    <x v="153"/>
    <x v="153"/>
    <d v="2025-06-19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7:00:00"/>
    <d v="1899-12-30T17:15:00"/>
    <n v="0"/>
    <x v="1"/>
  </r>
  <r>
    <x v="0"/>
    <s v="Egypt"/>
    <x v="31"/>
    <x v="153"/>
    <x v="153"/>
    <m/>
    <m/>
    <s v="Break 30 Morning"/>
    <d v="1899-12-30T19:15:00"/>
    <d v="1899-12-30T19:45:00"/>
    <n v="0"/>
    <x v="1"/>
  </r>
  <r>
    <x v="0"/>
    <s v="Egypt"/>
    <x v="31"/>
    <x v="153"/>
    <x v="153"/>
    <d v="2025-06-20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45:00"/>
    <d v="1899-12-30T17:00:00"/>
    <n v="0"/>
    <x v="1"/>
  </r>
  <r>
    <x v="0"/>
    <s v="Egypt"/>
    <x v="31"/>
    <x v="153"/>
    <x v="153"/>
    <m/>
    <m/>
    <s v="Break 30 Morning"/>
    <d v="1899-12-30T19:45:00"/>
    <d v="1899-12-30T20:15:00"/>
    <n v="0"/>
    <x v="1"/>
  </r>
  <r>
    <x v="0"/>
    <s v="Egypt"/>
    <x v="31"/>
    <x v="153"/>
    <x v="153"/>
    <d v="2025-06-21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30:00"/>
    <d v="1899-12-30T16:45:00"/>
    <n v="0"/>
    <x v="1"/>
  </r>
  <r>
    <x v="0"/>
    <s v="Egypt"/>
    <x v="31"/>
    <x v="153"/>
    <x v="153"/>
    <m/>
    <m/>
    <s v="Break 30 Morning"/>
    <d v="1899-12-30T19:45:00"/>
    <d v="1899-12-30T20:15:00"/>
    <n v="0"/>
    <x v="1"/>
  </r>
  <r>
    <x v="0"/>
    <s v="Egypt"/>
    <x v="31"/>
    <x v="153"/>
    <x v="153"/>
    <d v="2025-06-22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00:00"/>
    <d v="1899-12-30T20:15:00"/>
    <n v="0"/>
    <x v="1"/>
  </r>
  <r>
    <x v="0"/>
    <s v="Egypt"/>
    <x v="31"/>
    <x v="153"/>
    <x v="153"/>
    <m/>
    <m/>
    <s v="Break 30 Night"/>
    <d v="1899-12-30T22:45:00"/>
    <d v="1899-12-30T23:15:00"/>
    <n v="0"/>
    <x v="1"/>
  </r>
  <r>
    <x v="0"/>
    <s v="Egypt"/>
    <x v="31"/>
    <x v="153"/>
    <x v="153"/>
    <d v="2025-06-23T00:00:00"/>
    <d v="1899-12-30T08:15:00"/>
    <s v="Annual Exception"/>
    <m/>
    <m/>
    <n v="29700"/>
    <x v="1"/>
  </r>
  <r>
    <x v="0"/>
    <s v="Egypt"/>
    <x v="31"/>
    <x v="153"/>
    <x v="153"/>
    <d v="2025-06-24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45:00"/>
    <d v="1899-12-30T21:00:00"/>
    <n v="0"/>
    <x v="1"/>
  </r>
  <r>
    <x v="0"/>
    <s v="Egypt"/>
    <x v="31"/>
    <x v="153"/>
    <x v="153"/>
    <m/>
    <m/>
    <s v="Break 30 Night"/>
    <d v="1899-12-30T23:15:00"/>
    <d v="1899-12-30T23:45:00"/>
    <n v="0"/>
    <x v="1"/>
  </r>
  <r>
    <x v="0"/>
    <s v="Egypt"/>
    <x v="31"/>
    <x v="153"/>
    <x v="153"/>
    <d v="2025-06-25T00:00:00"/>
    <d v="1899-12-30T08:15:00"/>
    <s v="Annual Exception"/>
    <m/>
    <m/>
    <n v="29700"/>
    <x v="1"/>
  </r>
  <r>
    <x v="0"/>
    <s v="Egypt"/>
    <x v="31"/>
    <x v="153"/>
    <x v="153"/>
    <d v="2025-06-26T00:00:00"/>
    <d v="1899-12-30T08:15:00"/>
    <s v="Non Telecom Assyot"/>
    <d v="1899-12-30T17:15:00"/>
    <s v="+1:30 AM"/>
    <n v="29700"/>
    <x v="0"/>
  </r>
  <r>
    <x v="0"/>
    <s v="Egypt"/>
    <x v="31"/>
    <x v="153"/>
    <x v="153"/>
    <m/>
    <m/>
    <s v="Break 15 Night"/>
    <d v="1899-12-30T20:45:00"/>
    <d v="1899-12-30T21:00:00"/>
    <n v="0"/>
    <x v="1"/>
  </r>
  <r>
    <x v="0"/>
    <s v="Egypt"/>
    <x v="31"/>
    <x v="153"/>
    <x v="153"/>
    <m/>
    <m/>
    <s v="Break 30 Night"/>
    <s v="+12:00 AM"/>
    <s v="+12:30 AM"/>
    <n v="0"/>
    <x v="1"/>
  </r>
  <r>
    <x v="0"/>
    <s v="Egypt"/>
    <x v="31"/>
    <x v="153"/>
    <x v="153"/>
    <d v="2025-06-27T00:00:00"/>
    <m/>
    <s v="Day Off"/>
    <m/>
    <m/>
    <n v="0"/>
    <x v="1"/>
  </r>
  <r>
    <x v="0"/>
    <s v="Egypt"/>
    <x v="31"/>
    <x v="153"/>
    <x v="153"/>
    <d v="2025-06-28T00:00:00"/>
    <m/>
    <s v="Day Off"/>
    <m/>
    <m/>
    <n v="0"/>
    <x v="1"/>
  </r>
  <r>
    <x v="0"/>
    <s v="Egypt"/>
    <x v="31"/>
    <x v="153"/>
    <x v="153"/>
    <d v="2025-06-29T00:00:00"/>
    <d v="1899-12-30T08:15:00"/>
    <s v="Annual Exception"/>
    <m/>
    <m/>
    <n v="29700"/>
    <x v="1"/>
  </r>
  <r>
    <x v="0"/>
    <s v="Egypt"/>
    <x v="31"/>
    <x v="153"/>
    <x v="153"/>
    <d v="2025-06-30T00:00:00"/>
    <d v="1899-12-30T08:15:00"/>
    <s v="Non Telecom Assyot"/>
    <d v="1899-12-30T14:00:00"/>
    <d v="1899-12-30T22:15:00"/>
    <n v="29700"/>
    <x v="0"/>
  </r>
  <r>
    <x v="0"/>
    <s v="Egypt"/>
    <x v="31"/>
    <x v="153"/>
    <x v="153"/>
    <m/>
    <m/>
    <s v="Break 15 Morning"/>
    <d v="1899-12-30T16:00:00"/>
    <d v="1899-12-30T16:15:00"/>
    <n v="0"/>
    <x v="1"/>
  </r>
  <r>
    <x v="0"/>
    <s v="Egypt"/>
    <x v="31"/>
    <x v="153"/>
    <x v="153"/>
    <m/>
    <m/>
    <s v="Break 30 Morning"/>
    <d v="1899-12-30T19:00:00"/>
    <d v="1899-12-30T19:30:00"/>
    <n v="0"/>
    <x v="1"/>
  </r>
  <r>
    <x v="0"/>
    <s v="Egypt"/>
    <x v="31"/>
    <x v="154"/>
    <x v="154"/>
    <d v="2025-06-05T00:00:00"/>
    <d v="1899-12-30T08:15:00"/>
    <s v="Public holiday"/>
    <m/>
    <m/>
    <n v="29700"/>
    <x v="1"/>
  </r>
  <r>
    <x v="0"/>
    <s v="Egypt"/>
    <x v="31"/>
    <x v="154"/>
    <x v="154"/>
    <d v="2025-06-06T00:00:00"/>
    <m/>
    <s v="Day Off"/>
    <m/>
    <m/>
    <n v="0"/>
    <x v="1"/>
  </r>
  <r>
    <x v="0"/>
    <s v="Egypt"/>
    <x v="31"/>
    <x v="154"/>
    <x v="154"/>
    <d v="2025-06-07T00:00:00"/>
    <m/>
    <s v="Day Off"/>
    <m/>
    <m/>
    <n v="0"/>
    <x v="1"/>
  </r>
  <r>
    <x v="0"/>
    <s v="Egypt"/>
    <x v="31"/>
    <x v="154"/>
    <x v="154"/>
    <d v="2025-06-08T00:00:00"/>
    <d v="1899-12-30T08:15:00"/>
    <s v="Public holiday"/>
    <m/>
    <m/>
    <n v="29700"/>
    <x v="1"/>
  </r>
  <r>
    <x v="0"/>
    <s v="Egypt"/>
    <x v="31"/>
    <x v="154"/>
    <x v="154"/>
    <d v="2025-06-09T00:00:00"/>
    <m/>
    <s v="Day Off"/>
    <m/>
    <m/>
    <n v="0"/>
    <x v="1"/>
  </r>
  <r>
    <x v="0"/>
    <s v="Egypt"/>
    <x v="31"/>
    <x v="154"/>
    <x v="154"/>
    <d v="2025-06-10T00:00:00"/>
    <m/>
    <s v="Day Off"/>
    <m/>
    <m/>
    <n v="0"/>
    <x v="1"/>
  </r>
  <r>
    <x v="0"/>
    <s v="Egypt"/>
    <x v="31"/>
    <x v="154"/>
    <x v="154"/>
    <d v="2025-06-11T00:00:00"/>
    <d v="1899-12-30T08:15:00"/>
    <s v="Non Telecom Assyot"/>
    <d v="1899-12-30T11:00:00"/>
    <d v="1899-12-30T19:15:00"/>
    <n v="29700"/>
    <x v="0"/>
  </r>
  <r>
    <x v="0"/>
    <s v="Egypt"/>
    <x v="31"/>
    <x v="154"/>
    <x v="154"/>
    <m/>
    <m/>
    <s v="Break 15 Morning"/>
    <d v="1899-12-30T14:00:00"/>
    <d v="1899-12-30T14:15:00"/>
    <n v="0"/>
    <x v="1"/>
  </r>
  <r>
    <x v="0"/>
    <s v="Egypt"/>
    <x v="31"/>
    <x v="154"/>
    <x v="154"/>
    <m/>
    <m/>
    <s v="One to One"/>
    <d v="1899-12-30T16:45:00"/>
    <d v="1899-12-30T17:00:00"/>
    <n v="0"/>
    <x v="1"/>
  </r>
  <r>
    <x v="0"/>
    <s v="Egypt"/>
    <x v="31"/>
    <x v="154"/>
    <x v="154"/>
    <m/>
    <m/>
    <s v="Break 30 Morning"/>
    <d v="1899-12-30T17:15:00"/>
    <d v="1899-12-30T17:45:00"/>
    <n v="0"/>
    <x v="1"/>
  </r>
  <r>
    <x v="0"/>
    <s v="Egypt"/>
    <x v="31"/>
    <x v="154"/>
    <x v="154"/>
    <d v="2025-06-12T00:00:00"/>
    <d v="1899-12-30T08:15:00"/>
    <s v="Non Telecom Assyot"/>
    <d v="1899-12-30T11:00:00"/>
    <d v="1899-12-30T19:15:00"/>
    <n v="29700"/>
    <x v="0"/>
  </r>
  <r>
    <x v="0"/>
    <s v="Egypt"/>
    <x v="31"/>
    <x v="154"/>
    <x v="154"/>
    <m/>
    <m/>
    <s v="Break 15 Morning"/>
    <d v="1899-12-30T14:15:00"/>
    <d v="1899-12-30T14:30:00"/>
    <n v="0"/>
    <x v="1"/>
  </r>
  <r>
    <x v="0"/>
    <s v="Egypt"/>
    <x v="31"/>
    <x v="154"/>
    <x v="154"/>
    <m/>
    <m/>
    <s v="One to One"/>
    <d v="1899-12-30T16:45:00"/>
    <d v="1899-12-30T17:00:00"/>
    <n v="0"/>
    <x v="1"/>
  </r>
  <r>
    <x v="0"/>
    <s v="Egypt"/>
    <x v="31"/>
    <x v="154"/>
    <x v="154"/>
    <m/>
    <m/>
    <s v="Break 30 Morning"/>
    <d v="1899-12-30T17:15:00"/>
    <d v="1899-12-30T17:45:00"/>
    <n v="0"/>
    <x v="1"/>
  </r>
  <r>
    <x v="0"/>
    <s v="Egypt"/>
    <x v="31"/>
    <x v="154"/>
    <x v="154"/>
    <d v="2025-06-13T00:00:00"/>
    <d v="1899-12-30T08:15:00"/>
    <s v="Non Telecom Assyot"/>
    <d v="1899-12-30T11:00:00"/>
    <d v="1899-12-30T19:15:00"/>
    <n v="29700"/>
    <x v="0"/>
  </r>
  <r>
    <x v="0"/>
    <s v="Egypt"/>
    <x v="31"/>
    <x v="154"/>
    <x v="154"/>
    <m/>
    <m/>
    <s v="Break 15 Morning"/>
    <d v="1899-12-30T14:00:00"/>
    <d v="1899-12-30T14:15:00"/>
    <n v="0"/>
    <x v="1"/>
  </r>
  <r>
    <x v="0"/>
    <s v="Egypt"/>
    <x v="31"/>
    <x v="154"/>
    <x v="154"/>
    <m/>
    <m/>
    <s v="One to One"/>
    <d v="1899-12-30T16:15:00"/>
    <d v="1899-12-30T16:30:00"/>
    <n v="0"/>
    <x v="1"/>
  </r>
  <r>
    <x v="0"/>
    <s v="Egypt"/>
    <x v="31"/>
    <x v="154"/>
    <x v="154"/>
    <m/>
    <m/>
    <s v="Break 30 Morning"/>
    <d v="1899-12-30T17:00:00"/>
    <d v="1899-12-30T17:30:00"/>
    <n v="0"/>
    <x v="1"/>
  </r>
  <r>
    <x v="0"/>
    <s v="Egypt"/>
    <x v="31"/>
    <x v="154"/>
    <x v="154"/>
    <d v="2025-06-14T00:00:00"/>
    <d v="1899-12-30T08:15:00"/>
    <s v="Non Telecom Assyot"/>
    <d v="1899-12-30T11:00:00"/>
    <d v="1899-12-30T19:15:00"/>
    <n v="29700"/>
    <x v="0"/>
  </r>
  <r>
    <x v="0"/>
    <s v="Egypt"/>
    <x v="31"/>
    <x v="154"/>
    <x v="154"/>
    <m/>
    <m/>
    <s v="Break 15 Morning"/>
    <d v="1899-12-30T14:15:00"/>
    <d v="1899-12-30T14:30:00"/>
    <n v="0"/>
    <x v="1"/>
  </r>
  <r>
    <x v="0"/>
    <s v="Egypt"/>
    <x v="31"/>
    <x v="154"/>
    <x v="154"/>
    <m/>
    <m/>
    <s v="One to One"/>
    <d v="1899-12-30T17:00:00"/>
    <d v="1899-12-30T17:15:00"/>
    <n v="0"/>
    <x v="1"/>
  </r>
  <r>
    <x v="0"/>
    <s v="Egypt"/>
    <x v="31"/>
    <x v="154"/>
    <x v="154"/>
    <m/>
    <m/>
    <s v="Break 30 Morning"/>
    <d v="1899-12-30T17:15:00"/>
    <d v="1899-12-30T17:45:00"/>
    <n v="0"/>
    <x v="1"/>
  </r>
  <r>
    <x v="0"/>
    <s v="Egypt"/>
    <x v="31"/>
    <x v="154"/>
    <x v="154"/>
    <d v="2025-06-15T00:00:00"/>
    <d v="1899-12-30T08:15:00"/>
    <s v="Non Telecom Assyot"/>
    <d v="1899-12-30T11:00:00"/>
    <d v="1899-12-30T19:15:00"/>
    <n v="29700"/>
    <x v="0"/>
  </r>
  <r>
    <x v="0"/>
    <s v="Egypt"/>
    <x v="31"/>
    <x v="154"/>
    <x v="154"/>
    <m/>
    <m/>
    <s v="Break 15 Morning"/>
    <d v="1899-12-30T14:00:00"/>
    <d v="1899-12-30T14:15:00"/>
    <n v="0"/>
    <x v="1"/>
  </r>
  <r>
    <x v="0"/>
    <s v="Egypt"/>
    <x v="31"/>
    <x v="154"/>
    <x v="154"/>
    <m/>
    <m/>
    <s v="Break 30 Morning"/>
    <d v="1899-12-30T17:15:00"/>
    <d v="1899-12-30T17:45:00"/>
    <n v="0"/>
    <x v="1"/>
  </r>
  <r>
    <x v="0"/>
    <s v="Egypt"/>
    <x v="31"/>
    <x v="154"/>
    <x v="154"/>
    <d v="2025-06-16T00:00:00"/>
    <m/>
    <s v="Day Off"/>
    <m/>
    <m/>
    <n v="0"/>
    <x v="1"/>
  </r>
  <r>
    <x v="0"/>
    <s v="Egypt"/>
    <x v="31"/>
    <x v="154"/>
    <x v="154"/>
    <d v="2025-06-17T00:00:00"/>
    <m/>
    <s v="Day Off"/>
    <m/>
    <m/>
    <n v="0"/>
    <x v="1"/>
  </r>
  <r>
    <x v="0"/>
    <s v="Egypt"/>
    <x v="31"/>
    <x v="154"/>
    <x v="154"/>
    <d v="2025-06-18T00:00:00"/>
    <d v="1899-12-30T08:15:00"/>
    <s v="Non Telecom Assyot"/>
    <d v="1899-12-30T17:15:00"/>
    <s v="+1:30 AM"/>
    <n v="29700"/>
    <x v="0"/>
  </r>
  <r>
    <x v="0"/>
    <s v="Egypt"/>
    <x v="31"/>
    <x v="154"/>
    <x v="154"/>
    <m/>
    <m/>
    <s v="Break 15 Night"/>
    <d v="1899-12-30T20:30:00"/>
    <d v="1899-12-30T20:45:00"/>
    <n v="0"/>
    <x v="1"/>
  </r>
  <r>
    <x v="0"/>
    <s v="Egypt"/>
    <x v="31"/>
    <x v="154"/>
    <x v="154"/>
    <m/>
    <m/>
    <s v="Break 30 Night"/>
    <d v="1899-12-30T23:45:00"/>
    <s v="+12:15 AM"/>
    <n v="0"/>
    <x v="1"/>
  </r>
  <r>
    <x v="0"/>
    <s v="Egypt"/>
    <x v="31"/>
    <x v="154"/>
    <x v="154"/>
    <d v="2025-06-19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7:15:00"/>
    <d v="1899-12-30T17:30:00"/>
    <n v="0"/>
    <x v="1"/>
  </r>
  <r>
    <x v="0"/>
    <s v="Egypt"/>
    <x v="31"/>
    <x v="154"/>
    <x v="154"/>
    <m/>
    <m/>
    <s v="Break 30 Morning"/>
    <d v="1899-12-30T19:15:00"/>
    <d v="1899-12-30T19:45:00"/>
    <n v="0"/>
    <x v="1"/>
  </r>
  <r>
    <x v="0"/>
    <s v="Egypt"/>
    <x v="31"/>
    <x v="154"/>
    <x v="154"/>
    <d v="2025-06-20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7:00:00"/>
    <d v="1899-12-30T17:15:00"/>
    <n v="0"/>
    <x v="1"/>
  </r>
  <r>
    <x v="0"/>
    <s v="Egypt"/>
    <x v="31"/>
    <x v="154"/>
    <x v="154"/>
    <m/>
    <m/>
    <s v="Break 30 Morning"/>
    <d v="1899-12-30T19:45:00"/>
    <d v="1899-12-30T20:15:00"/>
    <n v="0"/>
    <x v="1"/>
  </r>
  <r>
    <x v="0"/>
    <s v="Egypt"/>
    <x v="31"/>
    <x v="154"/>
    <x v="154"/>
    <d v="2025-06-21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6:45:00"/>
    <d v="1899-12-30T17:00:00"/>
    <n v="0"/>
    <x v="1"/>
  </r>
  <r>
    <x v="0"/>
    <s v="Egypt"/>
    <x v="31"/>
    <x v="154"/>
    <x v="154"/>
    <m/>
    <m/>
    <s v="Break 30 Morning"/>
    <d v="1899-12-30T20:00:00"/>
    <d v="1899-12-30T20:30:00"/>
    <n v="0"/>
    <x v="1"/>
  </r>
  <r>
    <x v="0"/>
    <s v="Egypt"/>
    <x v="31"/>
    <x v="154"/>
    <x v="154"/>
    <d v="2025-06-22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7:30:00"/>
    <d v="1899-12-30T17:45:00"/>
    <n v="0"/>
    <x v="1"/>
  </r>
  <r>
    <x v="0"/>
    <s v="Egypt"/>
    <x v="31"/>
    <x v="154"/>
    <x v="154"/>
    <m/>
    <m/>
    <s v="Break 30 Morning"/>
    <d v="1899-12-30T19:45:00"/>
    <d v="1899-12-30T20:15:00"/>
    <n v="0"/>
    <x v="1"/>
  </r>
  <r>
    <x v="0"/>
    <s v="Egypt"/>
    <x v="31"/>
    <x v="154"/>
    <x v="154"/>
    <d v="2025-06-23T00:00:00"/>
    <m/>
    <s v="Day Off"/>
    <m/>
    <m/>
    <n v="0"/>
    <x v="1"/>
  </r>
  <r>
    <x v="0"/>
    <s v="Egypt"/>
    <x v="31"/>
    <x v="154"/>
    <x v="154"/>
    <d v="2025-06-24T00:00:00"/>
    <m/>
    <s v="Day Off"/>
    <m/>
    <m/>
    <n v="0"/>
    <x v="1"/>
  </r>
  <r>
    <x v="0"/>
    <s v="Egypt"/>
    <x v="31"/>
    <x v="154"/>
    <x v="154"/>
    <d v="2025-06-25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7:00:00"/>
    <d v="1899-12-30T17:15:00"/>
    <n v="0"/>
    <x v="1"/>
  </r>
  <r>
    <x v="0"/>
    <s v="Egypt"/>
    <x v="31"/>
    <x v="154"/>
    <x v="154"/>
    <m/>
    <m/>
    <s v="Break 30 Morning"/>
    <d v="1899-12-30T19:30:00"/>
    <d v="1899-12-30T20:00:00"/>
    <n v="0"/>
    <x v="1"/>
  </r>
  <r>
    <x v="0"/>
    <s v="Egypt"/>
    <x v="31"/>
    <x v="154"/>
    <x v="154"/>
    <d v="2025-06-26T00:00:00"/>
    <d v="1899-12-30T08:15:00"/>
    <s v="Non Telecom Assyot"/>
    <d v="1899-12-30T14:00:00"/>
    <d v="1899-12-30T22:15:00"/>
    <n v="29700"/>
    <x v="0"/>
  </r>
  <r>
    <x v="0"/>
    <s v="Egypt"/>
    <x v="31"/>
    <x v="154"/>
    <x v="154"/>
    <m/>
    <m/>
    <s v="Break 15 Morning"/>
    <d v="1899-12-30T16:00:00"/>
    <d v="1899-12-30T16:15:00"/>
    <n v="0"/>
    <x v="1"/>
  </r>
  <r>
    <x v="0"/>
    <s v="Egypt"/>
    <x v="31"/>
    <x v="154"/>
    <x v="154"/>
    <m/>
    <m/>
    <s v="Break 30 Morning"/>
    <d v="1899-12-30T19:30:00"/>
    <d v="1899-12-30T20:00:00"/>
    <n v="0"/>
    <x v="1"/>
  </r>
  <r>
    <x v="0"/>
    <s v="Egypt"/>
    <x v="31"/>
    <x v="154"/>
    <x v="154"/>
    <d v="2025-06-27T00:00:00"/>
    <d v="1899-12-30T08:15:00"/>
    <s v="Non Telecom Assyot"/>
    <d v="1899-12-30T17:15:00"/>
    <s v="+1:30 AM"/>
    <n v="29700"/>
    <x v="0"/>
  </r>
  <r>
    <x v="0"/>
    <s v="Egypt"/>
    <x v="31"/>
    <x v="154"/>
    <x v="154"/>
    <m/>
    <m/>
    <s v="Break 15 Night"/>
    <d v="1899-12-30T20:45:00"/>
    <d v="1899-12-30T21:00:00"/>
    <n v="0"/>
    <x v="1"/>
  </r>
  <r>
    <x v="0"/>
    <s v="Egypt"/>
    <x v="31"/>
    <x v="154"/>
    <x v="154"/>
    <m/>
    <m/>
    <s v="Break 30 Night"/>
    <d v="1899-12-30T23:45:00"/>
    <s v="+12:15 AM"/>
    <n v="0"/>
    <x v="1"/>
  </r>
  <r>
    <x v="0"/>
    <s v="Egypt"/>
    <x v="31"/>
    <x v="154"/>
    <x v="154"/>
    <d v="2025-06-28T00:00:00"/>
    <d v="1899-12-30T08:15:00"/>
    <s v="Non Telecom Assyot"/>
    <d v="1899-12-30T17:15:00"/>
    <s v="+1:30 AM"/>
    <n v="29700"/>
    <x v="0"/>
  </r>
  <r>
    <x v="0"/>
    <s v="Egypt"/>
    <x v="31"/>
    <x v="154"/>
    <x v="154"/>
    <m/>
    <m/>
    <s v="Break 15 Night"/>
    <d v="1899-12-30T20:30:00"/>
    <d v="1899-12-30T20:45:00"/>
    <n v="0"/>
    <x v="1"/>
  </r>
  <r>
    <x v="0"/>
    <s v="Egypt"/>
    <x v="31"/>
    <x v="154"/>
    <x v="154"/>
    <m/>
    <m/>
    <s v="Break 30 Night"/>
    <s v="+12:00 AM"/>
    <s v="+12:30 AM"/>
    <n v="0"/>
    <x v="1"/>
  </r>
  <r>
    <x v="0"/>
    <s v="Egypt"/>
    <x v="31"/>
    <x v="154"/>
    <x v="154"/>
    <d v="2025-06-29T00:00:00"/>
    <d v="1899-12-30T08:15:00"/>
    <s v="Non Telecom Assyot"/>
    <d v="1899-12-30T17:15:00"/>
    <s v="+1:30 AM"/>
    <n v="29700"/>
    <x v="0"/>
  </r>
  <r>
    <x v="0"/>
    <s v="Egypt"/>
    <x v="31"/>
    <x v="154"/>
    <x v="154"/>
    <m/>
    <m/>
    <s v="Break 15 Night"/>
    <d v="1899-12-30T20:45:00"/>
    <d v="1899-12-30T21:00:00"/>
    <n v="0"/>
    <x v="1"/>
  </r>
  <r>
    <x v="0"/>
    <s v="Egypt"/>
    <x v="31"/>
    <x v="154"/>
    <x v="154"/>
    <m/>
    <m/>
    <s v="Break 30 Night"/>
    <s v="+12:00 AM"/>
    <s v="+12:30 AM"/>
    <n v="0"/>
    <x v="1"/>
  </r>
  <r>
    <x v="0"/>
    <s v="Egypt"/>
    <x v="31"/>
    <x v="154"/>
    <x v="154"/>
    <d v="2025-06-30T00:00:00"/>
    <d v="1899-12-30T08:15:00"/>
    <s v="Non Telecom Assyot"/>
    <d v="1899-12-30T17:15:00"/>
    <s v="+1:30 AM"/>
    <n v="29700"/>
    <x v="0"/>
  </r>
  <r>
    <x v="0"/>
    <s v="Egypt"/>
    <x v="31"/>
    <x v="154"/>
    <x v="154"/>
    <m/>
    <m/>
    <s v="Break 15 Night"/>
    <d v="1899-12-30T20:45:00"/>
    <d v="1899-12-30T21:00:00"/>
    <n v="0"/>
    <x v="1"/>
  </r>
  <r>
    <x v="0"/>
    <s v="Egypt"/>
    <x v="31"/>
    <x v="154"/>
    <x v="154"/>
    <m/>
    <m/>
    <s v="Break 30 Night"/>
    <s v="+12:00 AM"/>
    <s v="+12:30 AM"/>
    <n v="0"/>
    <x v="1"/>
  </r>
  <r>
    <x v="0"/>
    <s v="Egypt"/>
    <x v="32"/>
    <x v="155"/>
    <x v="155"/>
    <d v="2025-06-01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02T00:00:00"/>
    <m/>
    <s v="Day Off"/>
    <m/>
    <m/>
    <n v="0"/>
    <x v="1"/>
  </r>
  <r>
    <x v="0"/>
    <s v="Egypt"/>
    <x v="32"/>
    <x v="155"/>
    <x v="155"/>
    <d v="2025-06-03T00:00:00"/>
    <m/>
    <s v="Day Off"/>
    <m/>
    <m/>
    <n v="0"/>
    <x v="1"/>
  </r>
  <r>
    <x v="0"/>
    <s v="Egypt"/>
    <x v="32"/>
    <x v="155"/>
    <x v="155"/>
    <d v="2025-06-04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05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06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30:00"/>
    <d v="1899-12-30T11:45:00"/>
    <n v="0"/>
    <x v="1"/>
  </r>
  <r>
    <x v="0"/>
    <s v="Egypt"/>
    <x v="32"/>
    <x v="155"/>
    <x v="155"/>
    <m/>
    <m/>
    <s v="Break 30 Morning"/>
    <d v="1899-12-30T14:45:00"/>
    <d v="1899-12-30T15:15:00"/>
    <n v="0"/>
    <x v="1"/>
  </r>
  <r>
    <x v="0"/>
    <s v="Egypt"/>
    <x v="32"/>
    <x v="155"/>
    <x v="155"/>
    <d v="2025-06-07T00:00:00"/>
    <d v="1899-12-30T08:15:00"/>
    <s v="Public holiday"/>
    <m/>
    <m/>
    <n v="29700"/>
    <x v="1"/>
  </r>
  <r>
    <x v="0"/>
    <s v="Egypt"/>
    <x v="32"/>
    <x v="155"/>
    <x v="155"/>
    <d v="2025-06-08T00:00:00"/>
    <m/>
    <s v="Day Off"/>
    <m/>
    <m/>
    <n v="0"/>
    <x v="1"/>
  </r>
  <r>
    <x v="0"/>
    <s v="Egypt"/>
    <x v="32"/>
    <x v="155"/>
    <x v="155"/>
    <d v="2025-06-09T00:00:00"/>
    <m/>
    <s v="Day Off"/>
    <m/>
    <m/>
    <n v="0"/>
    <x v="1"/>
  </r>
  <r>
    <x v="0"/>
    <s v="Egypt"/>
    <x v="32"/>
    <x v="155"/>
    <x v="155"/>
    <d v="2025-06-10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15:00"/>
    <d v="1899-12-30T13:30:00"/>
    <n v="0"/>
    <x v="1"/>
  </r>
  <r>
    <x v="0"/>
    <s v="Egypt"/>
    <x v="32"/>
    <x v="155"/>
    <x v="155"/>
    <m/>
    <m/>
    <s v="Break 30 Morning"/>
    <d v="1899-12-30T16:15:00"/>
    <d v="1899-12-30T16:45:00"/>
    <n v="0"/>
    <x v="1"/>
  </r>
  <r>
    <x v="0"/>
    <s v="Egypt"/>
    <x v="32"/>
    <x v="155"/>
    <x v="155"/>
    <d v="2025-06-11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15:00"/>
    <d v="1899-12-30T13:30:00"/>
    <n v="0"/>
    <x v="1"/>
  </r>
  <r>
    <x v="0"/>
    <s v="Egypt"/>
    <x v="32"/>
    <x v="155"/>
    <x v="155"/>
    <m/>
    <m/>
    <s v="Break 30 Morning"/>
    <d v="1899-12-30T16:45:00"/>
    <d v="1899-12-30T17:15:00"/>
    <n v="0"/>
    <x v="1"/>
  </r>
  <r>
    <x v="0"/>
    <s v="Egypt"/>
    <x v="32"/>
    <x v="155"/>
    <x v="155"/>
    <d v="2025-06-12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00:00"/>
    <d v="1899-12-30T11:15:00"/>
    <n v="0"/>
    <x v="1"/>
  </r>
  <r>
    <x v="0"/>
    <s v="Egypt"/>
    <x v="32"/>
    <x v="155"/>
    <x v="155"/>
    <m/>
    <m/>
    <s v="Break 30 Morning"/>
    <d v="1899-12-30T13:45:00"/>
    <d v="1899-12-30T14:15:00"/>
    <n v="0"/>
    <x v="1"/>
  </r>
  <r>
    <x v="0"/>
    <s v="Egypt"/>
    <x v="32"/>
    <x v="155"/>
    <x v="155"/>
    <d v="2025-06-13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2:45:00"/>
    <d v="1899-12-30T13:00:00"/>
    <n v="0"/>
    <x v="1"/>
  </r>
  <r>
    <x v="0"/>
    <s v="Egypt"/>
    <x v="32"/>
    <x v="155"/>
    <x v="155"/>
    <m/>
    <m/>
    <s v="Break 30 Morning"/>
    <d v="1899-12-30T16:00:00"/>
    <d v="1899-12-30T16:30:00"/>
    <n v="0"/>
    <x v="1"/>
  </r>
  <r>
    <x v="0"/>
    <s v="Egypt"/>
    <x v="32"/>
    <x v="155"/>
    <x v="155"/>
    <d v="2025-06-14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15:00"/>
    <d v="1899-12-30T13:30:00"/>
    <n v="0"/>
    <x v="1"/>
  </r>
  <r>
    <x v="0"/>
    <s v="Egypt"/>
    <x v="32"/>
    <x v="155"/>
    <x v="155"/>
    <m/>
    <m/>
    <s v="Break 30 Morning"/>
    <d v="1899-12-30T16:15:00"/>
    <d v="1899-12-30T16:45:00"/>
    <n v="0"/>
    <x v="1"/>
  </r>
  <r>
    <x v="0"/>
    <s v="Egypt"/>
    <x v="32"/>
    <x v="155"/>
    <x v="155"/>
    <d v="2025-06-15T00:00:00"/>
    <m/>
    <s v="Day Off"/>
    <m/>
    <m/>
    <n v="0"/>
    <x v="1"/>
  </r>
  <r>
    <x v="0"/>
    <s v="Egypt"/>
    <x v="32"/>
    <x v="155"/>
    <x v="155"/>
    <d v="2025-06-16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30:00"/>
    <d v="1899-12-30T11:45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17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45:00"/>
    <d v="1899-12-30T14:00:00"/>
    <n v="0"/>
    <x v="1"/>
  </r>
  <r>
    <x v="0"/>
    <s v="Egypt"/>
    <x v="32"/>
    <x v="155"/>
    <x v="155"/>
    <m/>
    <m/>
    <s v="Break 30 Morning"/>
    <d v="1899-12-30T17:15:00"/>
    <d v="1899-12-30T17:45:00"/>
    <n v="0"/>
    <x v="1"/>
  </r>
  <r>
    <x v="0"/>
    <s v="Egypt"/>
    <x v="32"/>
    <x v="155"/>
    <x v="155"/>
    <d v="2025-06-18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3:45:00"/>
    <d v="1899-12-30T14:15:00"/>
    <n v="0"/>
    <x v="1"/>
  </r>
  <r>
    <x v="0"/>
    <s v="Egypt"/>
    <x v="32"/>
    <x v="155"/>
    <x v="155"/>
    <d v="2025-06-19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20T00:00:00"/>
    <m/>
    <s v="Day Off"/>
    <m/>
    <m/>
    <n v="0"/>
    <x v="1"/>
  </r>
  <r>
    <x v="0"/>
    <s v="Egypt"/>
    <x v="32"/>
    <x v="155"/>
    <x v="155"/>
    <d v="2025-06-21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4:30:00"/>
    <d v="1899-12-30T14:45:00"/>
    <n v="0"/>
    <x v="1"/>
  </r>
  <r>
    <x v="0"/>
    <s v="Egypt"/>
    <x v="32"/>
    <x v="155"/>
    <x v="155"/>
    <m/>
    <m/>
    <s v="Break 30 Morning"/>
    <d v="1899-12-30T17:15:00"/>
    <d v="1899-12-30T17:45:00"/>
    <n v="0"/>
    <x v="1"/>
  </r>
  <r>
    <x v="0"/>
    <s v="Egypt"/>
    <x v="32"/>
    <x v="155"/>
    <x v="155"/>
    <d v="2025-06-22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00:00"/>
    <d v="1899-12-30T13:15:00"/>
    <n v="0"/>
    <x v="1"/>
  </r>
  <r>
    <x v="0"/>
    <s v="Egypt"/>
    <x v="32"/>
    <x v="155"/>
    <x v="155"/>
    <m/>
    <m/>
    <s v="Break 30 Morning"/>
    <d v="1899-12-30T15:45:00"/>
    <d v="1899-12-30T16:15:00"/>
    <n v="0"/>
    <x v="1"/>
  </r>
  <r>
    <x v="0"/>
    <s v="Egypt"/>
    <x v="32"/>
    <x v="155"/>
    <x v="155"/>
    <d v="2025-06-23T00:00:00"/>
    <d v="1899-12-30T08:15:00"/>
    <s v="Non Telecom Assyot"/>
    <d v="1899-12-30T11:00:00"/>
    <d v="1899-12-30T19:15:00"/>
    <n v="29700"/>
    <x v="0"/>
  </r>
  <r>
    <x v="0"/>
    <s v="Egypt"/>
    <x v="32"/>
    <x v="155"/>
    <x v="155"/>
    <m/>
    <m/>
    <s v="Break 15 Morning"/>
    <d v="1899-12-30T13:00:00"/>
    <d v="1899-12-30T13:15:00"/>
    <n v="0"/>
    <x v="1"/>
  </r>
  <r>
    <x v="0"/>
    <s v="Egypt"/>
    <x v="32"/>
    <x v="155"/>
    <x v="155"/>
    <m/>
    <m/>
    <s v="Break 30 Morning"/>
    <d v="1899-12-30T15:45:00"/>
    <d v="1899-12-30T16:15:00"/>
    <n v="0"/>
    <x v="1"/>
  </r>
  <r>
    <x v="0"/>
    <s v="Egypt"/>
    <x v="32"/>
    <x v="155"/>
    <x v="155"/>
    <d v="2025-06-24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Shift Swap"/>
    <d v="1899-12-30T09:00:00"/>
    <d v="1899-12-30T09:15:00"/>
    <n v="0"/>
    <x v="1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25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30:00"/>
    <d v="1899-12-30T11:45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26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0:00:00"/>
    <d v="1899-12-30T10:15:00"/>
    <n v="0"/>
    <x v="1"/>
  </r>
  <r>
    <x v="0"/>
    <s v="Egypt"/>
    <x v="32"/>
    <x v="155"/>
    <x v="155"/>
    <m/>
    <m/>
    <s v="Break 30 Morning"/>
    <d v="1899-12-30T12:30:00"/>
    <d v="1899-12-30T13:00:00"/>
    <n v="0"/>
    <x v="1"/>
  </r>
  <r>
    <x v="0"/>
    <s v="Egypt"/>
    <x v="32"/>
    <x v="155"/>
    <x v="155"/>
    <d v="2025-06-27T00:00:00"/>
    <m/>
    <s v="Day Off"/>
    <m/>
    <m/>
    <n v="0"/>
    <x v="1"/>
  </r>
  <r>
    <x v="0"/>
    <s v="Egypt"/>
    <x v="32"/>
    <x v="155"/>
    <x v="155"/>
    <d v="2025-06-28T00:00:00"/>
    <m/>
    <s v="Day Off"/>
    <m/>
    <m/>
    <n v="0"/>
    <x v="1"/>
  </r>
  <r>
    <x v="0"/>
    <s v="Egypt"/>
    <x v="32"/>
    <x v="155"/>
    <x v="155"/>
    <d v="2025-06-29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15:00"/>
    <d v="1899-12-30T11:30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5"/>
    <x v="155"/>
    <d v="2025-06-30T00:00:00"/>
    <d v="1899-12-30T08:15:00"/>
    <s v="Non Telecom Assyot"/>
    <d v="1899-12-30T09:00:00"/>
    <d v="1899-12-30T17:15:00"/>
    <n v="29700"/>
    <x v="0"/>
  </r>
  <r>
    <x v="0"/>
    <s v="Egypt"/>
    <x v="32"/>
    <x v="155"/>
    <x v="155"/>
    <m/>
    <m/>
    <s v="Break 15 Morning"/>
    <d v="1899-12-30T11:30:00"/>
    <d v="1899-12-30T11:45:00"/>
    <n v="0"/>
    <x v="1"/>
  </r>
  <r>
    <x v="0"/>
    <s v="Egypt"/>
    <x v="32"/>
    <x v="155"/>
    <x v="155"/>
    <m/>
    <m/>
    <s v="Break 30 Morning"/>
    <d v="1899-12-30T14:15:00"/>
    <d v="1899-12-30T14:45:00"/>
    <n v="0"/>
    <x v="1"/>
  </r>
  <r>
    <x v="0"/>
    <s v="Egypt"/>
    <x v="32"/>
    <x v="156"/>
    <x v="156"/>
    <d v="2025-06-01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7:00:00"/>
    <d v="1899-12-30T17:30:00"/>
    <n v="0"/>
    <x v="1"/>
  </r>
  <r>
    <x v="0"/>
    <s v="Egypt"/>
    <x v="32"/>
    <x v="156"/>
    <x v="156"/>
    <d v="2025-06-02T00:00:00"/>
    <m/>
    <s v="Day Off"/>
    <m/>
    <m/>
    <n v="0"/>
    <x v="1"/>
  </r>
  <r>
    <x v="0"/>
    <s v="Egypt"/>
    <x v="32"/>
    <x v="156"/>
    <x v="156"/>
    <d v="2025-06-03T00:00:00"/>
    <m/>
    <s v="Day Off"/>
    <m/>
    <m/>
    <n v="0"/>
    <x v="1"/>
  </r>
  <r>
    <x v="0"/>
    <s v="Egypt"/>
    <x v="32"/>
    <x v="156"/>
    <x v="156"/>
    <d v="2025-06-04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30:00"/>
    <d v="1899-12-30T11:45:00"/>
    <n v="0"/>
    <x v="1"/>
  </r>
  <r>
    <x v="0"/>
    <s v="Egypt"/>
    <x v="32"/>
    <x v="156"/>
    <x v="156"/>
    <m/>
    <m/>
    <s v="Break 30 Morning"/>
    <d v="1899-12-30T14:45:00"/>
    <d v="1899-12-30T15:15:00"/>
    <n v="0"/>
    <x v="1"/>
  </r>
  <r>
    <x v="0"/>
    <s v="Egypt"/>
    <x v="32"/>
    <x v="156"/>
    <x v="156"/>
    <d v="2025-06-05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4:00:00"/>
    <d v="1899-12-30T14:15:00"/>
    <n v="0"/>
    <x v="1"/>
  </r>
  <r>
    <x v="0"/>
    <s v="Egypt"/>
    <x v="32"/>
    <x v="156"/>
    <x v="156"/>
    <m/>
    <m/>
    <s v="Break 30 Morning"/>
    <d v="1899-12-30T17:15:00"/>
    <d v="1899-12-30T17:45:00"/>
    <n v="0"/>
    <x v="1"/>
  </r>
  <r>
    <x v="0"/>
    <s v="Egypt"/>
    <x v="32"/>
    <x v="156"/>
    <x v="156"/>
    <d v="2025-06-06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45:00"/>
    <d v="1899-12-30T12:00:00"/>
    <n v="0"/>
    <x v="1"/>
  </r>
  <r>
    <x v="0"/>
    <s v="Egypt"/>
    <x v="32"/>
    <x v="156"/>
    <x v="156"/>
    <m/>
    <m/>
    <s v="Break 30 Morning"/>
    <d v="1899-12-30T14:45:00"/>
    <d v="1899-12-30T15:15:00"/>
    <n v="0"/>
    <x v="1"/>
  </r>
  <r>
    <x v="0"/>
    <s v="Egypt"/>
    <x v="32"/>
    <x v="156"/>
    <x v="156"/>
    <d v="2025-06-07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00:00"/>
    <d v="1899-12-30T11:15:00"/>
    <n v="0"/>
    <x v="1"/>
  </r>
  <r>
    <x v="0"/>
    <s v="Egypt"/>
    <x v="32"/>
    <x v="156"/>
    <x v="156"/>
    <m/>
    <m/>
    <s v="Break 30 Morning"/>
    <d v="1899-12-30T14:15:00"/>
    <d v="1899-12-30T14:45:00"/>
    <n v="0"/>
    <x v="1"/>
  </r>
  <r>
    <x v="0"/>
    <s v="Egypt"/>
    <x v="32"/>
    <x v="156"/>
    <x v="156"/>
    <d v="2025-06-08T00:00:00"/>
    <m/>
    <s v="Day Off"/>
    <m/>
    <m/>
    <n v="0"/>
    <x v="1"/>
  </r>
  <r>
    <x v="0"/>
    <s v="Egypt"/>
    <x v="32"/>
    <x v="156"/>
    <x v="156"/>
    <d v="2025-06-09T00:00:00"/>
    <m/>
    <s v="Day Off"/>
    <m/>
    <m/>
    <n v="0"/>
    <x v="1"/>
  </r>
  <r>
    <x v="0"/>
    <s v="Egypt"/>
    <x v="32"/>
    <x v="156"/>
    <x v="156"/>
    <d v="2025-06-10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15:00"/>
    <d v="1899-12-30T13:30:00"/>
    <n v="0"/>
    <x v="1"/>
  </r>
  <r>
    <x v="0"/>
    <s v="Egypt"/>
    <x v="32"/>
    <x v="156"/>
    <x v="156"/>
    <m/>
    <m/>
    <s v="Break 30 Morning"/>
    <d v="1899-12-30T16:30:00"/>
    <d v="1899-12-30T17:00:00"/>
    <n v="0"/>
    <x v="1"/>
  </r>
  <r>
    <x v="0"/>
    <s v="Egypt"/>
    <x v="32"/>
    <x v="156"/>
    <x v="156"/>
    <d v="2025-06-11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6:45:00"/>
    <d v="1899-12-30T17:15:00"/>
    <n v="0"/>
    <x v="1"/>
  </r>
  <r>
    <x v="0"/>
    <s v="Egypt"/>
    <x v="32"/>
    <x v="156"/>
    <x v="156"/>
    <d v="2025-06-12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6:15:00"/>
    <d v="1899-12-30T16:45:00"/>
    <n v="0"/>
    <x v="1"/>
  </r>
  <r>
    <x v="0"/>
    <s v="Egypt"/>
    <x v="32"/>
    <x v="156"/>
    <x v="156"/>
    <d v="2025-06-13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0:45:00"/>
    <d v="1899-12-30T11:00:00"/>
    <n v="0"/>
    <x v="1"/>
  </r>
  <r>
    <x v="0"/>
    <s v="Egypt"/>
    <x v="32"/>
    <x v="156"/>
    <x v="156"/>
    <m/>
    <m/>
    <s v="Break 30 Morning"/>
    <d v="1899-12-30T13:30:00"/>
    <d v="1899-12-30T14:00:00"/>
    <n v="0"/>
    <x v="1"/>
  </r>
  <r>
    <x v="0"/>
    <s v="Egypt"/>
    <x v="32"/>
    <x v="156"/>
    <x v="156"/>
    <d v="2025-06-14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6:45:00"/>
    <d v="1899-12-30T17:15:00"/>
    <n v="0"/>
    <x v="1"/>
  </r>
  <r>
    <x v="0"/>
    <s v="Egypt"/>
    <x v="32"/>
    <x v="156"/>
    <x v="156"/>
    <d v="2025-06-15T00:00:00"/>
    <m/>
    <s v="Day Off"/>
    <m/>
    <m/>
    <n v="0"/>
    <x v="1"/>
  </r>
  <r>
    <x v="0"/>
    <s v="Egypt"/>
    <x v="32"/>
    <x v="156"/>
    <x v="156"/>
    <d v="2025-06-16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45:00"/>
    <d v="1899-12-30T12:00:00"/>
    <n v="0"/>
    <x v="1"/>
  </r>
  <r>
    <x v="0"/>
    <s v="Egypt"/>
    <x v="32"/>
    <x v="156"/>
    <x v="156"/>
    <m/>
    <m/>
    <s v="Break 30 Morning"/>
    <d v="1899-12-30T14:15:00"/>
    <d v="1899-12-30T14:45:00"/>
    <n v="0"/>
    <x v="1"/>
  </r>
  <r>
    <x v="0"/>
    <s v="Egypt"/>
    <x v="32"/>
    <x v="156"/>
    <x v="156"/>
    <d v="2025-06-17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30:00"/>
    <d v="1899-12-30T11:45:00"/>
    <n v="0"/>
    <x v="1"/>
  </r>
  <r>
    <x v="0"/>
    <s v="Egypt"/>
    <x v="32"/>
    <x v="156"/>
    <x v="156"/>
    <m/>
    <m/>
    <s v="Break 30 Morning"/>
    <d v="1899-12-30T14:45:00"/>
    <d v="1899-12-30T15:15:00"/>
    <n v="0"/>
    <x v="1"/>
  </r>
  <r>
    <x v="0"/>
    <s v="Egypt"/>
    <x v="32"/>
    <x v="156"/>
    <x v="156"/>
    <d v="2025-06-18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30:00"/>
    <d v="1899-12-30T11:45:00"/>
    <n v="0"/>
    <x v="1"/>
  </r>
  <r>
    <x v="0"/>
    <s v="Egypt"/>
    <x v="32"/>
    <x v="156"/>
    <x v="156"/>
    <m/>
    <m/>
    <s v="Break 30 Morning"/>
    <d v="1899-12-30T14:15:00"/>
    <d v="1899-12-30T14:45:00"/>
    <n v="0"/>
    <x v="1"/>
  </r>
  <r>
    <x v="0"/>
    <s v="Egypt"/>
    <x v="32"/>
    <x v="156"/>
    <x v="156"/>
    <d v="2025-06-19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30:00"/>
    <d v="1899-12-30T11:45:00"/>
    <n v="0"/>
    <x v="1"/>
  </r>
  <r>
    <x v="0"/>
    <s v="Egypt"/>
    <x v="32"/>
    <x v="156"/>
    <x v="156"/>
    <m/>
    <m/>
    <s v="Break 30 Morning"/>
    <d v="1899-12-30T14:15:00"/>
    <d v="1899-12-30T14:45:00"/>
    <n v="0"/>
    <x v="1"/>
  </r>
  <r>
    <x v="0"/>
    <s v="Egypt"/>
    <x v="32"/>
    <x v="156"/>
    <x v="156"/>
    <d v="2025-06-20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15:00"/>
    <d v="1899-12-30T11:30:00"/>
    <n v="0"/>
    <x v="1"/>
  </r>
  <r>
    <x v="0"/>
    <s v="Egypt"/>
    <x v="32"/>
    <x v="156"/>
    <x v="156"/>
    <m/>
    <m/>
    <s v="Break 30 Morning"/>
    <d v="1899-12-30T13:45:00"/>
    <d v="1899-12-30T14:15:00"/>
    <n v="0"/>
    <x v="1"/>
  </r>
  <r>
    <x v="0"/>
    <s v="Egypt"/>
    <x v="32"/>
    <x v="156"/>
    <x v="156"/>
    <d v="2025-06-21T00:00:00"/>
    <m/>
    <s v="Day Off"/>
    <m/>
    <m/>
    <n v="0"/>
    <x v="1"/>
  </r>
  <r>
    <x v="0"/>
    <s v="Egypt"/>
    <x v="32"/>
    <x v="156"/>
    <x v="156"/>
    <d v="2025-06-22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15:00"/>
    <d v="1899-12-30T13:30:00"/>
    <n v="0"/>
    <x v="1"/>
  </r>
  <r>
    <x v="0"/>
    <s v="Egypt"/>
    <x v="32"/>
    <x v="156"/>
    <x v="156"/>
    <m/>
    <m/>
    <s v="Break 30 Morning"/>
    <d v="1899-12-30T16:15:00"/>
    <d v="1899-12-30T16:45:00"/>
    <n v="0"/>
    <x v="1"/>
  </r>
  <r>
    <x v="0"/>
    <s v="Egypt"/>
    <x v="32"/>
    <x v="156"/>
    <x v="156"/>
    <d v="2025-06-23T00:00:00"/>
    <m/>
    <s v="Day Off"/>
    <m/>
    <m/>
    <n v="0"/>
    <x v="1"/>
  </r>
  <r>
    <x v="0"/>
    <s v="Egypt"/>
    <x v="32"/>
    <x v="156"/>
    <x v="156"/>
    <d v="2025-06-24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6:45:00"/>
    <d v="1899-12-30T17:15:00"/>
    <n v="0"/>
    <x v="1"/>
  </r>
  <r>
    <x v="0"/>
    <s v="Egypt"/>
    <x v="32"/>
    <x v="156"/>
    <x v="156"/>
    <d v="2025-06-25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30:00"/>
    <d v="1899-12-30T13:45:00"/>
    <n v="0"/>
    <x v="1"/>
  </r>
  <r>
    <x v="0"/>
    <s v="Egypt"/>
    <x v="32"/>
    <x v="156"/>
    <x v="156"/>
    <m/>
    <m/>
    <s v="Break 30 Morning"/>
    <d v="1899-12-30T16:15:00"/>
    <d v="1899-12-30T16:45:00"/>
    <n v="0"/>
    <x v="1"/>
  </r>
  <r>
    <x v="0"/>
    <s v="Egypt"/>
    <x v="32"/>
    <x v="156"/>
    <x v="156"/>
    <d v="2025-06-26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15:00"/>
    <d v="1899-12-30T13:30:00"/>
    <n v="0"/>
    <x v="1"/>
  </r>
  <r>
    <x v="0"/>
    <s v="Egypt"/>
    <x v="32"/>
    <x v="156"/>
    <x v="156"/>
    <m/>
    <m/>
    <s v="Break 30 Morning"/>
    <d v="1899-12-30T16:45:00"/>
    <d v="1899-12-30T17:15:00"/>
    <n v="0"/>
    <x v="1"/>
  </r>
  <r>
    <x v="0"/>
    <s v="Egypt"/>
    <x v="32"/>
    <x v="156"/>
    <x v="156"/>
    <d v="2025-06-27T00:00:00"/>
    <d v="1899-12-30T08:15:00"/>
    <s v="Non Telecom Assyot"/>
    <d v="1899-12-30T11:00:00"/>
    <d v="1899-12-30T19:15:00"/>
    <n v="29700"/>
    <x v="0"/>
  </r>
  <r>
    <x v="0"/>
    <s v="Egypt"/>
    <x v="32"/>
    <x v="156"/>
    <x v="156"/>
    <m/>
    <m/>
    <s v="Break 15 Morning"/>
    <d v="1899-12-30T13:45:00"/>
    <d v="1899-12-30T14:00:00"/>
    <n v="0"/>
    <x v="1"/>
  </r>
  <r>
    <x v="0"/>
    <s v="Egypt"/>
    <x v="32"/>
    <x v="156"/>
    <x v="156"/>
    <m/>
    <m/>
    <s v="Break 30 Morning"/>
    <d v="1899-12-30T16:45:00"/>
    <d v="1899-12-30T17:15:00"/>
    <n v="0"/>
    <x v="1"/>
  </r>
  <r>
    <x v="0"/>
    <s v="Egypt"/>
    <x v="32"/>
    <x v="156"/>
    <x v="156"/>
    <d v="2025-06-28T00:00:00"/>
    <m/>
    <s v="Day Off"/>
    <m/>
    <m/>
    <n v="0"/>
    <x v="1"/>
  </r>
  <r>
    <x v="0"/>
    <s v="Egypt"/>
    <x v="32"/>
    <x v="156"/>
    <x v="156"/>
    <d v="2025-06-29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1:30:00"/>
    <d v="1899-12-30T11:45:00"/>
    <n v="0"/>
    <x v="1"/>
  </r>
  <r>
    <x v="0"/>
    <s v="Egypt"/>
    <x v="32"/>
    <x v="156"/>
    <x v="156"/>
    <m/>
    <m/>
    <s v="Break 30 Morning"/>
    <d v="1899-12-30T14:45:00"/>
    <d v="1899-12-30T15:15:00"/>
    <n v="0"/>
    <x v="1"/>
  </r>
  <r>
    <x v="0"/>
    <s v="Egypt"/>
    <x v="32"/>
    <x v="156"/>
    <x v="156"/>
    <d v="2025-06-30T00:00:00"/>
    <d v="1899-12-30T08:15:00"/>
    <s v="Non Telecom Assyot"/>
    <d v="1899-12-30T09:00:00"/>
    <d v="1899-12-30T17:15:00"/>
    <n v="29700"/>
    <x v="0"/>
  </r>
  <r>
    <x v="0"/>
    <s v="Egypt"/>
    <x v="32"/>
    <x v="156"/>
    <x v="156"/>
    <m/>
    <m/>
    <s v="Break 15 Morning"/>
    <d v="1899-12-30T12:00:00"/>
    <d v="1899-12-30T12:15:00"/>
    <n v="0"/>
    <x v="1"/>
  </r>
  <r>
    <x v="0"/>
    <s v="Egypt"/>
    <x v="32"/>
    <x v="156"/>
    <x v="156"/>
    <m/>
    <m/>
    <s v="Break 30 Morning"/>
    <d v="1899-12-30T15:15:00"/>
    <d v="1899-12-30T15:45:00"/>
    <n v="0"/>
    <x v="1"/>
  </r>
  <r>
    <x v="0"/>
    <s v="Egypt"/>
    <x v="32"/>
    <x v="157"/>
    <x v="157"/>
    <d v="2025-06-01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4:00:00"/>
    <d v="1899-12-30T14:15:00"/>
    <n v="0"/>
    <x v="1"/>
  </r>
  <r>
    <x v="0"/>
    <s v="Egypt"/>
    <x v="32"/>
    <x v="157"/>
    <x v="157"/>
    <m/>
    <m/>
    <s v="Break 30 Morning"/>
    <d v="1899-12-30T17:30:00"/>
    <d v="1899-12-30T18:00:00"/>
    <n v="0"/>
    <x v="1"/>
  </r>
  <r>
    <x v="0"/>
    <s v="Egypt"/>
    <x v="32"/>
    <x v="157"/>
    <x v="157"/>
    <d v="2025-06-02T00:00:00"/>
    <m/>
    <s v="Day Off"/>
    <m/>
    <m/>
    <n v="0"/>
    <x v="1"/>
  </r>
  <r>
    <x v="0"/>
    <s v="Egypt"/>
    <x v="32"/>
    <x v="157"/>
    <x v="157"/>
    <d v="2025-06-03T00:00:00"/>
    <m/>
    <s v="Day Off"/>
    <m/>
    <m/>
    <n v="0"/>
    <x v="1"/>
  </r>
  <r>
    <x v="0"/>
    <s v="Egypt"/>
    <x v="32"/>
    <x v="157"/>
    <x v="157"/>
    <d v="2025-06-04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1:45:00"/>
    <d v="1899-12-30T12:00:00"/>
    <n v="0"/>
    <x v="1"/>
  </r>
  <r>
    <x v="0"/>
    <s v="Egypt"/>
    <x v="32"/>
    <x v="157"/>
    <x v="157"/>
    <m/>
    <m/>
    <s v="Break 30 Morning"/>
    <d v="1899-12-30T14:45:00"/>
    <d v="1899-12-30T15:15:00"/>
    <n v="0"/>
    <x v="1"/>
  </r>
  <r>
    <x v="0"/>
    <s v="Egypt"/>
    <x v="32"/>
    <x v="157"/>
    <x v="157"/>
    <d v="2025-06-05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30:00"/>
    <d v="1899-12-30T13:45:00"/>
    <n v="0"/>
    <x v="1"/>
  </r>
  <r>
    <x v="0"/>
    <s v="Egypt"/>
    <x v="32"/>
    <x v="157"/>
    <x v="157"/>
    <m/>
    <m/>
    <s v="Break 30 Morning"/>
    <d v="1899-12-30T16:45:00"/>
    <d v="1899-12-30T17:15:00"/>
    <n v="0"/>
    <x v="1"/>
  </r>
  <r>
    <x v="0"/>
    <s v="Egypt"/>
    <x v="32"/>
    <x v="157"/>
    <x v="157"/>
    <d v="2025-06-06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00:00"/>
    <d v="1899-12-30T12:15:00"/>
    <n v="0"/>
    <x v="1"/>
  </r>
  <r>
    <x v="0"/>
    <s v="Egypt"/>
    <x v="32"/>
    <x v="157"/>
    <x v="157"/>
    <m/>
    <m/>
    <s v="Break 30 Morning"/>
    <d v="1899-12-30T15:15:00"/>
    <d v="1899-12-30T15:45:00"/>
    <n v="0"/>
    <x v="1"/>
  </r>
  <r>
    <x v="0"/>
    <s v="Egypt"/>
    <x v="32"/>
    <x v="157"/>
    <x v="157"/>
    <d v="2025-06-07T00:00:00"/>
    <d v="1899-12-30T08:15:00"/>
    <s v="Public holiday"/>
    <m/>
    <m/>
    <n v="29700"/>
    <x v="1"/>
  </r>
  <r>
    <x v="0"/>
    <s v="Egypt"/>
    <x v="32"/>
    <x v="157"/>
    <x v="157"/>
    <d v="2025-06-08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15:00"/>
    <d v="1899-12-30T12:30:00"/>
    <n v="0"/>
    <x v="1"/>
  </r>
  <r>
    <x v="0"/>
    <s v="Egypt"/>
    <x v="32"/>
    <x v="157"/>
    <x v="157"/>
    <m/>
    <m/>
    <s v="Break 30 Morning"/>
    <d v="1899-12-30T15:15:00"/>
    <d v="1899-12-30T15:45:00"/>
    <n v="0"/>
    <x v="1"/>
  </r>
  <r>
    <x v="0"/>
    <s v="Egypt"/>
    <x v="32"/>
    <x v="157"/>
    <x v="157"/>
    <d v="2025-06-09T00:00:00"/>
    <m/>
    <s v="Day Off"/>
    <m/>
    <m/>
    <n v="0"/>
    <x v="1"/>
  </r>
  <r>
    <x v="0"/>
    <s v="Egypt"/>
    <x v="32"/>
    <x v="157"/>
    <x v="157"/>
    <d v="2025-06-10T00:00:00"/>
    <m/>
    <s v="Day Off"/>
    <m/>
    <m/>
    <n v="0"/>
    <x v="1"/>
  </r>
  <r>
    <x v="0"/>
    <s v="Egypt"/>
    <x v="32"/>
    <x v="157"/>
    <x v="157"/>
    <d v="2025-06-11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45:00"/>
    <d v="1899-12-30T14:00:00"/>
    <n v="0"/>
    <x v="1"/>
  </r>
  <r>
    <x v="0"/>
    <s v="Egypt"/>
    <x v="32"/>
    <x v="157"/>
    <x v="157"/>
    <m/>
    <m/>
    <s v="Break 30 Morning"/>
    <d v="1899-12-30T17:15:00"/>
    <d v="1899-12-30T17:45:00"/>
    <n v="0"/>
    <x v="1"/>
  </r>
  <r>
    <x v="0"/>
    <s v="Egypt"/>
    <x v="32"/>
    <x v="157"/>
    <x v="157"/>
    <d v="2025-06-12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45:00"/>
    <d v="1899-12-30T14:00:00"/>
    <n v="0"/>
    <x v="1"/>
  </r>
  <r>
    <x v="0"/>
    <s v="Egypt"/>
    <x v="32"/>
    <x v="157"/>
    <x v="157"/>
    <m/>
    <m/>
    <s v="Break 30 Morning"/>
    <d v="1899-12-30T16:45:00"/>
    <d v="1899-12-30T17:15:00"/>
    <n v="0"/>
    <x v="1"/>
  </r>
  <r>
    <x v="0"/>
    <s v="Egypt"/>
    <x v="32"/>
    <x v="157"/>
    <x v="157"/>
    <d v="2025-06-13T00:00:00"/>
    <m/>
    <s v="Day Off"/>
    <m/>
    <m/>
    <n v="0"/>
    <x v="1"/>
  </r>
  <r>
    <x v="0"/>
    <s v="Egypt"/>
    <x v="32"/>
    <x v="157"/>
    <x v="157"/>
    <d v="2025-06-14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4:00:00"/>
    <d v="1899-12-30T14:15:00"/>
    <n v="0"/>
    <x v="1"/>
  </r>
  <r>
    <x v="0"/>
    <s v="Egypt"/>
    <x v="32"/>
    <x v="157"/>
    <x v="157"/>
    <m/>
    <m/>
    <s v="Break 30 Morning"/>
    <d v="1899-12-30T17:15:00"/>
    <d v="1899-12-30T17:45:00"/>
    <n v="0"/>
    <x v="1"/>
  </r>
  <r>
    <x v="0"/>
    <s v="Egypt"/>
    <x v="32"/>
    <x v="157"/>
    <x v="157"/>
    <d v="2025-06-15T00:00:00"/>
    <m/>
    <s v="Day Off"/>
    <m/>
    <m/>
    <n v="0"/>
    <x v="1"/>
  </r>
  <r>
    <x v="0"/>
    <s v="Egypt"/>
    <x v="32"/>
    <x v="157"/>
    <x v="157"/>
    <d v="2025-06-16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30:00"/>
    <d v="1899-12-30T13:45:00"/>
    <n v="0"/>
    <x v="1"/>
  </r>
  <r>
    <x v="0"/>
    <s v="Egypt"/>
    <x v="32"/>
    <x v="157"/>
    <x v="157"/>
    <m/>
    <m/>
    <s v="Break 30 Morning"/>
    <d v="1899-12-30T16:15:00"/>
    <d v="1899-12-30T16:45:00"/>
    <n v="0"/>
    <x v="1"/>
  </r>
  <r>
    <x v="0"/>
    <s v="Egypt"/>
    <x v="32"/>
    <x v="157"/>
    <x v="157"/>
    <d v="2025-06-17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15:00"/>
    <d v="1899-12-30T13:30:00"/>
    <n v="0"/>
    <x v="1"/>
  </r>
  <r>
    <x v="0"/>
    <s v="Egypt"/>
    <x v="32"/>
    <x v="157"/>
    <x v="157"/>
    <m/>
    <m/>
    <s v="Break 30 Morning"/>
    <d v="1899-12-30T16:45:00"/>
    <d v="1899-12-30T17:15:00"/>
    <n v="0"/>
    <x v="1"/>
  </r>
  <r>
    <x v="0"/>
    <s v="Egypt"/>
    <x v="32"/>
    <x v="157"/>
    <x v="157"/>
    <d v="2025-06-18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4:00:00"/>
    <d v="1899-12-30T14:15:00"/>
    <n v="0"/>
    <x v="1"/>
  </r>
  <r>
    <x v="0"/>
    <s v="Egypt"/>
    <x v="32"/>
    <x v="157"/>
    <x v="157"/>
    <m/>
    <m/>
    <s v="Break 30 Morning"/>
    <d v="1899-12-30T16:45:00"/>
    <d v="1899-12-30T17:15:00"/>
    <n v="0"/>
    <x v="1"/>
  </r>
  <r>
    <x v="0"/>
    <s v="Egypt"/>
    <x v="32"/>
    <x v="157"/>
    <x v="157"/>
    <d v="2025-06-19T00:00:00"/>
    <d v="1899-12-30T08:15:00"/>
    <s v="Annual Exception"/>
    <m/>
    <m/>
    <n v="29700"/>
    <x v="1"/>
  </r>
  <r>
    <x v="0"/>
    <s v="Egypt"/>
    <x v="32"/>
    <x v="157"/>
    <x v="157"/>
    <d v="2025-06-20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1:30:00"/>
    <d v="1899-12-30T11:45:00"/>
    <n v="0"/>
    <x v="1"/>
  </r>
  <r>
    <x v="0"/>
    <s v="Egypt"/>
    <x v="32"/>
    <x v="157"/>
    <x v="157"/>
    <m/>
    <m/>
    <s v="Break 30 Morning"/>
    <d v="1899-12-30T14:15:00"/>
    <d v="1899-12-30T14:45:00"/>
    <n v="0"/>
    <x v="1"/>
  </r>
  <r>
    <x v="0"/>
    <s v="Egypt"/>
    <x v="32"/>
    <x v="157"/>
    <x v="157"/>
    <d v="2025-06-21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4:30:00"/>
    <d v="1899-12-30T14:45:00"/>
    <n v="0"/>
    <x v="1"/>
  </r>
  <r>
    <x v="0"/>
    <s v="Egypt"/>
    <x v="32"/>
    <x v="157"/>
    <x v="157"/>
    <m/>
    <m/>
    <s v="Break 30 Morning"/>
    <d v="1899-12-30T17:45:00"/>
    <d v="1899-12-30T18:15:00"/>
    <n v="0"/>
    <x v="1"/>
  </r>
  <r>
    <x v="0"/>
    <s v="Egypt"/>
    <x v="32"/>
    <x v="157"/>
    <x v="157"/>
    <d v="2025-06-22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30:00"/>
    <d v="1899-12-30T13:45:00"/>
    <n v="0"/>
    <x v="1"/>
  </r>
  <r>
    <x v="0"/>
    <s v="Egypt"/>
    <x v="32"/>
    <x v="157"/>
    <x v="157"/>
    <m/>
    <m/>
    <s v="Break 30 Morning"/>
    <d v="1899-12-30T16:15:00"/>
    <d v="1899-12-30T16:45:00"/>
    <n v="0"/>
    <x v="1"/>
  </r>
  <r>
    <x v="0"/>
    <s v="Egypt"/>
    <x v="32"/>
    <x v="157"/>
    <x v="157"/>
    <d v="2025-06-23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00:00"/>
    <d v="1899-12-30T12:15:00"/>
    <n v="0"/>
    <x v="1"/>
  </r>
  <r>
    <x v="0"/>
    <s v="Egypt"/>
    <x v="32"/>
    <x v="157"/>
    <x v="157"/>
    <m/>
    <m/>
    <s v="Break 30 Morning"/>
    <d v="1899-12-30T14:45:00"/>
    <d v="1899-12-30T15:15:00"/>
    <n v="0"/>
    <x v="1"/>
  </r>
  <r>
    <x v="0"/>
    <s v="Egypt"/>
    <x v="32"/>
    <x v="157"/>
    <x v="157"/>
    <d v="2025-06-24T00:00:00"/>
    <m/>
    <s v="Day Off"/>
    <m/>
    <m/>
    <n v="0"/>
    <x v="1"/>
  </r>
  <r>
    <x v="0"/>
    <s v="Egypt"/>
    <x v="32"/>
    <x v="157"/>
    <x v="157"/>
    <d v="2025-06-25T00:00:00"/>
    <m/>
    <s v="Day Off"/>
    <m/>
    <m/>
    <n v="0"/>
    <x v="1"/>
  </r>
  <r>
    <x v="0"/>
    <s v="Egypt"/>
    <x v="32"/>
    <x v="157"/>
    <x v="157"/>
    <d v="2025-06-26T00:00:00"/>
    <d v="1899-12-30T08:15:00"/>
    <s v="Non Telecom Assyot"/>
    <d v="1899-12-30T11:00:00"/>
    <d v="1899-12-30T19:15:00"/>
    <n v="29700"/>
    <x v="0"/>
  </r>
  <r>
    <x v="0"/>
    <s v="Egypt"/>
    <x v="32"/>
    <x v="157"/>
    <x v="157"/>
    <m/>
    <m/>
    <s v="Break 15 Morning"/>
    <d v="1899-12-30T13:30:00"/>
    <d v="1899-12-30T13:45:00"/>
    <n v="0"/>
    <x v="1"/>
  </r>
  <r>
    <x v="0"/>
    <s v="Egypt"/>
    <x v="32"/>
    <x v="157"/>
    <x v="157"/>
    <m/>
    <m/>
    <s v="Break 30 Morning"/>
    <d v="1899-12-30T17:15:00"/>
    <d v="1899-12-30T17:45:00"/>
    <n v="0"/>
    <x v="1"/>
  </r>
  <r>
    <x v="0"/>
    <s v="Egypt"/>
    <x v="32"/>
    <x v="157"/>
    <x v="157"/>
    <d v="2025-06-27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00:00"/>
    <d v="1899-12-30T12:15:00"/>
    <n v="0"/>
    <x v="1"/>
  </r>
  <r>
    <x v="0"/>
    <s v="Egypt"/>
    <x v="32"/>
    <x v="157"/>
    <x v="157"/>
    <m/>
    <m/>
    <s v="Break 30 Morning"/>
    <d v="1899-12-30T14:15:00"/>
    <d v="1899-12-30T14:45:00"/>
    <n v="0"/>
    <x v="1"/>
  </r>
  <r>
    <x v="0"/>
    <s v="Egypt"/>
    <x v="32"/>
    <x v="157"/>
    <x v="157"/>
    <d v="2025-06-28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00:00"/>
    <d v="1899-12-30T12:15:00"/>
    <n v="0"/>
    <x v="1"/>
  </r>
  <r>
    <x v="0"/>
    <s v="Egypt"/>
    <x v="32"/>
    <x v="157"/>
    <x v="157"/>
    <m/>
    <m/>
    <s v="Break 30 Morning"/>
    <d v="1899-12-30T15:15:00"/>
    <d v="1899-12-30T15:45:00"/>
    <n v="0"/>
    <x v="1"/>
  </r>
  <r>
    <x v="0"/>
    <s v="Egypt"/>
    <x v="32"/>
    <x v="157"/>
    <x v="157"/>
    <d v="2025-06-29T00:00:00"/>
    <d v="1899-12-30T08:15:00"/>
    <s v="Non Telecom Assyot"/>
    <d v="1899-12-30T09:00:00"/>
    <d v="1899-12-30T17:15:00"/>
    <n v="29700"/>
    <x v="0"/>
  </r>
  <r>
    <x v="0"/>
    <s v="Egypt"/>
    <x v="32"/>
    <x v="157"/>
    <x v="157"/>
    <m/>
    <m/>
    <s v="Break 15 Morning"/>
    <d v="1899-12-30T12:00:00"/>
    <d v="1899-12-30T12:15:00"/>
    <n v="0"/>
    <x v="1"/>
  </r>
  <r>
    <x v="0"/>
    <s v="Egypt"/>
    <x v="32"/>
    <x v="157"/>
    <x v="157"/>
    <m/>
    <m/>
    <s v="Break 30 Morning"/>
    <d v="1899-12-30T15:15:00"/>
    <d v="1899-12-30T15:45:00"/>
    <n v="0"/>
    <x v="1"/>
  </r>
  <r>
    <x v="0"/>
    <s v="Egypt"/>
    <x v="32"/>
    <x v="157"/>
    <x v="157"/>
    <d v="2025-06-30T00:00:00"/>
    <m/>
    <s v="Day Off"/>
    <m/>
    <m/>
    <n v="0"/>
    <x v="1"/>
  </r>
  <r>
    <x v="0"/>
    <s v="Egypt"/>
    <x v="32"/>
    <x v="158"/>
    <x v="158"/>
    <d v="2025-06-05T00:00:00"/>
    <d v="1899-12-30T08:15:00"/>
    <s v="Public holiday"/>
    <m/>
    <m/>
    <n v="29700"/>
    <x v="1"/>
  </r>
  <r>
    <x v="0"/>
    <s v="Egypt"/>
    <x v="32"/>
    <x v="158"/>
    <x v="158"/>
    <d v="2025-06-06T00:00:00"/>
    <m/>
    <s v="Day Off"/>
    <m/>
    <m/>
    <n v="0"/>
    <x v="1"/>
  </r>
  <r>
    <x v="0"/>
    <s v="Egypt"/>
    <x v="32"/>
    <x v="158"/>
    <x v="158"/>
    <d v="2025-06-07T00:00:00"/>
    <m/>
    <s v="Day Off"/>
    <m/>
    <m/>
    <n v="0"/>
    <x v="1"/>
  </r>
  <r>
    <x v="0"/>
    <s v="Egypt"/>
    <x v="32"/>
    <x v="158"/>
    <x v="158"/>
    <d v="2025-06-08T00:00:00"/>
    <d v="1899-12-30T08:15:00"/>
    <s v="Public holiday"/>
    <m/>
    <m/>
    <n v="29700"/>
    <x v="1"/>
  </r>
  <r>
    <x v="0"/>
    <s v="Egypt"/>
    <x v="32"/>
    <x v="158"/>
    <x v="158"/>
    <d v="2025-06-09T00:00:00"/>
    <m/>
    <s v="Day Off"/>
    <m/>
    <m/>
    <n v="0"/>
    <x v="1"/>
  </r>
  <r>
    <x v="0"/>
    <s v="Egypt"/>
    <x v="32"/>
    <x v="158"/>
    <x v="158"/>
    <d v="2025-06-10T00:00:00"/>
    <m/>
    <s v="Day Off"/>
    <m/>
    <m/>
    <n v="0"/>
    <x v="1"/>
  </r>
  <r>
    <x v="0"/>
    <s v="Egypt"/>
    <x v="32"/>
    <x v="158"/>
    <x v="158"/>
    <d v="2025-06-11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00:00"/>
    <d v="1899-12-30T12:15:00"/>
    <n v="0"/>
    <x v="1"/>
  </r>
  <r>
    <x v="0"/>
    <s v="Egypt"/>
    <x v="32"/>
    <x v="158"/>
    <x v="158"/>
    <m/>
    <m/>
    <s v="One to One"/>
    <d v="1899-12-30T13:00:00"/>
    <d v="1899-12-30T13:15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12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00:00"/>
    <d v="1899-12-30T12:15:00"/>
    <n v="0"/>
    <x v="1"/>
  </r>
  <r>
    <x v="0"/>
    <s v="Egypt"/>
    <x v="32"/>
    <x v="158"/>
    <x v="158"/>
    <m/>
    <m/>
    <s v="One to One"/>
    <d v="1899-12-30T13:00:00"/>
    <d v="1899-12-30T13:15:00"/>
    <n v="0"/>
    <x v="1"/>
  </r>
  <r>
    <x v="0"/>
    <s v="Egypt"/>
    <x v="32"/>
    <x v="158"/>
    <x v="158"/>
    <m/>
    <m/>
    <s v="Break 30 Morning"/>
    <d v="1899-12-30T14:45:00"/>
    <d v="1899-12-30T15:15:00"/>
    <n v="0"/>
    <x v="1"/>
  </r>
  <r>
    <x v="0"/>
    <s v="Egypt"/>
    <x v="32"/>
    <x v="158"/>
    <x v="158"/>
    <d v="2025-06-13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1:45:00"/>
    <d v="1899-12-30T12:00:00"/>
    <n v="0"/>
    <x v="1"/>
  </r>
  <r>
    <x v="0"/>
    <s v="Egypt"/>
    <x v="32"/>
    <x v="158"/>
    <x v="158"/>
    <m/>
    <m/>
    <s v="One to One"/>
    <d v="1899-12-30T12:30:00"/>
    <d v="1899-12-30T12:45:00"/>
    <n v="0"/>
    <x v="1"/>
  </r>
  <r>
    <x v="0"/>
    <s v="Egypt"/>
    <x v="32"/>
    <x v="158"/>
    <x v="158"/>
    <m/>
    <m/>
    <s v="Break 30 Morning"/>
    <d v="1899-12-30T15:00:00"/>
    <d v="1899-12-30T15:30:00"/>
    <n v="0"/>
    <x v="1"/>
  </r>
  <r>
    <x v="0"/>
    <s v="Egypt"/>
    <x v="32"/>
    <x v="158"/>
    <x v="158"/>
    <d v="2025-06-14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15:00"/>
    <d v="1899-12-30T12:30:00"/>
    <n v="0"/>
    <x v="1"/>
  </r>
  <r>
    <x v="0"/>
    <s v="Egypt"/>
    <x v="32"/>
    <x v="158"/>
    <x v="158"/>
    <m/>
    <m/>
    <s v="One to One"/>
    <d v="1899-12-30T13:15:00"/>
    <d v="1899-12-30T13:30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15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00:00"/>
    <d v="1899-12-30T12:15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16T00:00:00"/>
    <m/>
    <s v="Day Off"/>
    <m/>
    <m/>
    <n v="0"/>
    <x v="1"/>
  </r>
  <r>
    <x v="0"/>
    <s v="Egypt"/>
    <x v="32"/>
    <x v="158"/>
    <x v="158"/>
    <d v="2025-06-17T00:00:00"/>
    <m/>
    <s v="Day Off"/>
    <m/>
    <m/>
    <n v="0"/>
    <x v="1"/>
  </r>
  <r>
    <x v="0"/>
    <s v="Egypt"/>
    <x v="32"/>
    <x v="158"/>
    <x v="158"/>
    <d v="2025-06-18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15:00"/>
    <d v="1899-12-30T12:30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19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15:00"/>
    <d v="1899-12-30T12:30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20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4:30:00"/>
    <d v="1899-12-30T14:45:00"/>
    <n v="0"/>
    <x v="1"/>
  </r>
  <r>
    <x v="0"/>
    <s v="Egypt"/>
    <x v="32"/>
    <x v="158"/>
    <x v="158"/>
    <m/>
    <m/>
    <s v="Break 30 Morning"/>
    <d v="1899-12-30T17:45:00"/>
    <d v="1899-12-30T18:15:00"/>
    <n v="0"/>
    <x v="1"/>
  </r>
  <r>
    <x v="0"/>
    <s v="Egypt"/>
    <x v="32"/>
    <x v="158"/>
    <x v="158"/>
    <d v="2025-06-21T00:00:00"/>
    <d v="1899-12-30T08:15:00"/>
    <s v="Non Telecom Assyot"/>
    <d v="1899-12-30T09:00:00"/>
    <d v="1899-12-30T17:15:00"/>
    <n v="29700"/>
    <x v="0"/>
  </r>
  <r>
    <x v="0"/>
    <s v="Egypt"/>
    <x v="32"/>
    <x v="158"/>
    <x v="158"/>
    <m/>
    <m/>
    <s v="Break 15 Morning"/>
    <d v="1899-12-30T12:15:00"/>
    <d v="1899-12-30T12:30:00"/>
    <n v="0"/>
    <x v="1"/>
  </r>
  <r>
    <x v="0"/>
    <s v="Egypt"/>
    <x v="32"/>
    <x v="158"/>
    <x v="158"/>
    <m/>
    <m/>
    <s v="Break 30 Morning"/>
    <d v="1899-12-30T15:15:00"/>
    <d v="1899-12-30T15:45:00"/>
    <n v="0"/>
    <x v="1"/>
  </r>
  <r>
    <x v="0"/>
    <s v="Egypt"/>
    <x v="32"/>
    <x v="158"/>
    <x v="158"/>
    <d v="2025-06-22T00:00:00"/>
    <m/>
    <s v="Day Off"/>
    <m/>
    <m/>
    <n v="0"/>
    <x v="1"/>
  </r>
  <r>
    <x v="0"/>
    <s v="Egypt"/>
    <x v="32"/>
    <x v="158"/>
    <x v="158"/>
    <d v="2025-06-23T00:00:00"/>
    <m/>
    <s v="Day Off"/>
    <m/>
    <m/>
    <n v="0"/>
    <x v="1"/>
  </r>
  <r>
    <x v="0"/>
    <s v="Egypt"/>
    <x v="32"/>
    <x v="158"/>
    <x v="158"/>
    <d v="2025-06-24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4:15:00"/>
    <d v="1899-12-30T14:30:00"/>
    <n v="0"/>
    <x v="1"/>
  </r>
  <r>
    <x v="0"/>
    <s v="Egypt"/>
    <x v="32"/>
    <x v="158"/>
    <x v="158"/>
    <m/>
    <m/>
    <s v="Break 30 Morning"/>
    <d v="1899-12-30T17:15:00"/>
    <d v="1899-12-30T17:45:00"/>
    <n v="0"/>
    <x v="1"/>
  </r>
  <r>
    <x v="0"/>
    <s v="Egypt"/>
    <x v="32"/>
    <x v="158"/>
    <x v="158"/>
    <d v="2025-06-25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4:15:00"/>
    <d v="1899-12-30T14:30:00"/>
    <n v="0"/>
    <x v="1"/>
  </r>
  <r>
    <x v="0"/>
    <s v="Egypt"/>
    <x v="32"/>
    <x v="158"/>
    <x v="158"/>
    <m/>
    <m/>
    <s v="Break 30 Morning"/>
    <d v="1899-12-30T16:45:00"/>
    <d v="1899-12-30T17:15:00"/>
    <n v="0"/>
    <x v="1"/>
  </r>
  <r>
    <x v="0"/>
    <s v="Egypt"/>
    <x v="32"/>
    <x v="158"/>
    <x v="158"/>
    <d v="2025-06-26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3:45:00"/>
    <d v="1899-12-30T14:00:00"/>
    <n v="0"/>
    <x v="1"/>
  </r>
  <r>
    <x v="0"/>
    <s v="Egypt"/>
    <x v="32"/>
    <x v="158"/>
    <x v="158"/>
    <m/>
    <m/>
    <s v="Break 30 Morning"/>
    <d v="1899-12-30T17:30:00"/>
    <d v="1899-12-30T18:00:00"/>
    <n v="0"/>
    <x v="1"/>
  </r>
  <r>
    <x v="0"/>
    <s v="Egypt"/>
    <x v="32"/>
    <x v="158"/>
    <x v="158"/>
    <d v="2025-06-27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4:15:00"/>
    <d v="1899-12-30T14:30:00"/>
    <n v="0"/>
    <x v="1"/>
  </r>
  <r>
    <x v="0"/>
    <s v="Egypt"/>
    <x v="32"/>
    <x v="158"/>
    <x v="158"/>
    <m/>
    <m/>
    <s v="Break 30 Morning"/>
    <d v="1899-12-30T17:45:00"/>
    <d v="1899-12-30T18:15:00"/>
    <n v="0"/>
    <x v="1"/>
  </r>
  <r>
    <x v="0"/>
    <s v="Egypt"/>
    <x v="32"/>
    <x v="158"/>
    <x v="158"/>
    <d v="2025-06-28T00:00:00"/>
    <d v="1899-12-30T08:15:00"/>
    <s v="Annual Exception"/>
    <m/>
    <m/>
    <n v="29700"/>
    <x v="1"/>
  </r>
  <r>
    <x v="0"/>
    <s v="Egypt"/>
    <x v="32"/>
    <x v="158"/>
    <x v="158"/>
    <d v="2025-06-29T00:00:00"/>
    <m/>
    <s v="Day Off"/>
    <m/>
    <m/>
    <n v="0"/>
    <x v="1"/>
  </r>
  <r>
    <x v="0"/>
    <s v="Egypt"/>
    <x v="32"/>
    <x v="158"/>
    <x v="158"/>
    <d v="2025-06-30T00:00:00"/>
    <d v="1899-12-30T08:15:00"/>
    <s v="Non Telecom Assyot"/>
    <d v="1899-12-30T11:00:00"/>
    <d v="1899-12-30T19:15:00"/>
    <n v="29700"/>
    <x v="0"/>
  </r>
  <r>
    <x v="0"/>
    <s v="Egypt"/>
    <x v="32"/>
    <x v="158"/>
    <x v="158"/>
    <m/>
    <m/>
    <s v="Break 15 Morning"/>
    <d v="1899-12-30T14:00:00"/>
    <d v="1899-12-30T14:15:00"/>
    <n v="0"/>
    <x v="1"/>
  </r>
  <r>
    <x v="0"/>
    <s v="Egypt"/>
    <x v="32"/>
    <x v="158"/>
    <x v="158"/>
    <m/>
    <m/>
    <s v="Break 30 Morning"/>
    <d v="1899-12-30T17:15:00"/>
    <d v="1899-12-30T17:45:00"/>
    <n v="0"/>
    <x v="1"/>
  </r>
  <r>
    <x v="0"/>
    <s v="Egypt"/>
    <x v="32"/>
    <x v="159"/>
    <x v="159"/>
    <d v="2025-06-05T00:00:00"/>
    <d v="1899-12-30T08:15:00"/>
    <s v="Public holiday"/>
    <m/>
    <m/>
    <n v="29700"/>
    <x v="1"/>
  </r>
  <r>
    <x v="0"/>
    <s v="Egypt"/>
    <x v="32"/>
    <x v="159"/>
    <x v="159"/>
    <d v="2025-06-06T00:00:00"/>
    <m/>
    <s v="Day Off"/>
    <m/>
    <m/>
    <n v="0"/>
    <x v="1"/>
  </r>
  <r>
    <x v="0"/>
    <s v="Egypt"/>
    <x v="32"/>
    <x v="159"/>
    <x v="159"/>
    <d v="2025-06-07T00:00:00"/>
    <m/>
    <s v="Day Off"/>
    <m/>
    <m/>
    <n v="0"/>
    <x v="1"/>
  </r>
  <r>
    <x v="0"/>
    <s v="Egypt"/>
    <x v="32"/>
    <x v="159"/>
    <x v="159"/>
    <d v="2025-06-08T00:00:00"/>
    <d v="1899-12-30T08:15:00"/>
    <s v="Public holiday"/>
    <m/>
    <m/>
    <n v="29700"/>
    <x v="1"/>
  </r>
  <r>
    <x v="0"/>
    <s v="Egypt"/>
    <x v="32"/>
    <x v="159"/>
    <x v="159"/>
    <d v="2025-06-09T00:00:00"/>
    <m/>
    <s v="Day Off"/>
    <m/>
    <m/>
    <n v="0"/>
    <x v="1"/>
  </r>
  <r>
    <x v="0"/>
    <s v="Egypt"/>
    <x v="32"/>
    <x v="159"/>
    <x v="159"/>
    <d v="2025-06-10T00:00:00"/>
    <m/>
    <s v="Day Off"/>
    <m/>
    <m/>
    <n v="0"/>
    <x v="1"/>
  </r>
  <r>
    <x v="0"/>
    <s v="Egypt"/>
    <x v="32"/>
    <x v="159"/>
    <x v="159"/>
    <d v="2025-06-11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One to One"/>
    <d v="1899-12-30T13:30:00"/>
    <d v="1899-12-30T13:45:00"/>
    <n v="0"/>
    <x v="1"/>
  </r>
  <r>
    <x v="0"/>
    <s v="Egypt"/>
    <x v="32"/>
    <x v="159"/>
    <x v="159"/>
    <m/>
    <m/>
    <s v="Break 30 Morning"/>
    <d v="1899-12-30T15:45:00"/>
    <d v="1899-12-30T16:15:00"/>
    <n v="0"/>
    <x v="1"/>
  </r>
  <r>
    <x v="0"/>
    <s v="Egypt"/>
    <x v="32"/>
    <x v="159"/>
    <x v="159"/>
    <d v="2025-06-12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One to One"/>
    <d v="1899-12-30T13:30:00"/>
    <d v="1899-12-30T13:45:00"/>
    <n v="0"/>
    <x v="1"/>
  </r>
  <r>
    <x v="0"/>
    <s v="Egypt"/>
    <x v="32"/>
    <x v="159"/>
    <x v="159"/>
    <m/>
    <m/>
    <s v="Break 30 Morning"/>
    <d v="1899-12-30T15:15:00"/>
    <d v="1899-12-30T15:45:00"/>
    <n v="0"/>
    <x v="1"/>
  </r>
  <r>
    <x v="0"/>
    <s v="Egypt"/>
    <x v="32"/>
    <x v="159"/>
    <x v="159"/>
    <d v="2025-06-13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One to One"/>
    <d v="1899-12-30T13:00:00"/>
    <d v="1899-12-30T13:15:00"/>
    <n v="0"/>
    <x v="1"/>
  </r>
  <r>
    <x v="0"/>
    <s v="Egypt"/>
    <x v="32"/>
    <x v="159"/>
    <x v="159"/>
    <m/>
    <m/>
    <s v="Break 30 Morning"/>
    <d v="1899-12-30T15:00:00"/>
    <d v="1899-12-30T15:30:00"/>
    <n v="0"/>
    <x v="1"/>
  </r>
  <r>
    <x v="0"/>
    <s v="Egypt"/>
    <x v="32"/>
    <x v="159"/>
    <x v="159"/>
    <d v="2025-06-14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30:00"/>
    <d v="1899-12-30T12:45:00"/>
    <n v="0"/>
    <x v="1"/>
  </r>
  <r>
    <x v="0"/>
    <s v="Egypt"/>
    <x v="32"/>
    <x v="159"/>
    <x v="159"/>
    <m/>
    <m/>
    <s v="One to One"/>
    <d v="1899-12-30T13:45:00"/>
    <d v="1899-12-30T14:00:00"/>
    <n v="0"/>
    <x v="1"/>
  </r>
  <r>
    <x v="0"/>
    <s v="Egypt"/>
    <x v="32"/>
    <x v="159"/>
    <x v="159"/>
    <m/>
    <m/>
    <s v="Break 30 Morning"/>
    <d v="1899-12-30T15:15:00"/>
    <d v="1899-12-30T15:45:00"/>
    <n v="0"/>
    <x v="1"/>
  </r>
  <r>
    <x v="0"/>
    <s v="Egypt"/>
    <x v="32"/>
    <x v="159"/>
    <x v="159"/>
    <d v="2025-06-15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Break 30 Morning"/>
    <d v="1899-12-30T15:45:00"/>
    <d v="1899-12-30T16:15:00"/>
    <n v="0"/>
    <x v="1"/>
  </r>
  <r>
    <x v="0"/>
    <s v="Egypt"/>
    <x v="32"/>
    <x v="159"/>
    <x v="159"/>
    <d v="2025-06-16T00:00:00"/>
    <m/>
    <s v="Day Off"/>
    <m/>
    <m/>
    <n v="0"/>
    <x v="1"/>
  </r>
  <r>
    <x v="0"/>
    <s v="Egypt"/>
    <x v="32"/>
    <x v="159"/>
    <x v="159"/>
    <d v="2025-06-17T00:00:00"/>
    <m/>
    <s v="Day Off"/>
    <m/>
    <m/>
    <n v="0"/>
    <x v="1"/>
  </r>
  <r>
    <x v="0"/>
    <s v="Egypt"/>
    <x v="32"/>
    <x v="159"/>
    <x v="159"/>
    <d v="2025-06-18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Break 30 Morning"/>
    <d v="1899-12-30T15:15:00"/>
    <d v="1899-12-30T15:45:00"/>
    <n v="0"/>
    <x v="1"/>
  </r>
  <r>
    <x v="0"/>
    <s v="Egypt"/>
    <x v="32"/>
    <x v="159"/>
    <x v="159"/>
    <d v="2025-06-19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Break 30 Morning"/>
    <d v="1899-12-30T15:15:00"/>
    <d v="1899-12-30T15:45:00"/>
    <n v="0"/>
    <x v="1"/>
  </r>
  <r>
    <x v="0"/>
    <s v="Egypt"/>
    <x v="32"/>
    <x v="159"/>
    <x v="159"/>
    <d v="2025-06-20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Break 30 Morning"/>
    <d v="1899-12-30T14:45:00"/>
    <d v="1899-12-30T15:15:00"/>
    <n v="0"/>
    <x v="1"/>
  </r>
  <r>
    <x v="0"/>
    <s v="Egypt"/>
    <x v="32"/>
    <x v="159"/>
    <x v="159"/>
    <d v="2025-06-21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30:00"/>
    <d v="1899-12-30T12:45:00"/>
    <n v="0"/>
    <x v="1"/>
  </r>
  <r>
    <x v="0"/>
    <s v="Egypt"/>
    <x v="32"/>
    <x v="159"/>
    <x v="159"/>
    <m/>
    <m/>
    <s v="Break 30 Morning"/>
    <d v="1899-12-30T15:15:00"/>
    <d v="1899-12-30T15:45:00"/>
    <n v="0"/>
    <x v="1"/>
  </r>
  <r>
    <x v="0"/>
    <s v="Egypt"/>
    <x v="32"/>
    <x v="159"/>
    <x v="159"/>
    <d v="2025-06-22T00:00:00"/>
    <m/>
    <s v="Day Off"/>
    <m/>
    <m/>
    <n v="0"/>
    <x v="1"/>
  </r>
  <r>
    <x v="0"/>
    <s v="Egypt"/>
    <x v="32"/>
    <x v="159"/>
    <x v="159"/>
    <d v="2025-06-23T00:00:00"/>
    <m/>
    <s v="Day Off"/>
    <m/>
    <m/>
    <n v="0"/>
    <x v="1"/>
  </r>
  <r>
    <x v="0"/>
    <s v="Egypt"/>
    <x v="32"/>
    <x v="159"/>
    <x v="159"/>
    <d v="2025-06-24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2:15:00"/>
    <d v="1899-12-30T12:30:00"/>
    <n v="0"/>
    <x v="1"/>
  </r>
  <r>
    <x v="0"/>
    <s v="Egypt"/>
    <x v="32"/>
    <x v="159"/>
    <x v="159"/>
    <m/>
    <m/>
    <s v="Break 30 Morning"/>
    <d v="1899-12-30T14:45:00"/>
    <d v="1899-12-30T15:15:00"/>
    <n v="0"/>
    <x v="1"/>
  </r>
  <r>
    <x v="0"/>
    <s v="Egypt"/>
    <x v="32"/>
    <x v="159"/>
    <x v="159"/>
    <d v="2025-06-25T00:00:00"/>
    <d v="1899-12-30T08:15:00"/>
    <s v="Non Telecom Assyot"/>
    <d v="1899-12-30T09:00:00"/>
    <d v="1899-12-30T17:15:00"/>
    <n v="29700"/>
    <x v="0"/>
  </r>
  <r>
    <x v="0"/>
    <s v="Egypt"/>
    <x v="32"/>
    <x v="159"/>
    <x v="159"/>
    <m/>
    <m/>
    <s v="Break 15 Morning"/>
    <d v="1899-12-30T11:30:00"/>
    <d v="1899-12-30T11:45:00"/>
    <n v="0"/>
    <x v="1"/>
  </r>
  <r>
    <x v="0"/>
    <s v="Egypt"/>
    <x v="32"/>
    <x v="159"/>
    <x v="159"/>
    <m/>
    <m/>
    <s v="Break 30 Morning"/>
    <d v="1899-12-30T14:15:00"/>
    <d v="1899-12-30T14:45:00"/>
    <n v="0"/>
    <x v="1"/>
  </r>
  <r>
    <x v="0"/>
    <s v="Egypt"/>
    <x v="32"/>
    <x v="159"/>
    <x v="159"/>
    <d v="2025-06-26T00:00:00"/>
    <d v="1899-12-30T08:15:00"/>
    <s v="Non Telecom Assyot"/>
    <d v="1899-12-30T11:00:00"/>
    <d v="1899-12-30T19:15:00"/>
    <n v="29700"/>
    <x v="0"/>
  </r>
  <r>
    <x v="0"/>
    <s v="Egypt"/>
    <x v="32"/>
    <x v="159"/>
    <x v="159"/>
    <m/>
    <m/>
    <s v="Break 15 Morning"/>
    <d v="1899-12-30T13:45:00"/>
    <d v="1899-12-30T14:00:00"/>
    <n v="0"/>
    <x v="1"/>
  </r>
  <r>
    <x v="0"/>
    <s v="Egypt"/>
    <x v="32"/>
    <x v="159"/>
    <x v="159"/>
    <m/>
    <m/>
    <s v="Break 30 Morning"/>
    <d v="1899-12-30T17:30:00"/>
    <d v="1899-12-30T18:00:00"/>
    <n v="0"/>
    <x v="1"/>
  </r>
  <r>
    <x v="0"/>
    <s v="Egypt"/>
    <x v="32"/>
    <x v="159"/>
    <x v="159"/>
    <d v="2025-06-27T00:00:00"/>
    <d v="1899-12-30T08:15:00"/>
    <s v="Non Telecom Assyot"/>
    <d v="1899-12-30T11:00:00"/>
    <d v="1899-12-30T19:15:00"/>
    <n v="29700"/>
    <x v="0"/>
  </r>
  <r>
    <x v="0"/>
    <s v="Egypt"/>
    <x v="32"/>
    <x v="159"/>
    <x v="159"/>
    <m/>
    <m/>
    <s v="Break 15 Morning"/>
    <d v="1899-12-30T14:30:00"/>
    <d v="1899-12-30T14:45:00"/>
    <n v="0"/>
    <x v="1"/>
  </r>
  <r>
    <x v="0"/>
    <s v="Egypt"/>
    <x v="32"/>
    <x v="159"/>
    <x v="159"/>
    <m/>
    <m/>
    <s v="Break 30 Morning"/>
    <d v="1899-12-30T17:45:00"/>
    <d v="1899-12-30T18:15:00"/>
    <n v="0"/>
    <x v="1"/>
  </r>
  <r>
    <x v="0"/>
    <s v="Egypt"/>
    <x v="32"/>
    <x v="159"/>
    <x v="159"/>
    <d v="2025-06-28T00:00:00"/>
    <d v="1899-12-30T08:15:00"/>
    <s v="Annual Exception"/>
    <m/>
    <m/>
    <n v="29700"/>
    <x v="1"/>
  </r>
  <r>
    <x v="0"/>
    <s v="Egypt"/>
    <x v="32"/>
    <x v="159"/>
    <x v="159"/>
    <d v="2025-06-29T00:00:00"/>
    <m/>
    <s v="Day Off"/>
    <m/>
    <m/>
    <n v="0"/>
    <x v="1"/>
  </r>
  <r>
    <x v="0"/>
    <s v="Egypt"/>
    <x v="32"/>
    <x v="159"/>
    <x v="159"/>
    <d v="2025-06-30T00:00:00"/>
    <d v="1899-12-30T08:15:00"/>
    <s v="Non Telecom Assyot"/>
    <d v="1899-12-30T11:00:00"/>
    <d v="1899-12-30T19:15:00"/>
    <n v="29700"/>
    <x v="0"/>
  </r>
  <r>
    <x v="0"/>
    <s v="Egypt"/>
    <x v="32"/>
    <x v="159"/>
    <x v="159"/>
    <m/>
    <m/>
    <s v="Break 15 Morning"/>
    <d v="1899-12-30T14:15:00"/>
    <d v="1899-12-30T14:30:00"/>
    <n v="0"/>
    <x v="1"/>
  </r>
  <r>
    <x v="0"/>
    <s v="Egypt"/>
    <x v="32"/>
    <x v="159"/>
    <x v="159"/>
    <m/>
    <m/>
    <s v="Break 30 Morning"/>
    <d v="1899-12-30T17:15:00"/>
    <d v="1899-12-30T17:45:00"/>
    <n v="0"/>
    <x v="1"/>
  </r>
  <r>
    <x v="0"/>
    <s v="Egypt"/>
    <x v="32"/>
    <x v="160"/>
    <x v="160"/>
    <d v="2025-06-01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8:00:00"/>
    <d v="1899-12-30T18:30:00"/>
    <n v="0"/>
    <x v="1"/>
  </r>
  <r>
    <x v="0"/>
    <s v="Egypt"/>
    <x v="32"/>
    <x v="160"/>
    <x v="160"/>
    <d v="2025-06-02T00:00:00"/>
    <m/>
    <s v="Day Off"/>
    <m/>
    <m/>
    <n v="0"/>
    <x v="1"/>
  </r>
  <r>
    <x v="0"/>
    <s v="Egypt"/>
    <x v="32"/>
    <x v="160"/>
    <x v="160"/>
    <d v="2025-06-03T00:00:00"/>
    <d v="1899-12-30T11:15:00"/>
    <s v="Non Telecom Assyot"/>
    <d v="1899-12-30T11:00:00"/>
    <d v="1899-12-30T22:15:00"/>
    <n v="40500"/>
    <x v="0"/>
  </r>
  <r>
    <x v="0"/>
    <s v="Egypt"/>
    <x v="32"/>
    <x v="160"/>
    <x v="160"/>
    <m/>
    <m/>
    <s v="Break 15 Morning"/>
    <d v="1899-12-30T13:30:00"/>
    <d v="1899-12-30T13:45:00"/>
    <n v="0"/>
    <x v="1"/>
  </r>
  <r>
    <x v="0"/>
    <s v="Egypt"/>
    <x v="32"/>
    <x v="160"/>
    <x v="160"/>
    <m/>
    <m/>
    <s v="Break 30 Morning"/>
    <d v="1899-12-30T16:00:00"/>
    <d v="1899-12-30T16:30:00"/>
    <n v="0"/>
    <x v="1"/>
  </r>
  <r>
    <x v="0"/>
    <s v="Egypt"/>
    <x v="32"/>
    <x v="160"/>
    <x v="160"/>
    <m/>
    <m/>
    <s v="Shift Move"/>
    <d v="1899-12-30T19:15:00"/>
    <d v="1899-12-30T22:15:00"/>
    <n v="0"/>
    <x v="1"/>
  </r>
  <r>
    <x v="0"/>
    <s v="Egypt"/>
    <x v="32"/>
    <x v="160"/>
    <x v="160"/>
    <d v="2025-06-04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15:00"/>
    <d v="1899-12-30T12:30:00"/>
    <n v="0"/>
    <x v="1"/>
  </r>
  <r>
    <x v="0"/>
    <s v="Egypt"/>
    <x v="32"/>
    <x v="160"/>
    <x v="160"/>
    <m/>
    <m/>
    <s v="Break 30 Morning"/>
    <d v="1899-12-30T15:15:00"/>
    <d v="1899-12-30T15:45:00"/>
    <n v="0"/>
    <x v="1"/>
  </r>
  <r>
    <x v="0"/>
    <s v="Egypt"/>
    <x v="32"/>
    <x v="160"/>
    <x v="160"/>
    <d v="2025-06-05T00:00:00"/>
    <m/>
    <s v="Day Off"/>
    <m/>
    <m/>
    <n v="0"/>
    <x v="1"/>
  </r>
  <r>
    <x v="0"/>
    <s v="Egypt"/>
    <x v="32"/>
    <x v="160"/>
    <x v="160"/>
    <d v="2025-06-06T00:00:00"/>
    <m/>
    <s v="Day Off"/>
    <m/>
    <m/>
    <n v="0"/>
    <x v="1"/>
  </r>
  <r>
    <x v="0"/>
    <s v="Egypt"/>
    <x v="32"/>
    <x v="160"/>
    <x v="160"/>
    <d v="2025-06-07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6:15:00"/>
    <d v="1899-12-30T16:45:00"/>
    <n v="0"/>
    <x v="1"/>
  </r>
  <r>
    <x v="0"/>
    <s v="Egypt"/>
    <x v="32"/>
    <x v="160"/>
    <x v="160"/>
    <d v="2025-06-08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3:30:00"/>
    <d v="1899-12-30T13:45:00"/>
    <n v="0"/>
    <x v="1"/>
  </r>
  <r>
    <x v="0"/>
    <s v="Egypt"/>
    <x v="32"/>
    <x v="160"/>
    <x v="160"/>
    <m/>
    <m/>
    <s v="Break 30 Morning"/>
    <d v="1899-12-30T16:45:00"/>
    <d v="1899-12-30T17:15:00"/>
    <n v="0"/>
    <x v="1"/>
  </r>
  <r>
    <x v="0"/>
    <s v="Egypt"/>
    <x v="32"/>
    <x v="160"/>
    <x v="160"/>
    <d v="2025-06-09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2:45:00"/>
    <d v="1899-12-30T13:00:00"/>
    <n v="0"/>
    <x v="1"/>
  </r>
  <r>
    <x v="0"/>
    <s v="Egypt"/>
    <x v="32"/>
    <x v="160"/>
    <x v="160"/>
    <m/>
    <m/>
    <s v="Break 30 Morning"/>
    <d v="1899-12-30T15:45:00"/>
    <d v="1899-12-30T16:15:00"/>
    <n v="0"/>
    <x v="1"/>
  </r>
  <r>
    <x v="0"/>
    <s v="Egypt"/>
    <x v="32"/>
    <x v="160"/>
    <x v="160"/>
    <d v="2025-06-10T00:00:00"/>
    <m/>
    <s v="Day Off"/>
    <m/>
    <m/>
    <n v="0"/>
    <x v="1"/>
  </r>
  <r>
    <x v="0"/>
    <s v="Egypt"/>
    <x v="32"/>
    <x v="160"/>
    <x v="160"/>
    <d v="2025-06-11T00:00:00"/>
    <m/>
    <s v="Day Off"/>
    <m/>
    <m/>
    <n v="0"/>
    <x v="1"/>
  </r>
  <r>
    <x v="0"/>
    <s v="Egypt"/>
    <x v="32"/>
    <x v="160"/>
    <x v="160"/>
    <d v="2025-06-12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45:00"/>
    <d v="1899-12-30T15:00:00"/>
    <n v="0"/>
    <x v="1"/>
  </r>
  <r>
    <x v="0"/>
    <s v="Egypt"/>
    <x v="32"/>
    <x v="160"/>
    <x v="160"/>
    <m/>
    <m/>
    <s v="Break 30 Morning"/>
    <d v="1899-12-30T17:15:00"/>
    <d v="1899-12-30T17:45:00"/>
    <n v="0"/>
    <x v="1"/>
  </r>
  <r>
    <x v="0"/>
    <s v="Egypt"/>
    <x v="32"/>
    <x v="160"/>
    <x v="160"/>
    <d v="2025-06-13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7:45:00"/>
    <d v="1899-12-30T18:15:00"/>
    <n v="0"/>
    <x v="1"/>
  </r>
  <r>
    <x v="0"/>
    <s v="Egypt"/>
    <x v="32"/>
    <x v="160"/>
    <x v="160"/>
    <d v="2025-06-14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7:45:00"/>
    <d v="1899-12-30T18:15:00"/>
    <n v="0"/>
    <x v="1"/>
  </r>
  <r>
    <x v="0"/>
    <s v="Egypt"/>
    <x v="32"/>
    <x v="160"/>
    <x v="160"/>
    <d v="2025-06-15T00:00:00"/>
    <m/>
    <s v="Day Off"/>
    <m/>
    <m/>
    <n v="0"/>
    <x v="1"/>
  </r>
  <r>
    <x v="0"/>
    <s v="Egypt"/>
    <x v="32"/>
    <x v="160"/>
    <x v="160"/>
    <d v="2025-06-16T00:00:00"/>
    <m/>
    <s v="Day Off"/>
    <m/>
    <m/>
    <n v="0"/>
    <x v="1"/>
  </r>
  <r>
    <x v="0"/>
    <s v="Egypt"/>
    <x v="32"/>
    <x v="160"/>
    <x v="160"/>
    <d v="2025-06-17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5:45:00"/>
    <d v="1899-12-30T16:15:00"/>
    <n v="0"/>
    <x v="1"/>
  </r>
  <r>
    <x v="0"/>
    <s v="Egypt"/>
    <x v="32"/>
    <x v="160"/>
    <x v="160"/>
    <d v="2025-06-18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5:45:00"/>
    <d v="1899-12-30T16:15:00"/>
    <n v="0"/>
    <x v="1"/>
  </r>
  <r>
    <x v="0"/>
    <s v="Egypt"/>
    <x v="32"/>
    <x v="160"/>
    <x v="160"/>
    <d v="2025-06-19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5:45:00"/>
    <d v="1899-12-30T16:15:00"/>
    <n v="0"/>
    <x v="1"/>
  </r>
  <r>
    <x v="0"/>
    <s v="Egypt"/>
    <x v="32"/>
    <x v="160"/>
    <x v="160"/>
    <d v="2025-06-20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5:15:00"/>
    <d v="1899-12-30T15:45:00"/>
    <n v="0"/>
    <x v="1"/>
  </r>
  <r>
    <x v="0"/>
    <s v="Egypt"/>
    <x v="32"/>
    <x v="160"/>
    <x v="160"/>
    <d v="2025-06-21T00:00:00"/>
    <m/>
    <s v="Day Off"/>
    <m/>
    <m/>
    <n v="0"/>
    <x v="1"/>
  </r>
  <r>
    <x v="0"/>
    <s v="Egypt"/>
    <x v="32"/>
    <x v="160"/>
    <x v="160"/>
    <d v="2025-06-22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15:00"/>
    <d v="1899-12-30T14:30:00"/>
    <n v="0"/>
    <x v="1"/>
  </r>
  <r>
    <x v="0"/>
    <s v="Egypt"/>
    <x v="32"/>
    <x v="160"/>
    <x v="160"/>
    <m/>
    <m/>
    <s v="Break 30 Morning"/>
    <d v="1899-12-30T16:45:00"/>
    <d v="1899-12-30T17:15:00"/>
    <n v="0"/>
    <x v="1"/>
  </r>
  <r>
    <x v="0"/>
    <s v="Egypt"/>
    <x v="32"/>
    <x v="160"/>
    <x v="160"/>
    <d v="2025-06-23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15:00"/>
    <d v="1899-12-30T14:30:00"/>
    <n v="0"/>
    <x v="1"/>
  </r>
  <r>
    <x v="0"/>
    <s v="Egypt"/>
    <x v="32"/>
    <x v="160"/>
    <x v="160"/>
    <m/>
    <m/>
    <s v="Break 30 Morning"/>
    <d v="1899-12-30T16:45:00"/>
    <d v="1899-12-30T17:15:00"/>
    <n v="0"/>
    <x v="1"/>
  </r>
  <r>
    <x v="0"/>
    <s v="Egypt"/>
    <x v="32"/>
    <x v="160"/>
    <x v="160"/>
    <d v="2025-06-24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7:45:00"/>
    <d v="1899-12-30T18:15:00"/>
    <n v="0"/>
    <x v="1"/>
  </r>
  <r>
    <x v="0"/>
    <s v="Egypt"/>
    <x v="32"/>
    <x v="160"/>
    <x v="160"/>
    <d v="2025-06-25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7:15:00"/>
    <d v="1899-12-30T17:45:00"/>
    <n v="0"/>
    <x v="1"/>
  </r>
  <r>
    <x v="0"/>
    <s v="Egypt"/>
    <x v="32"/>
    <x v="160"/>
    <x v="160"/>
    <d v="2025-06-26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00:00"/>
    <d v="1899-12-30T14:15:00"/>
    <n v="0"/>
    <x v="1"/>
  </r>
  <r>
    <x v="0"/>
    <s v="Egypt"/>
    <x v="32"/>
    <x v="160"/>
    <x v="160"/>
    <m/>
    <m/>
    <s v="Break 30 Morning"/>
    <d v="1899-12-30T18:00:00"/>
    <d v="1899-12-30T18:30:00"/>
    <n v="0"/>
    <x v="1"/>
  </r>
  <r>
    <x v="0"/>
    <s v="Egypt"/>
    <x v="32"/>
    <x v="160"/>
    <x v="160"/>
    <d v="2025-06-27T00:00:00"/>
    <m/>
    <s v="Day Off"/>
    <m/>
    <m/>
    <n v="0"/>
    <x v="1"/>
  </r>
  <r>
    <x v="0"/>
    <s v="Egypt"/>
    <x v="32"/>
    <x v="160"/>
    <x v="160"/>
    <d v="2025-06-28T00:00:00"/>
    <d v="1899-12-30T08:15:00"/>
    <s v="Non Telecom Assyot"/>
    <d v="1899-12-30T11:00:00"/>
    <d v="1899-12-30T19:15:00"/>
    <n v="29700"/>
    <x v="0"/>
  </r>
  <r>
    <x v="0"/>
    <s v="Egypt"/>
    <x v="32"/>
    <x v="160"/>
    <x v="160"/>
    <m/>
    <m/>
    <s v="Break 15 Morning"/>
    <d v="1899-12-30T14:30:00"/>
    <d v="1899-12-30T14:45:00"/>
    <n v="0"/>
    <x v="1"/>
  </r>
  <r>
    <x v="0"/>
    <s v="Egypt"/>
    <x v="32"/>
    <x v="160"/>
    <x v="160"/>
    <m/>
    <m/>
    <s v="Break 30 Morning"/>
    <d v="1899-12-30T18:00:00"/>
    <d v="1899-12-30T18:30:00"/>
    <n v="0"/>
    <x v="1"/>
  </r>
  <r>
    <x v="0"/>
    <s v="Egypt"/>
    <x v="32"/>
    <x v="160"/>
    <x v="160"/>
    <d v="2025-06-29T00:00:00"/>
    <d v="1899-12-30T08:15:00"/>
    <s v="Non Telecom Assyot"/>
    <d v="1899-12-30T09:00:00"/>
    <d v="1899-12-30T17:15:00"/>
    <n v="29700"/>
    <x v="0"/>
  </r>
  <r>
    <x v="0"/>
    <s v="Egypt"/>
    <x v="32"/>
    <x v="160"/>
    <x v="160"/>
    <m/>
    <m/>
    <s v="Break 15 Morning"/>
    <d v="1899-12-30T12:30:00"/>
    <d v="1899-12-30T12:45:00"/>
    <n v="0"/>
    <x v="1"/>
  </r>
  <r>
    <x v="0"/>
    <s v="Egypt"/>
    <x v="32"/>
    <x v="160"/>
    <x v="160"/>
    <m/>
    <m/>
    <s v="Break 30 Morning"/>
    <d v="1899-12-30T15:45:00"/>
    <d v="1899-12-30T16:15:00"/>
    <n v="0"/>
    <x v="1"/>
  </r>
  <r>
    <x v="0"/>
    <s v="Egypt"/>
    <x v="32"/>
    <x v="160"/>
    <x v="160"/>
    <d v="2025-06-30T00:00:00"/>
    <d v="1899-12-30T08:15:00"/>
    <s v="Annual Exception"/>
    <m/>
    <m/>
    <n v="29700"/>
    <x v="1"/>
  </r>
  <r>
    <x v="0"/>
    <s v="Egypt"/>
    <x v="33"/>
    <x v="161"/>
    <x v="161"/>
    <d v="2025-06-01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8:30:00"/>
    <d v="1899-12-30T18:45:00"/>
    <n v="0"/>
    <x v="1"/>
  </r>
  <r>
    <x v="0"/>
    <s v="Egypt"/>
    <x v="33"/>
    <x v="161"/>
    <x v="161"/>
    <m/>
    <m/>
    <s v="Break 30 Night"/>
    <d v="1899-12-30T21:45:00"/>
    <d v="1899-12-30T22:15:00"/>
    <n v="0"/>
    <x v="1"/>
  </r>
  <r>
    <x v="0"/>
    <s v="Egypt"/>
    <x v="33"/>
    <x v="161"/>
    <x v="161"/>
    <d v="2025-06-02T00:00:00"/>
    <m/>
    <s v="Day Off"/>
    <m/>
    <m/>
    <n v="0"/>
    <x v="1"/>
  </r>
  <r>
    <x v="0"/>
    <s v="Egypt"/>
    <x v="33"/>
    <x v="161"/>
    <x v="161"/>
    <d v="2025-06-03T00:00:00"/>
    <m/>
    <s v="Day Off"/>
    <m/>
    <m/>
    <n v="0"/>
    <x v="1"/>
  </r>
  <r>
    <x v="0"/>
    <s v="Egypt"/>
    <x v="33"/>
    <x v="161"/>
    <x v="161"/>
    <d v="2025-06-04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30:00"/>
    <d v="1899-12-30T15:45:00"/>
    <n v="0"/>
    <x v="1"/>
  </r>
  <r>
    <x v="0"/>
    <s v="Egypt"/>
    <x v="33"/>
    <x v="161"/>
    <x v="161"/>
    <m/>
    <m/>
    <s v="Break 30 Morning"/>
    <d v="1899-12-30T18:45:00"/>
    <d v="1899-12-30T19:15:00"/>
    <n v="0"/>
    <x v="1"/>
  </r>
  <r>
    <x v="0"/>
    <s v="Egypt"/>
    <x v="33"/>
    <x v="161"/>
    <x v="161"/>
    <d v="2025-06-05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45:00"/>
    <d v="1899-12-30T16:00:00"/>
    <n v="0"/>
    <x v="1"/>
  </r>
  <r>
    <x v="0"/>
    <s v="Egypt"/>
    <x v="33"/>
    <x v="161"/>
    <x v="161"/>
    <m/>
    <m/>
    <s v="Break 30 Morning"/>
    <d v="1899-12-30T19:15:00"/>
    <d v="1899-12-30T19:45:00"/>
    <n v="0"/>
    <x v="1"/>
  </r>
  <r>
    <x v="0"/>
    <s v="Egypt"/>
    <x v="33"/>
    <x v="161"/>
    <x v="161"/>
    <d v="2025-06-06T00:00:00"/>
    <d v="1899-12-30T08:15:00"/>
    <s v="Public holiday"/>
    <m/>
    <m/>
    <n v="29700"/>
    <x v="1"/>
  </r>
  <r>
    <x v="0"/>
    <s v="Egypt"/>
    <x v="33"/>
    <x v="161"/>
    <x v="161"/>
    <d v="2025-06-07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30:00"/>
    <d v="1899-12-30T15:45:00"/>
    <n v="0"/>
    <x v="1"/>
  </r>
  <r>
    <x v="0"/>
    <s v="Egypt"/>
    <x v="33"/>
    <x v="161"/>
    <x v="161"/>
    <m/>
    <m/>
    <s v="Break 30 Morning"/>
    <d v="1899-12-30T18:30:00"/>
    <d v="1899-12-30T19:00:00"/>
    <n v="0"/>
    <x v="1"/>
  </r>
  <r>
    <x v="0"/>
    <s v="Egypt"/>
    <x v="33"/>
    <x v="161"/>
    <x v="161"/>
    <d v="2025-06-08T00:00:00"/>
    <m/>
    <s v="Day Off"/>
    <m/>
    <m/>
    <n v="0"/>
    <x v="1"/>
  </r>
  <r>
    <x v="0"/>
    <s v="Egypt"/>
    <x v="33"/>
    <x v="161"/>
    <x v="161"/>
    <d v="2025-06-09T00:00:00"/>
    <m/>
    <s v="Day Off"/>
    <m/>
    <m/>
    <n v="0"/>
    <x v="1"/>
  </r>
  <r>
    <x v="0"/>
    <s v="Egypt"/>
    <x v="33"/>
    <x v="161"/>
    <x v="161"/>
    <d v="2025-06-10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00:00"/>
    <d v="1899-12-30T19:15:00"/>
    <n v="0"/>
    <x v="1"/>
  </r>
  <r>
    <x v="0"/>
    <s v="Egypt"/>
    <x v="33"/>
    <x v="161"/>
    <x v="161"/>
    <m/>
    <m/>
    <s v="Break 30 Night"/>
    <d v="1899-12-30T22:00:00"/>
    <d v="1899-12-30T22:30:00"/>
    <n v="0"/>
    <x v="1"/>
  </r>
  <r>
    <x v="0"/>
    <s v="Egypt"/>
    <x v="33"/>
    <x v="161"/>
    <x v="161"/>
    <d v="2025-06-11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30:00"/>
    <d v="1899-12-30T19:45:00"/>
    <n v="0"/>
    <x v="1"/>
  </r>
  <r>
    <x v="0"/>
    <s v="Egypt"/>
    <x v="33"/>
    <x v="161"/>
    <x v="161"/>
    <m/>
    <m/>
    <s v="Break 30 Night"/>
    <d v="1899-12-30T22:30:00"/>
    <d v="1899-12-30T23:00:00"/>
    <n v="0"/>
    <x v="1"/>
  </r>
  <r>
    <x v="0"/>
    <s v="Egypt"/>
    <x v="33"/>
    <x v="161"/>
    <x v="161"/>
    <d v="2025-06-12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45:00"/>
    <d v="1899-12-30T20:00:00"/>
    <n v="0"/>
    <x v="1"/>
  </r>
  <r>
    <x v="0"/>
    <s v="Egypt"/>
    <x v="33"/>
    <x v="161"/>
    <x v="161"/>
    <m/>
    <m/>
    <s v="Break 30 Night"/>
    <d v="1899-12-30T22:30:00"/>
    <d v="1899-12-30T23:00:00"/>
    <n v="0"/>
    <x v="1"/>
  </r>
  <r>
    <x v="0"/>
    <s v="Egypt"/>
    <x v="33"/>
    <x v="161"/>
    <x v="161"/>
    <d v="2025-06-13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00:00"/>
    <d v="1899-12-30T19:15:00"/>
    <n v="0"/>
    <x v="1"/>
  </r>
  <r>
    <x v="0"/>
    <s v="Egypt"/>
    <x v="33"/>
    <x v="161"/>
    <x v="161"/>
    <m/>
    <m/>
    <s v="Break 30 Night"/>
    <d v="1899-12-30T22:00:00"/>
    <d v="1899-12-30T22:30:00"/>
    <n v="0"/>
    <x v="1"/>
  </r>
  <r>
    <x v="0"/>
    <s v="Egypt"/>
    <x v="33"/>
    <x v="161"/>
    <x v="161"/>
    <d v="2025-06-14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00:00"/>
    <d v="1899-12-30T19:15:00"/>
    <n v="0"/>
    <x v="1"/>
  </r>
  <r>
    <x v="0"/>
    <s v="Egypt"/>
    <x v="33"/>
    <x v="161"/>
    <x v="161"/>
    <m/>
    <m/>
    <s v="Break 30 Night"/>
    <d v="1899-12-30T22:00:00"/>
    <d v="1899-12-30T22:30:00"/>
    <n v="0"/>
    <x v="1"/>
  </r>
  <r>
    <x v="0"/>
    <s v="Egypt"/>
    <x v="33"/>
    <x v="161"/>
    <x v="161"/>
    <d v="2025-06-15T00:00:00"/>
    <m/>
    <s v="Day Off"/>
    <m/>
    <m/>
    <n v="0"/>
    <x v="1"/>
  </r>
  <r>
    <x v="0"/>
    <s v="Egypt"/>
    <x v="33"/>
    <x v="161"/>
    <x v="161"/>
    <d v="2025-06-16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45:00"/>
    <d v="1899-12-30T16:00:00"/>
    <n v="0"/>
    <x v="1"/>
  </r>
  <r>
    <x v="0"/>
    <s v="Egypt"/>
    <x v="33"/>
    <x v="161"/>
    <x v="161"/>
    <m/>
    <m/>
    <s v="Break 30 Morning"/>
    <d v="1899-12-30T19:00:00"/>
    <d v="1899-12-30T19:30:00"/>
    <n v="0"/>
    <x v="1"/>
  </r>
  <r>
    <x v="0"/>
    <s v="Egypt"/>
    <x v="33"/>
    <x v="161"/>
    <x v="161"/>
    <d v="2025-06-17T00:00:00"/>
    <d v="1899-12-30T08:15:00"/>
    <s v="Annual Exception"/>
    <m/>
    <m/>
    <n v="29700"/>
    <x v="1"/>
  </r>
  <r>
    <x v="0"/>
    <s v="Egypt"/>
    <x v="33"/>
    <x v="161"/>
    <x v="161"/>
    <d v="2025-06-18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45:00"/>
    <d v="1899-12-30T16:00:00"/>
    <n v="0"/>
    <x v="1"/>
  </r>
  <r>
    <x v="0"/>
    <s v="Egypt"/>
    <x v="33"/>
    <x v="161"/>
    <x v="161"/>
    <m/>
    <m/>
    <s v="Break 30 Morning"/>
    <d v="1899-12-30T18:45:00"/>
    <d v="1899-12-30T19:15:00"/>
    <n v="0"/>
    <x v="1"/>
  </r>
  <r>
    <x v="0"/>
    <s v="Egypt"/>
    <x v="33"/>
    <x v="161"/>
    <x v="161"/>
    <d v="2025-06-19T00:00:00"/>
    <d v="1899-12-30T08:15:00"/>
    <s v="Annual Exception"/>
    <m/>
    <m/>
    <n v="29700"/>
    <x v="1"/>
  </r>
  <r>
    <x v="0"/>
    <s v="Egypt"/>
    <x v="33"/>
    <x v="161"/>
    <x v="161"/>
    <d v="2025-06-20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30:00"/>
    <d v="1899-12-30T15:45:00"/>
    <n v="0"/>
    <x v="1"/>
  </r>
  <r>
    <x v="0"/>
    <s v="Egypt"/>
    <x v="33"/>
    <x v="161"/>
    <x v="161"/>
    <m/>
    <m/>
    <s v="Break 30 Morning"/>
    <d v="1899-12-30T18:15:00"/>
    <d v="1899-12-30T18:45:00"/>
    <n v="0"/>
    <x v="1"/>
  </r>
  <r>
    <x v="0"/>
    <s v="Egypt"/>
    <x v="33"/>
    <x v="161"/>
    <x v="161"/>
    <d v="2025-06-21T00:00:00"/>
    <m/>
    <s v="Day Off"/>
    <m/>
    <m/>
    <n v="0"/>
    <x v="1"/>
  </r>
  <r>
    <x v="0"/>
    <s v="Egypt"/>
    <x v="33"/>
    <x v="161"/>
    <x v="161"/>
    <d v="2025-06-22T00:00:00"/>
    <m/>
    <s v="Day Off"/>
    <m/>
    <m/>
    <n v="0"/>
    <x v="1"/>
  </r>
  <r>
    <x v="0"/>
    <s v="Egypt"/>
    <x v="33"/>
    <x v="161"/>
    <x v="161"/>
    <d v="2025-06-23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20:00:00"/>
    <d v="1899-12-30T20:15:00"/>
    <n v="0"/>
    <x v="1"/>
  </r>
  <r>
    <x v="0"/>
    <s v="Egypt"/>
    <x v="33"/>
    <x v="161"/>
    <x v="161"/>
    <m/>
    <m/>
    <s v="Break 30 Night"/>
    <d v="1899-12-30T22:30:00"/>
    <d v="1899-12-30T23:00:00"/>
    <n v="0"/>
    <x v="1"/>
  </r>
  <r>
    <x v="0"/>
    <s v="Egypt"/>
    <x v="33"/>
    <x v="161"/>
    <x v="161"/>
    <d v="2025-06-24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20:00:00"/>
    <d v="1899-12-30T20:15:00"/>
    <n v="0"/>
    <x v="1"/>
  </r>
  <r>
    <x v="0"/>
    <s v="Egypt"/>
    <x v="33"/>
    <x v="161"/>
    <x v="161"/>
    <m/>
    <m/>
    <s v="Break 30 Night"/>
    <d v="1899-12-30T22:15:00"/>
    <d v="1899-12-30T22:45:00"/>
    <n v="0"/>
    <x v="1"/>
  </r>
  <r>
    <x v="0"/>
    <s v="Egypt"/>
    <x v="33"/>
    <x v="161"/>
    <x v="161"/>
    <d v="2025-06-25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45:00"/>
    <d v="1899-12-30T20:00:00"/>
    <n v="0"/>
    <x v="1"/>
  </r>
  <r>
    <x v="0"/>
    <s v="Egypt"/>
    <x v="33"/>
    <x v="161"/>
    <x v="161"/>
    <m/>
    <m/>
    <s v="Break 30 Night"/>
    <d v="1899-12-30T22:30:00"/>
    <d v="1899-12-30T23:00:00"/>
    <n v="0"/>
    <x v="1"/>
  </r>
  <r>
    <x v="0"/>
    <s v="Egypt"/>
    <x v="33"/>
    <x v="161"/>
    <x v="161"/>
    <d v="2025-06-26T00:00:00"/>
    <d v="1899-12-30T08:15:00"/>
    <s v="Non Telecom Assyot"/>
    <d v="1899-12-30T17:15:00"/>
    <s v="+1:30 AM"/>
    <n v="29700"/>
    <x v="0"/>
  </r>
  <r>
    <x v="0"/>
    <s v="Egypt"/>
    <x v="33"/>
    <x v="161"/>
    <x v="161"/>
    <m/>
    <m/>
    <s v="Break 15 Night"/>
    <d v="1899-12-30T19:15:00"/>
    <d v="1899-12-30T19:30:00"/>
    <n v="0"/>
    <x v="1"/>
  </r>
  <r>
    <x v="0"/>
    <s v="Egypt"/>
    <x v="33"/>
    <x v="161"/>
    <x v="161"/>
    <m/>
    <m/>
    <s v="Break 30 Night"/>
    <d v="1899-12-30T22:30:00"/>
    <d v="1899-12-30T23:00:00"/>
    <n v="0"/>
    <x v="1"/>
  </r>
  <r>
    <x v="0"/>
    <s v="Egypt"/>
    <x v="33"/>
    <x v="161"/>
    <x v="161"/>
    <d v="2025-06-27T00:00:00"/>
    <d v="1899-12-30T08:15:00"/>
    <s v="No show"/>
    <d v="1899-12-30T17:15:00"/>
    <s v="+1:30 AM"/>
    <n v="29700"/>
    <x v="1"/>
  </r>
  <r>
    <x v="0"/>
    <s v="Egypt"/>
    <x v="33"/>
    <x v="161"/>
    <x v="161"/>
    <d v="2025-06-28T00:00:00"/>
    <m/>
    <s v="Day Off"/>
    <m/>
    <m/>
    <n v="0"/>
    <x v="1"/>
  </r>
  <r>
    <x v="0"/>
    <s v="Egypt"/>
    <x v="33"/>
    <x v="161"/>
    <x v="161"/>
    <d v="2025-06-29T00:00:00"/>
    <d v="1899-12-30T08:15:00"/>
    <s v="Non Telecom Assyot"/>
    <d v="1899-12-30T14:00:00"/>
    <d v="1899-12-30T22:15:00"/>
    <n v="29700"/>
    <x v="0"/>
  </r>
  <r>
    <x v="0"/>
    <s v="Egypt"/>
    <x v="33"/>
    <x v="161"/>
    <x v="161"/>
    <m/>
    <m/>
    <s v="Break 15 Morning"/>
    <d v="1899-12-30T15:30:00"/>
    <d v="1899-12-30T15:45:00"/>
    <n v="0"/>
    <x v="1"/>
  </r>
  <r>
    <x v="0"/>
    <s v="Egypt"/>
    <x v="33"/>
    <x v="161"/>
    <x v="161"/>
    <m/>
    <m/>
    <s v="Break 30 Morning"/>
    <d v="1899-12-30T19:00:00"/>
    <d v="1899-12-30T19:30:00"/>
    <n v="0"/>
    <x v="1"/>
  </r>
  <r>
    <x v="0"/>
    <s v="Egypt"/>
    <x v="33"/>
    <x v="161"/>
    <x v="161"/>
    <d v="2025-06-30T00:00:00"/>
    <d v="1899-12-30T08:00:00"/>
    <s v="Non Reserved Annual"/>
    <d v="1899-12-30T09:15:00"/>
    <d v="1899-12-30T17:15:00"/>
    <n v="28800"/>
    <x v="1"/>
  </r>
  <r>
    <x v="0"/>
    <s v="Egypt"/>
    <x v="33"/>
    <x v="161"/>
    <x v="161"/>
    <m/>
    <m/>
    <s v="Non Reserved Annual"/>
    <d v="1899-12-30T09:15:00"/>
    <d v="1899-12-30T17:15:00"/>
    <n v="0"/>
    <x v="1"/>
  </r>
  <r>
    <x v="0"/>
    <s v="Egypt"/>
    <x v="33"/>
    <x v="162"/>
    <x v="162"/>
    <d v="2025-06-01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19:00:00"/>
    <d v="1899-12-30T19:15:00"/>
    <n v="0"/>
    <x v="1"/>
  </r>
  <r>
    <x v="0"/>
    <s v="Egypt"/>
    <x v="33"/>
    <x v="162"/>
    <x v="162"/>
    <m/>
    <m/>
    <s v="Break 30 Night"/>
    <d v="1899-12-30T22:15:00"/>
    <d v="1899-12-30T22:45:00"/>
    <n v="0"/>
    <x v="1"/>
  </r>
  <r>
    <x v="0"/>
    <s v="Egypt"/>
    <x v="33"/>
    <x v="162"/>
    <x v="162"/>
    <d v="2025-06-02T00:00:00"/>
    <m/>
    <s v="Day Off"/>
    <m/>
    <m/>
    <n v="0"/>
    <x v="1"/>
  </r>
  <r>
    <x v="0"/>
    <s v="Egypt"/>
    <x v="33"/>
    <x v="162"/>
    <x v="162"/>
    <d v="2025-06-03T00:00:00"/>
    <m/>
    <s v="Day Off"/>
    <m/>
    <m/>
    <n v="0"/>
    <x v="1"/>
  </r>
  <r>
    <x v="0"/>
    <s v="Egypt"/>
    <x v="33"/>
    <x v="162"/>
    <x v="162"/>
    <d v="2025-06-04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45:00"/>
    <d v="1899-12-30T16:00:00"/>
    <n v="0"/>
    <x v="1"/>
  </r>
  <r>
    <x v="0"/>
    <s v="Egypt"/>
    <x v="33"/>
    <x v="162"/>
    <x v="162"/>
    <m/>
    <m/>
    <s v="Break 30 Morning"/>
    <d v="1899-12-30T19:15:00"/>
    <d v="1899-12-30T19:45:00"/>
    <n v="0"/>
    <x v="1"/>
  </r>
  <r>
    <x v="0"/>
    <s v="Egypt"/>
    <x v="33"/>
    <x v="162"/>
    <x v="162"/>
    <d v="2025-06-05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6:00:00"/>
    <d v="1899-12-30T16:15:00"/>
    <n v="0"/>
    <x v="1"/>
  </r>
  <r>
    <x v="0"/>
    <s v="Egypt"/>
    <x v="33"/>
    <x v="162"/>
    <x v="162"/>
    <m/>
    <m/>
    <s v="Break 30 Morning"/>
    <d v="1899-12-30T19:15:00"/>
    <d v="1899-12-30T19:45:00"/>
    <n v="0"/>
    <x v="1"/>
  </r>
  <r>
    <x v="0"/>
    <s v="Egypt"/>
    <x v="33"/>
    <x v="162"/>
    <x v="162"/>
    <d v="2025-06-06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15:00"/>
    <d v="1899-12-30T15:30:00"/>
    <n v="0"/>
    <x v="1"/>
  </r>
  <r>
    <x v="0"/>
    <s v="Egypt"/>
    <x v="33"/>
    <x v="162"/>
    <x v="162"/>
    <m/>
    <m/>
    <s v="Break 30 Morning"/>
    <d v="1899-12-30T18:15:00"/>
    <d v="1899-12-30T18:45:00"/>
    <n v="0"/>
    <x v="1"/>
  </r>
  <r>
    <x v="0"/>
    <s v="Egypt"/>
    <x v="33"/>
    <x v="162"/>
    <x v="162"/>
    <d v="2025-06-07T00:00:00"/>
    <d v="1899-12-30T08:15:00"/>
    <s v="Public holiday"/>
    <m/>
    <m/>
    <n v="29700"/>
    <x v="1"/>
  </r>
  <r>
    <x v="0"/>
    <s v="Egypt"/>
    <x v="33"/>
    <x v="162"/>
    <x v="162"/>
    <d v="2025-06-08T00:00:00"/>
    <m/>
    <s v="Day Off"/>
    <m/>
    <m/>
    <n v="0"/>
    <x v="1"/>
  </r>
  <r>
    <x v="0"/>
    <s v="Egypt"/>
    <x v="33"/>
    <x v="162"/>
    <x v="162"/>
    <d v="2025-06-09T00:00:00"/>
    <m/>
    <s v="Day Off"/>
    <m/>
    <m/>
    <n v="0"/>
    <x v="1"/>
  </r>
  <r>
    <x v="0"/>
    <s v="Egypt"/>
    <x v="33"/>
    <x v="162"/>
    <x v="162"/>
    <d v="2025-06-10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19:30:00"/>
    <d v="1899-12-30T19:45:00"/>
    <n v="0"/>
    <x v="1"/>
  </r>
  <r>
    <x v="0"/>
    <s v="Egypt"/>
    <x v="33"/>
    <x v="162"/>
    <x v="162"/>
    <m/>
    <m/>
    <s v="Break 30 Night"/>
    <d v="1899-12-30T22:30:00"/>
    <d v="1899-12-30T23:00:00"/>
    <n v="0"/>
    <x v="1"/>
  </r>
  <r>
    <x v="0"/>
    <s v="Egypt"/>
    <x v="33"/>
    <x v="162"/>
    <x v="162"/>
    <d v="2025-06-11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19:45:00"/>
    <d v="1899-12-30T20:00:00"/>
    <n v="0"/>
    <x v="1"/>
  </r>
  <r>
    <x v="0"/>
    <s v="Egypt"/>
    <x v="33"/>
    <x v="162"/>
    <x v="162"/>
    <m/>
    <m/>
    <s v="Break 30 Night"/>
    <d v="1899-12-30T22:30:00"/>
    <d v="1899-12-30T23:00:00"/>
    <n v="0"/>
    <x v="1"/>
  </r>
  <r>
    <x v="0"/>
    <s v="Egypt"/>
    <x v="33"/>
    <x v="162"/>
    <x v="162"/>
    <d v="2025-06-12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20:00:00"/>
    <d v="1899-12-30T20:15:00"/>
    <n v="0"/>
    <x v="1"/>
  </r>
  <r>
    <x v="0"/>
    <s v="Egypt"/>
    <x v="33"/>
    <x v="162"/>
    <x v="162"/>
    <m/>
    <m/>
    <s v="Break 30 Night"/>
    <d v="1899-12-30T23:00:00"/>
    <d v="1899-12-30T23:30:00"/>
    <n v="0"/>
    <x v="1"/>
  </r>
  <r>
    <x v="0"/>
    <s v="Egypt"/>
    <x v="33"/>
    <x v="162"/>
    <x v="162"/>
    <d v="2025-06-13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6:00:00"/>
    <d v="1899-12-30T16:15:00"/>
    <n v="0"/>
    <x v="1"/>
  </r>
  <r>
    <x v="0"/>
    <s v="Egypt"/>
    <x v="33"/>
    <x v="162"/>
    <x v="162"/>
    <m/>
    <m/>
    <s v="Break 30 Morning"/>
    <d v="1899-12-30T19:00:00"/>
    <d v="1899-12-30T19:30:00"/>
    <n v="0"/>
    <x v="1"/>
  </r>
  <r>
    <x v="0"/>
    <s v="Egypt"/>
    <x v="33"/>
    <x v="162"/>
    <x v="162"/>
    <d v="2025-06-14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15:00"/>
    <d v="1899-12-30T15:30:00"/>
    <n v="0"/>
    <x v="1"/>
  </r>
  <r>
    <x v="0"/>
    <s v="Egypt"/>
    <x v="33"/>
    <x v="162"/>
    <x v="162"/>
    <m/>
    <m/>
    <s v="Break 30 Morning"/>
    <d v="1899-12-30T18:15:00"/>
    <d v="1899-12-30T18:45:00"/>
    <n v="0"/>
    <x v="1"/>
  </r>
  <r>
    <x v="0"/>
    <s v="Egypt"/>
    <x v="33"/>
    <x v="162"/>
    <x v="162"/>
    <d v="2025-06-15T00:00:00"/>
    <m/>
    <s v="Day Off"/>
    <m/>
    <m/>
    <n v="0"/>
    <x v="1"/>
  </r>
  <r>
    <x v="0"/>
    <s v="Egypt"/>
    <x v="33"/>
    <x v="162"/>
    <x v="162"/>
    <d v="2025-06-16T00:00:00"/>
    <m/>
    <s v="Day Off"/>
    <m/>
    <m/>
    <n v="0"/>
    <x v="1"/>
  </r>
  <r>
    <x v="0"/>
    <s v="Egypt"/>
    <x v="33"/>
    <x v="162"/>
    <x v="162"/>
    <d v="2025-06-17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30:00"/>
    <d v="1899-12-30T15:45:00"/>
    <n v="0"/>
    <x v="1"/>
  </r>
  <r>
    <x v="0"/>
    <s v="Egypt"/>
    <x v="33"/>
    <x v="162"/>
    <x v="162"/>
    <m/>
    <m/>
    <s v="Break 30 Morning"/>
    <d v="1899-12-30T19:00:00"/>
    <d v="1899-12-30T19:30:00"/>
    <n v="0"/>
    <x v="1"/>
  </r>
  <r>
    <x v="0"/>
    <s v="Egypt"/>
    <x v="33"/>
    <x v="162"/>
    <x v="162"/>
    <d v="2025-06-18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19:30:00"/>
    <d v="1899-12-30T19:45:00"/>
    <n v="0"/>
    <x v="1"/>
  </r>
  <r>
    <x v="0"/>
    <s v="Egypt"/>
    <x v="33"/>
    <x v="162"/>
    <x v="162"/>
    <m/>
    <m/>
    <s v="Break 30 Night"/>
    <d v="1899-12-30T22:15:00"/>
    <d v="1899-12-30T22:45:00"/>
    <n v="0"/>
    <x v="1"/>
  </r>
  <r>
    <x v="0"/>
    <s v="Egypt"/>
    <x v="33"/>
    <x v="162"/>
    <x v="162"/>
    <d v="2025-06-19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6:00:00"/>
    <d v="1899-12-30T16:15:00"/>
    <n v="0"/>
    <x v="1"/>
  </r>
  <r>
    <x v="0"/>
    <s v="Egypt"/>
    <x v="33"/>
    <x v="162"/>
    <x v="162"/>
    <m/>
    <m/>
    <s v="Break 30 Morning"/>
    <d v="1899-12-30T18:45:00"/>
    <d v="1899-12-30T19:15:00"/>
    <n v="0"/>
    <x v="1"/>
  </r>
  <r>
    <x v="0"/>
    <s v="Egypt"/>
    <x v="33"/>
    <x v="162"/>
    <x v="162"/>
    <d v="2025-06-20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45:00"/>
    <d v="1899-12-30T16:00:00"/>
    <n v="0"/>
    <x v="1"/>
  </r>
  <r>
    <x v="0"/>
    <s v="Egypt"/>
    <x v="33"/>
    <x v="162"/>
    <x v="162"/>
    <m/>
    <m/>
    <s v="Break 30 Morning"/>
    <d v="1899-12-30T18:45:00"/>
    <d v="1899-12-30T19:15:00"/>
    <n v="0"/>
    <x v="1"/>
  </r>
  <r>
    <x v="0"/>
    <s v="Egypt"/>
    <x v="33"/>
    <x v="162"/>
    <x v="162"/>
    <d v="2025-06-21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19:30:00"/>
    <d v="1899-12-30T19:45:00"/>
    <n v="0"/>
    <x v="1"/>
  </r>
  <r>
    <x v="0"/>
    <s v="Egypt"/>
    <x v="33"/>
    <x v="162"/>
    <x v="162"/>
    <m/>
    <m/>
    <s v="Break 30 Night"/>
    <d v="1899-12-30T22:30:00"/>
    <d v="1899-12-30T23:00:00"/>
    <n v="0"/>
    <x v="1"/>
  </r>
  <r>
    <x v="0"/>
    <s v="Egypt"/>
    <x v="33"/>
    <x v="162"/>
    <x v="162"/>
    <d v="2025-06-22T00:00:00"/>
    <m/>
    <s v="Day Off"/>
    <m/>
    <m/>
    <n v="0"/>
    <x v="1"/>
  </r>
  <r>
    <x v="0"/>
    <s v="Egypt"/>
    <x v="33"/>
    <x v="162"/>
    <x v="162"/>
    <d v="2025-06-23T00:00:00"/>
    <m/>
    <s v="Day Off"/>
    <m/>
    <m/>
    <n v="0"/>
    <x v="1"/>
  </r>
  <r>
    <x v="0"/>
    <s v="Egypt"/>
    <x v="33"/>
    <x v="162"/>
    <x v="162"/>
    <d v="2025-06-24T00:00:00"/>
    <d v="1899-12-30T08:15:00"/>
    <s v="Non Telecom Assyot"/>
    <d v="1899-12-30T17:15:00"/>
    <s v="+1:30 AM"/>
    <n v="29700"/>
    <x v="0"/>
  </r>
  <r>
    <x v="0"/>
    <s v="Egypt"/>
    <x v="33"/>
    <x v="162"/>
    <x v="162"/>
    <m/>
    <m/>
    <s v="Break 15 Night"/>
    <d v="1899-12-30T20:15:00"/>
    <d v="1899-12-30T20:30:00"/>
    <n v="0"/>
    <x v="1"/>
  </r>
  <r>
    <x v="0"/>
    <s v="Egypt"/>
    <x v="33"/>
    <x v="162"/>
    <x v="162"/>
    <m/>
    <m/>
    <s v="Break 30 Night"/>
    <d v="1899-12-30T22:15:00"/>
    <d v="1899-12-30T22:45:00"/>
    <n v="0"/>
    <x v="1"/>
  </r>
  <r>
    <x v="0"/>
    <s v="Egypt"/>
    <x v="33"/>
    <x v="162"/>
    <x v="162"/>
    <d v="2025-06-25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6:30:00"/>
    <d v="1899-12-30T16:45:00"/>
    <n v="0"/>
    <x v="1"/>
  </r>
  <r>
    <x v="0"/>
    <s v="Egypt"/>
    <x v="33"/>
    <x v="162"/>
    <x v="162"/>
    <m/>
    <m/>
    <s v="Break 30 Morning"/>
    <d v="1899-12-30T19:00:00"/>
    <d v="1899-12-30T19:30:00"/>
    <n v="0"/>
    <x v="1"/>
  </r>
  <r>
    <x v="0"/>
    <s v="Egypt"/>
    <x v="33"/>
    <x v="162"/>
    <x v="162"/>
    <d v="2025-06-26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15:00"/>
    <d v="1899-12-30T15:30:00"/>
    <n v="0"/>
    <x v="1"/>
  </r>
  <r>
    <x v="0"/>
    <s v="Egypt"/>
    <x v="33"/>
    <x v="162"/>
    <x v="162"/>
    <m/>
    <m/>
    <s v="Break 30 Morning"/>
    <d v="1899-12-30T19:00:00"/>
    <d v="1899-12-30T19:30:00"/>
    <n v="0"/>
    <x v="1"/>
  </r>
  <r>
    <x v="0"/>
    <s v="Egypt"/>
    <x v="33"/>
    <x v="162"/>
    <x v="162"/>
    <d v="2025-06-27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45:00"/>
    <d v="1899-12-30T16:00:00"/>
    <n v="0"/>
    <x v="1"/>
  </r>
  <r>
    <x v="0"/>
    <s v="Egypt"/>
    <x v="33"/>
    <x v="162"/>
    <x v="162"/>
    <m/>
    <m/>
    <s v="Break 30 Morning"/>
    <d v="1899-12-30T19:15:00"/>
    <d v="1899-12-30T19:45:00"/>
    <n v="0"/>
    <x v="1"/>
  </r>
  <r>
    <x v="0"/>
    <s v="Egypt"/>
    <x v="33"/>
    <x v="162"/>
    <x v="162"/>
    <d v="2025-06-28T00:00:00"/>
    <d v="1899-12-30T08:15:00"/>
    <s v="Non Telecom Assyot"/>
    <d v="1899-12-30T14:00:00"/>
    <d v="1899-12-30T22:15:00"/>
    <n v="29700"/>
    <x v="0"/>
  </r>
  <r>
    <x v="0"/>
    <s v="Egypt"/>
    <x v="33"/>
    <x v="162"/>
    <x v="162"/>
    <m/>
    <m/>
    <s v="Break 15 Morning"/>
    <d v="1899-12-30T15:45:00"/>
    <d v="1899-12-30T16:00:00"/>
    <n v="0"/>
    <x v="1"/>
  </r>
  <r>
    <x v="0"/>
    <s v="Egypt"/>
    <x v="33"/>
    <x v="162"/>
    <x v="162"/>
    <m/>
    <m/>
    <s v="Break 30 Morning"/>
    <d v="1899-12-30T19:30:00"/>
    <d v="1899-12-30T20:00:00"/>
    <n v="0"/>
    <x v="1"/>
  </r>
  <r>
    <x v="0"/>
    <s v="Egypt"/>
    <x v="33"/>
    <x v="162"/>
    <x v="162"/>
    <d v="2025-06-29T00:00:00"/>
    <m/>
    <s v="Day Off"/>
    <m/>
    <m/>
    <n v="0"/>
    <x v="1"/>
  </r>
  <r>
    <x v="0"/>
    <s v="Egypt"/>
    <x v="33"/>
    <x v="162"/>
    <x v="162"/>
    <d v="2025-06-30T00:00:00"/>
    <m/>
    <s v="Day Off"/>
    <m/>
    <m/>
    <n v="0"/>
    <x v="1"/>
  </r>
  <r>
    <x v="0"/>
    <s v="Egypt"/>
    <x v="33"/>
    <x v="163"/>
    <x v="163"/>
    <d v="2025-06-01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19:45:00"/>
    <d v="1899-12-30T20:00:00"/>
    <n v="0"/>
    <x v="1"/>
  </r>
  <r>
    <x v="0"/>
    <s v="Egypt"/>
    <x v="33"/>
    <x v="163"/>
    <x v="163"/>
    <m/>
    <m/>
    <s v="Break 30 Night"/>
    <d v="1899-12-30T23:15:00"/>
    <d v="1899-12-30T23:45:00"/>
    <n v="0"/>
    <x v="1"/>
  </r>
  <r>
    <x v="0"/>
    <s v="Egypt"/>
    <x v="33"/>
    <x v="163"/>
    <x v="163"/>
    <d v="2025-06-02T00:00:00"/>
    <m/>
    <s v="Day Off"/>
    <m/>
    <m/>
    <n v="0"/>
    <x v="1"/>
  </r>
  <r>
    <x v="0"/>
    <s v="Egypt"/>
    <x v="33"/>
    <x v="163"/>
    <x v="163"/>
    <d v="2025-06-03T00:00:00"/>
    <m/>
    <s v="Day Off"/>
    <m/>
    <m/>
    <n v="0"/>
    <x v="1"/>
  </r>
  <r>
    <x v="0"/>
    <s v="Egypt"/>
    <x v="33"/>
    <x v="163"/>
    <x v="163"/>
    <d v="2025-06-04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00:00"/>
    <d v="1899-12-30T16:15:00"/>
    <n v="0"/>
    <x v="1"/>
  </r>
  <r>
    <x v="0"/>
    <s v="Egypt"/>
    <x v="33"/>
    <x v="163"/>
    <x v="163"/>
    <m/>
    <m/>
    <s v="Break 30 Morning"/>
    <d v="1899-12-30T19:30:00"/>
    <d v="1899-12-30T20:00:00"/>
    <n v="0"/>
    <x v="1"/>
  </r>
  <r>
    <x v="0"/>
    <s v="Egypt"/>
    <x v="33"/>
    <x v="163"/>
    <x v="163"/>
    <d v="2025-06-05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15:00"/>
    <d v="1899-12-30T16:30:00"/>
    <n v="0"/>
    <x v="1"/>
  </r>
  <r>
    <x v="0"/>
    <s v="Egypt"/>
    <x v="33"/>
    <x v="163"/>
    <x v="163"/>
    <m/>
    <m/>
    <s v="Break 30 Morning"/>
    <d v="1899-12-30T19:15:00"/>
    <d v="1899-12-30T19:45:00"/>
    <n v="0"/>
    <x v="1"/>
  </r>
  <r>
    <x v="0"/>
    <s v="Egypt"/>
    <x v="33"/>
    <x v="163"/>
    <x v="163"/>
    <d v="2025-06-06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5:45:00"/>
    <d v="1899-12-30T16:00:00"/>
    <n v="0"/>
    <x v="1"/>
  </r>
  <r>
    <x v="0"/>
    <s v="Egypt"/>
    <x v="33"/>
    <x v="163"/>
    <x v="163"/>
    <m/>
    <m/>
    <s v="Break 30 Morning"/>
    <d v="1899-12-30T19:00:00"/>
    <d v="1899-12-30T19:30:00"/>
    <n v="0"/>
    <x v="1"/>
  </r>
  <r>
    <x v="0"/>
    <s v="Egypt"/>
    <x v="33"/>
    <x v="163"/>
    <x v="163"/>
    <d v="2025-06-07T00:00:00"/>
    <d v="1899-12-30T08:15:00"/>
    <s v="Public holiday"/>
    <m/>
    <m/>
    <n v="29700"/>
    <x v="1"/>
  </r>
  <r>
    <x v="0"/>
    <s v="Egypt"/>
    <x v="33"/>
    <x v="163"/>
    <x v="163"/>
    <d v="2025-06-08T00:00:00"/>
    <m/>
    <s v="Day Off"/>
    <m/>
    <m/>
    <n v="0"/>
    <x v="1"/>
  </r>
  <r>
    <x v="0"/>
    <s v="Egypt"/>
    <x v="33"/>
    <x v="163"/>
    <x v="163"/>
    <d v="2025-06-09T00:00:00"/>
    <m/>
    <s v="Day Off"/>
    <m/>
    <m/>
    <n v="0"/>
    <x v="1"/>
  </r>
  <r>
    <x v="0"/>
    <s v="Egypt"/>
    <x v="33"/>
    <x v="163"/>
    <x v="163"/>
    <d v="2025-06-10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19:45:00"/>
    <d v="1899-12-30T20:00:00"/>
    <n v="0"/>
    <x v="1"/>
  </r>
  <r>
    <x v="0"/>
    <s v="Egypt"/>
    <x v="33"/>
    <x v="163"/>
    <x v="163"/>
    <m/>
    <m/>
    <s v="Break 30 Night"/>
    <d v="1899-12-30T23:00:00"/>
    <d v="1899-12-30T23:30:00"/>
    <n v="0"/>
    <x v="1"/>
  </r>
  <r>
    <x v="0"/>
    <s v="Egypt"/>
    <x v="33"/>
    <x v="163"/>
    <x v="163"/>
    <d v="2025-06-11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00:00"/>
    <d v="1899-12-30T20:15:00"/>
    <n v="0"/>
    <x v="1"/>
  </r>
  <r>
    <x v="0"/>
    <s v="Egypt"/>
    <x v="33"/>
    <x v="163"/>
    <x v="163"/>
    <m/>
    <m/>
    <s v="Break 30 Night"/>
    <d v="1899-12-30T23:00:00"/>
    <d v="1899-12-30T23:30:00"/>
    <n v="0"/>
    <x v="1"/>
  </r>
  <r>
    <x v="0"/>
    <s v="Egypt"/>
    <x v="33"/>
    <x v="163"/>
    <x v="163"/>
    <d v="2025-06-12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15:00"/>
    <d v="1899-12-30T20:30:00"/>
    <n v="0"/>
    <x v="1"/>
  </r>
  <r>
    <x v="0"/>
    <s v="Egypt"/>
    <x v="33"/>
    <x v="163"/>
    <x v="163"/>
    <m/>
    <m/>
    <s v="Break 30 Night"/>
    <d v="1899-12-30T23:00:00"/>
    <d v="1899-12-30T23:30:00"/>
    <n v="0"/>
    <x v="1"/>
  </r>
  <r>
    <x v="0"/>
    <s v="Egypt"/>
    <x v="33"/>
    <x v="163"/>
    <x v="163"/>
    <d v="2025-06-13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19:30:00"/>
    <d v="1899-12-30T19:45:00"/>
    <n v="0"/>
    <x v="1"/>
  </r>
  <r>
    <x v="0"/>
    <s v="Egypt"/>
    <x v="33"/>
    <x v="163"/>
    <x v="163"/>
    <m/>
    <m/>
    <s v="Break 30 Night"/>
    <d v="1899-12-30T22:30:00"/>
    <d v="1899-12-30T23:00:00"/>
    <n v="0"/>
    <x v="1"/>
  </r>
  <r>
    <x v="0"/>
    <s v="Egypt"/>
    <x v="33"/>
    <x v="163"/>
    <x v="163"/>
    <d v="2025-06-14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19:45:00"/>
    <d v="1899-12-30T20:00:00"/>
    <n v="0"/>
    <x v="1"/>
  </r>
  <r>
    <x v="0"/>
    <s v="Egypt"/>
    <x v="33"/>
    <x v="163"/>
    <x v="163"/>
    <m/>
    <m/>
    <s v="Break 30 Night"/>
    <d v="1899-12-30T22:30:00"/>
    <d v="1899-12-30T23:00:00"/>
    <n v="0"/>
    <x v="1"/>
  </r>
  <r>
    <x v="0"/>
    <s v="Egypt"/>
    <x v="33"/>
    <x v="163"/>
    <x v="163"/>
    <d v="2025-06-15T00:00:00"/>
    <m/>
    <s v="Day Off"/>
    <m/>
    <m/>
    <n v="0"/>
    <x v="1"/>
  </r>
  <r>
    <x v="0"/>
    <s v="Egypt"/>
    <x v="33"/>
    <x v="163"/>
    <x v="163"/>
    <d v="2025-06-16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30:00"/>
    <d v="1899-12-30T16:45:00"/>
    <n v="0"/>
    <x v="1"/>
  </r>
  <r>
    <x v="0"/>
    <s v="Egypt"/>
    <x v="33"/>
    <x v="163"/>
    <x v="163"/>
    <m/>
    <m/>
    <s v="Break 30 Morning"/>
    <d v="1899-12-30T20:00:00"/>
    <d v="1899-12-30T20:30:00"/>
    <n v="0"/>
    <x v="1"/>
  </r>
  <r>
    <x v="0"/>
    <s v="Egypt"/>
    <x v="33"/>
    <x v="163"/>
    <x v="163"/>
    <d v="2025-06-17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00:00"/>
    <d v="1899-12-30T16:15:00"/>
    <n v="0"/>
    <x v="1"/>
  </r>
  <r>
    <x v="0"/>
    <s v="Egypt"/>
    <x v="33"/>
    <x v="163"/>
    <x v="163"/>
    <m/>
    <m/>
    <s v="Break 30 Morning"/>
    <d v="1899-12-30T19:30:00"/>
    <d v="1899-12-30T20:00:00"/>
    <n v="0"/>
    <x v="1"/>
  </r>
  <r>
    <x v="0"/>
    <s v="Egypt"/>
    <x v="33"/>
    <x v="163"/>
    <x v="163"/>
    <d v="2025-06-18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15:00"/>
    <d v="1899-12-30T16:30:00"/>
    <n v="0"/>
    <x v="1"/>
  </r>
  <r>
    <x v="0"/>
    <s v="Egypt"/>
    <x v="33"/>
    <x v="163"/>
    <x v="163"/>
    <m/>
    <m/>
    <s v="Break 30 Morning"/>
    <d v="1899-12-30T19:15:00"/>
    <d v="1899-12-30T19:45:00"/>
    <n v="0"/>
    <x v="1"/>
  </r>
  <r>
    <x v="0"/>
    <s v="Egypt"/>
    <x v="33"/>
    <x v="163"/>
    <x v="163"/>
    <d v="2025-06-19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30:00"/>
    <d v="1899-12-30T16:45:00"/>
    <n v="0"/>
    <x v="1"/>
  </r>
  <r>
    <x v="0"/>
    <s v="Egypt"/>
    <x v="33"/>
    <x v="163"/>
    <x v="163"/>
    <m/>
    <m/>
    <s v="Break 30 Morning"/>
    <d v="1899-12-30T18:45:00"/>
    <d v="1899-12-30T19:15:00"/>
    <n v="0"/>
    <x v="1"/>
  </r>
  <r>
    <x v="0"/>
    <s v="Egypt"/>
    <x v="33"/>
    <x v="163"/>
    <x v="163"/>
    <d v="2025-06-20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15:00"/>
    <d v="1899-12-30T16:30:00"/>
    <n v="0"/>
    <x v="1"/>
  </r>
  <r>
    <x v="0"/>
    <s v="Egypt"/>
    <x v="33"/>
    <x v="163"/>
    <x v="163"/>
    <m/>
    <m/>
    <s v="Break 30 Morning"/>
    <d v="1899-12-30T19:15:00"/>
    <d v="1899-12-30T19:45:00"/>
    <n v="0"/>
    <x v="1"/>
  </r>
  <r>
    <x v="0"/>
    <s v="Egypt"/>
    <x v="33"/>
    <x v="163"/>
    <x v="163"/>
    <d v="2025-06-21T00:00:00"/>
    <m/>
    <s v="Day Off"/>
    <m/>
    <m/>
    <n v="0"/>
    <x v="1"/>
  </r>
  <r>
    <x v="0"/>
    <s v="Egypt"/>
    <x v="33"/>
    <x v="163"/>
    <x v="163"/>
    <d v="2025-06-22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30:00"/>
    <d v="1899-12-30T20:45:00"/>
    <n v="0"/>
    <x v="1"/>
  </r>
  <r>
    <x v="0"/>
    <s v="Egypt"/>
    <x v="33"/>
    <x v="163"/>
    <x v="163"/>
    <m/>
    <m/>
    <s v="Break 30 Night"/>
    <d v="1899-12-30T23:15:00"/>
    <d v="1899-12-30T23:45:00"/>
    <n v="0"/>
    <x v="1"/>
  </r>
  <r>
    <x v="0"/>
    <s v="Egypt"/>
    <x v="33"/>
    <x v="163"/>
    <x v="163"/>
    <d v="2025-06-23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30:00"/>
    <d v="1899-12-30T20:45:00"/>
    <n v="0"/>
    <x v="1"/>
  </r>
  <r>
    <x v="0"/>
    <s v="Egypt"/>
    <x v="33"/>
    <x v="163"/>
    <x v="163"/>
    <m/>
    <m/>
    <s v="Break 30 Night"/>
    <d v="1899-12-30T23:15:00"/>
    <d v="1899-12-30T23:45:00"/>
    <n v="0"/>
    <x v="1"/>
  </r>
  <r>
    <x v="0"/>
    <s v="Egypt"/>
    <x v="33"/>
    <x v="163"/>
    <x v="163"/>
    <d v="2025-06-24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30:00"/>
    <d v="1899-12-30T20:45:00"/>
    <n v="0"/>
    <x v="1"/>
  </r>
  <r>
    <x v="0"/>
    <s v="Egypt"/>
    <x v="33"/>
    <x v="163"/>
    <x v="163"/>
    <m/>
    <m/>
    <s v="Break 30 Night"/>
    <d v="1899-12-30T22:45:00"/>
    <d v="1899-12-30T23:15:00"/>
    <n v="0"/>
    <x v="1"/>
  </r>
  <r>
    <x v="0"/>
    <s v="Egypt"/>
    <x v="33"/>
    <x v="163"/>
    <x v="163"/>
    <d v="2025-06-25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15:00"/>
    <d v="1899-12-30T20:30:00"/>
    <n v="0"/>
    <x v="1"/>
  </r>
  <r>
    <x v="0"/>
    <s v="Egypt"/>
    <x v="33"/>
    <x v="163"/>
    <x v="163"/>
    <m/>
    <m/>
    <s v="Break 30 Night"/>
    <d v="1899-12-30T23:30:00"/>
    <s v="+12:00 AM"/>
    <n v="0"/>
    <x v="1"/>
  </r>
  <r>
    <x v="0"/>
    <s v="Egypt"/>
    <x v="33"/>
    <x v="163"/>
    <x v="163"/>
    <d v="2025-06-26T00:00:00"/>
    <d v="1899-12-30T08:15:00"/>
    <s v="Non Telecom Assyot"/>
    <d v="1899-12-30T17:15:00"/>
    <s v="+1:30 AM"/>
    <n v="29700"/>
    <x v="0"/>
  </r>
  <r>
    <x v="0"/>
    <s v="Egypt"/>
    <x v="33"/>
    <x v="163"/>
    <x v="163"/>
    <m/>
    <m/>
    <s v="Break 15 Night"/>
    <d v="1899-12-30T20:15:00"/>
    <d v="1899-12-30T20:30:00"/>
    <n v="0"/>
    <x v="1"/>
  </r>
  <r>
    <x v="0"/>
    <s v="Egypt"/>
    <x v="33"/>
    <x v="163"/>
    <x v="163"/>
    <m/>
    <m/>
    <s v="Break 30 Night"/>
    <d v="1899-12-30T23:30:00"/>
    <s v="+12:00 AM"/>
    <n v="0"/>
    <x v="1"/>
  </r>
  <r>
    <x v="0"/>
    <s v="Egypt"/>
    <x v="33"/>
    <x v="163"/>
    <x v="163"/>
    <d v="2025-06-27T00:00:00"/>
    <m/>
    <s v="Day Off"/>
    <m/>
    <m/>
    <n v="0"/>
    <x v="1"/>
  </r>
  <r>
    <x v="0"/>
    <s v="Egypt"/>
    <x v="33"/>
    <x v="163"/>
    <x v="163"/>
    <d v="2025-06-28T00:00:00"/>
    <m/>
    <s v="Day Off"/>
    <m/>
    <m/>
    <n v="0"/>
    <x v="1"/>
  </r>
  <r>
    <x v="0"/>
    <s v="Egypt"/>
    <x v="33"/>
    <x v="163"/>
    <x v="163"/>
    <d v="2025-06-29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00:00"/>
    <d v="1899-12-30T16:15:00"/>
    <n v="0"/>
    <x v="1"/>
  </r>
  <r>
    <x v="0"/>
    <s v="Egypt"/>
    <x v="33"/>
    <x v="163"/>
    <x v="163"/>
    <m/>
    <m/>
    <s v="Break 30 Morning"/>
    <d v="1899-12-30T19:30:00"/>
    <d v="1899-12-30T20:00:00"/>
    <n v="0"/>
    <x v="1"/>
  </r>
  <r>
    <x v="0"/>
    <s v="Egypt"/>
    <x v="33"/>
    <x v="163"/>
    <x v="163"/>
    <d v="2025-06-30T00:00:00"/>
    <d v="1899-12-30T08:15:00"/>
    <s v="Non Telecom Assyot"/>
    <d v="1899-12-30T14:00:00"/>
    <d v="1899-12-30T22:15:00"/>
    <n v="29700"/>
    <x v="0"/>
  </r>
  <r>
    <x v="0"/>
    <s v="Egypt"/>
    <x v="33"/>
    <x v="163"/>
    <x v="163"/>
    <m/>
    <m/>
    <s v="Break 15 Morning"/>
    <d v="1899-12-30T16:45:00"/>
    <d v="1899-12-30T17:00:00"/>
    <n v="0"/>
    <x v="1"/>
  </r>
  <r>
    <x v="0"/>
    <s v="Egypt"/>
    <x v="33"/>
    <x v="163"/>
    <x v="163"/>
    <m/>
    <m/>
    <s v="Break 30 Morning"/>
    <d v="1899-12-30T20:00:00"/>
    <d v="1899-12-30T20:30:00"/>
    <n v="0"/>
    <x v="1"/>
  </r>
  <r>
    <x v="0"/>
    <s v="Egypt"/>
    <x v="33"/>
    <x v="164"/>
    <x v="164"/>
    <d v="2025-06-01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15:00"/>
    <d v="1899-12-30T20:30:00"/>
    <n v="0"/>
    <x v="1"/>
  </r>
  <r>
    <x v="0"/>
    <s v="Egypt"/>
    <x v="33"/>
    <x v="164"/>
    <x v="164"/>
    <m/>
    <m/>
    <s v="Break 30 Night"/>
    <d v="1899-12-30T23:45:00"/>
    <s v="+12:15 AM"/>
    <n v="0"/>
    <x v="1"/>
  </r>
  <r>
    <x v="0"/>
    <s v="Egypt"/>
    <x v="33"/>
    <x v="164"/>
    <x v="164"/>
    <d v="2025-06-02T00:00:00"/>
    <m/>
    <s v="Day Off"/>
    <m/>
    <m/>
    <n v="0"/>
    <x v="1"/>
  </r>
  <r>
    <x v="0"/>
    <s v="Egypt"/>
    <x v="33"/>
    <x v="164"/>
    <x v="164"/>
    <d v="2025-06-03T00:00:00"/>
    <m/>
    <s v="Day Off"/>
    <m/>
    <m/>
    <n v="0"/>
    <x v="1"/>
  </r>
  <r>
    <x v="0"/>
    <s v="Egypt"/>
    <x v="33"/>
    <x v="164"/>
    <x v="164"/>
    <d v="2025-06-04T00:00:00"/>
    <d v="1899-12-30T08:15:00"/>
    <s v="No show"/>
    <d v="1899-12-30T14:00:00"/>
    <d v="1899-12-30T22:15:00"/>
    <n v="29700"/>
    <x v="1"/>
  </r>
  <r>
    <x v="0"/>
    <s v="Egypt"/>
    <x v="33"/>
    <x v="164"/>
    <x v="164"/>
    <d v="2025-06-05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15:00"/>
    <d v="1899-12-30T16:30:00"/>
    <n v="0"/>
    <x v="1"/>
  </r>
  <r>
    <x v="0"/>
    <s v="Egypt"/>
    <x v="33"/>
    <x v="164"/>
    <x v="164"/>
    <m/>
    <m/>
    <s v="Break 30 Morning"/>
    <d v="1899-12-30T19:45:00"/>
    <d v="1899-12-30T20:15:00"/>
    <n v="0"/>
    <x v="1"/>
  </r>
  <r>
    <x v="0"/>
    <s v="Egypt"/>
    <x v="33"/>
    <x v="164"/>
    <x v="164"/>
    <d v="2025-06-06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00:00"/>
    <d v="1899-12-30T16:15:00"/>
    <n v="0"/>
    <x v="1"/>
  </r>
  <r>
    <x v="0"/>
    <s v="Egypt"/>
    <x v="33"/>
    <x v="164"/>
    <x v="164"/>
    <m/>
    <m/>
    <s v="Break 30 Morning"/>
    <d v="1899-12-30T19:15:00"/>
    <d v="1899-12-30T19:45:00"/>
    <n v="0"/>
    <x v="1"/>
  </r>
  <r>
    <x v="0"/>
    <s v="Egypt"/>
    <x v="33"/>
    <x v="164"/>
    <x v="164"/>
    <d v="2025-06-07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18:15:00"/>
    <d v="1899-12-30T18:30:00"/>
    <n v="0"/>
    <x v="1"/>
  </r>
  <r>
    <x v="0"/>
    <s v="Egypt"/>
    <x v="33"/>
    <x v="164"/>
    <x v="164"/>
    <m/>
    <m/>
    <s v="Break 30 Night"/>
    <d v="1899-12-30T21:15:00"/>
    <d v="1899-12-30T21:45:00"/>
    <n v="0"/>
    <x v="1"/>
  </r>
  <r>
    <x v="0"/>
    <s v="Egypt"/>
    <x v="33"/>
    <x v="164"/>
    <x v="164"/>
    <d v="2025-06-08T00:00:00"/>
    <m/>
    <s v="Day Off"/>
    <m/>
    <m/>
    <n v="0"/>
    <x v="1"/>
  </r>
  <r>
    <x v="0"/>
    <s v="Egypt"/>
    <x v="33"/>
    <x v="164"/>
    <x v="164"/>
    <d v="2025-06-09T00:00:00"/>
    <m/>
    <s v="Day Off"/>
    <m/>
    <m/>
    <n v="0"/>
    <x v="1"/>
  </r>
  <r>
    <x v="0"/>
    <s v="Egypt"/>
    <x v="33"/>
    <x v="164"/>
    <x v="164"/>
    <d v="2025-06-10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19:45:00"/>
    <d v="1899-12-30T20:00:00"/>
    <n v="0"/>
    <x v="1"/>
  </r>
  <r>
    <x v="0"/>
    <s v="Egypt"/>
    <x v="33"/>
    <x v="164"/>
    <x v="164"/>
    <m/>
    <m/>
    <s v="Break 30 Night"/>
    <d v="1899-12-30T23:00:00"/>
    <d v="1899-12-30T23:30:00"/>
    <n v="0"/>
    <x v="1"/>
  </r>
  <r>
    <x v="0"/>
    <s v="Egypt"/>
    <x v="33"/>
    <x v="164"/>
    <x v="164"/>
    <d v="2025-06-11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00:00"/>
    <d v="1899-12-30T20:15:00"/>
    <n v="0"/>
    <x v="1"/>
  </r>
  <r>
    <x v="0"/>
    <s v="Egypt"/>
    <x v="33"/>
    <x v="164"/>
    <x v="164"/>
    <m/>
    <m/>
    <s v="Break 30 Night"/>
    <d v="1899-12-30T23:00:00"/>
    <d v="1899-12-30T23:30:00"/>
    <n v="0"/>
    <x v="1"/>
  </r>
  <r>
    <x v="0"/>
    <s v="Egypt"/>
    <x v="33"/>
    <x v="164"/>
    <x v="164"/>
    <d v="2025-06-12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15:00"/>
    <d v="1899-12-30T20:30:00"/>
    <n v="0"/>
    <x v="1"/>
  </r>
  <r>
    <x v="0"/>
    <s v="Egypt"/>
    <x v="33"/>
    <x v="164"/>
    <x v="164"/>
    <m/>
    <m/>
    <s v="Break 30 Night"/>
    <d v="1899-12-30T23:30:00"/>
    <s v="+12:00 AM"/>
    <n v="0"/>
    <x v="1"/>
  </r>
  <r>
    <x v="0"/>
    <s v="Egypt"/>
    <x v="33"/>
    <x v="164"/>
    <x v="164"/>
    <d v="2025-06-13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19:45:00"/>
    <d v="1899-12-30T20:00:00"/>
    <n v="0"/>
    <x v="1"/>
  </r>
  <r>
    <x v="0"/>
    <s v="Egypt"/>
    <x v="33"/>
    <x v="164"/>
    <x v="164"/>
    <m/>
    <m/>
    <s v="Break 30 Night"/>
    <d v="1899-12-30T22:30:00"/>
    <d v="1899-12-30T23:00:00"/>
    <n v="0"/>
    <x v="1"/>
  </r>
  <r>
    <x v="0"/>
    <s v="Egypt"/>
    <x v="33"/>
    <x v="164"/>
    <x v="164"/>
    <d v="2025-06-14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18:15:00"/>
    <d v="1899-12-30T18:30:00"/>
    <n v="0"/>
    <x v="1"/>
  </r>
  <r>
    <x v="0"/>
    <s v="Egypt"/>
    <x v="33"/>
    <x v="164"/>
    <x v="164"/>
    <m/>
    <m/>
    <s v="Break 30 Night"/>
    <d v="1899-12-30T21:15:00"/>
    <d v="1899-12-30T21:45:00"/>
    <n v="0"/>
    <x v="1"/>
  </r>
  <r>
    <x v="0"/>
    <s v="Egypt"/>
    <x v="33"/>
    <x v="164"/>
    <x v="164"/>
    <d v="2025-06-15T00:00:00"/>
    <m/>
    <s v="Day Off"/>
    <m/>
    <m/>
    <n v="0"/>
    <x v="1"/>
  </r>
  <r>
    <x v="0"/>
    <s v="Egypt"/>
    <x v="33"/>
    <x v="164"/>
    <x v="164"/>
    <d v="2025-06-16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45:00"/>
    <d v="1899-12-30T17:00:00"/>
    <n v="0"/>
    <x v="1"/>
  </r>
  <r>
    <x v="0"/>
    <s v="Egypt"/>
    <x v="33"/>
    <x v="164"/>
    <x v="164"/>
    <m/>
    <m/>
    <s v="Break 30 Morning"/>
    <d v="1899-12-30T20:00:00"/>
    <d v="1899-12-30T20:30:00"/>
    <n v="0"/>
    <x v="1"/>
  </r>
  <r>
    <x v="0"/>
    <s v="Egypt"/>
    <x v="33"/>
    <x v="164"/>
    <x v="164"/>
    <d v="2025-06-17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15:00"/>
    <d v="1899-12-30T16:30:00"/>
    <n v="0"/>
    <x v="1"/>
  </r>
  <r>
    <x v="0"/>
    <s v="Egypt"/>
    <x v="33"/>
    <x v="164"/>
    <x v="164"/>
    <m/>
    <m/>
    <s v="Break 30 Morning"/>
    <d v="1899-12-30T19:30:00"/>
    <d v="1899-12-30T20:00:00"/>
    <n v="0"/>
    <x v="1"/>
  </r>
  <r>
    <x v="0"/>
    <s v="Egypt"/>
    <x v="33"/>
    <x v="164"/>
    <x v="164"/>
    <d v="2025-06-18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45:00"/>
    <d v="1899-12-30T17:00:00"/>
    <n v="0"/>
    <x v="1"/>
  </r>
  <r>
    <x v="0"/>
    <s v="Egypt"/>
    <x v="33"/>
    <x v="164"/>
    <x v="164"/>
    <m/>
    <m/>
    <s v="Break 30 Morning"/>
    <d v="1899-12-30T19:15:00"/>
    <d v="1899-12-30T19:45:00"/>
    <n v="0"/>
    <x v="1"/>
  </r>
  <r>
    <x v="0"/>
    <s v="Egypt"/>
    <x v="33"/>
    <x v="164"/>
    <x v="164"/>
    <d v="2025-06-19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45:00"/>
    <d v="1899-12-30T17:00:00"/>
    <n v="0"/>
    <x v="1"/>
  </r>
  <r>
    <x v="0"/>
    <s v="Egypt"/>
    <x v="33"/>
    <x v="164"/>
    <x v="164"/>
    <m/>
    <m/>
    <s v="Break 30 Morning"/>
    <d v="1899-12-30T19:15:00"/>
    <d v="1899-12-30T19:45:00"/>
    <n v="0"/>
    <x v="1"/>
  </r>
  <r>
    <x v="0"/>
    <s v="Egypt"/>
    <x v="33"/>
    <x v="164"/>
    <x v="164"/>
    <d v="2025-06-20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30:00"/>
    <d v="1899-12-30T16:45:00"/>
    <n v="0"/>
    <x v="1"/>
  </r>
  <r>
    <x v="0"/>
    <s v="Egypt"/>
    <x v="33"/>
    <x v="164"/>
    <x v="164"/>
    <m/>
    <m/>
    <s v="Break 30 Morning"/>
    <d v="1899-12-30T19:45:00"/>
    <d v="1899-12-30T20:15:00"/>
    <n v="0"/>
    <x v="1"/>
  </r>
  <r>
    <x v="0"/>
    <s v="Egypt"/>
    <x v="33"/>
    <x v="164"/>
    <x v="164"/>
    <d v="2025-06-21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45:00"/>
    <d v="1899-12-30T21:00:00"/>
    <n v="0"/>
    <x v="1"/>
  </r>
  <r>
    <x v="0"/>
    <s v="Egypt"/>
    <x v="33"/>
    <x v="164"/>
    <x v="164"/>
    <m/>
    <m/>
    <s v="Break 30 Night"/>
    <s v="+12:00 AM"/>
    <s v="+12:30 AM"/>
    <n v="0"/>
    <x v="1"/>
  </r>
  <r>
    <x v="0"/>
    <s v="Egypt"/>
    <x v="33"/>
    <x v="164"/>
    <x v="164"/>
    <d v="2025-06-22T00:00:00"/>
    <m/>
    <s v="Day Off"/>
    <m/>
    <m/>
    <n v="0"/>
    <x v="1"/>
  </r>
  <r>
    <x v="0"/>
    <s v="Egypt"/>
    <x v="33"/>
    <x v="164"/>
    <x v="164"/>
    <d v="2025-06-23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30:00"/>
    <d v="1899-12-30T20:45:00"/>
    <n v="0"/>
    <x v="1"/>
  </r>
  <r>
    <x v="0"/>
    <s v="Egypt"/>
    <x v="33"/>
    <x v="164"/>
    <x v="164"/>
    <m/>
    <m/>
    <s v="Break 30 Night"/>
    <d v="1899-12-30T23:15:00"/>
    <d v="1899-12-30T23:45:00"/>
    <n v="0"/>
    <x v="1"/>
  </r>
  <r>
    <x v="0"/>
    <s v="Egypt"/>
    <x v="33"/>
    <x v="164"/>
    <x v="164"/>
    <d v="2025-06-24T00:00:00"/>
    <d v="1899-12-30T08:15:00"/>
    <s v="Non Telecom Assyot"/>
    <d v="1899-12-30T17:15:00"/>
    <s v="+1:30 AM"/>
    <n v="29700"/>
    <x v="0"/>
  </r>
  <r>
    <x v="0"/>
    <s v="Egypt"/>
    <x v="33"/>
    <x v="164"/>
    <x v="164"/>
    <m/>
    <m/>
    <s v="Break 15 Night"/>
    <d v="1899-12-30T20:30:00"/>
    <d v="1899-12-30T20:45:00"/>
    <n v="0"/>
    <x v="1"/>
  </r>
  <r>
    <x v="0"/>
    <s v="Egypt"/>
    <x v="33"/>
    <x v="164"/>
    <x v="164"/>
    <m/>
    <m/>
    <s v="Break 30 Night"/>
    <d v="1899-12-30T23:00:00"/>
    <d v="1899-12-30T23:30:00"/>
    <n v="0"/>
    <x v="1"/>
  </r>
  <r>
    <x v="0"/>
    <s v="Egypt"/>
    <x v="33"/>
    <x v="164"/>
    <x v="164"/>
    <d v="2025-06-25T00:00:00"/>
    <d v="1899-12-30T08:15:00"/>
    <s v="Annual Exception"/>
    <m/>
    <m/>
    <n v="29700"/>
    <x v="1"/>
  </r>
  <r>
    <x v="0"/>
    <s v="Egypt"/>
    <x v="33"/>
    <x v="164"/>
    <x v="164"/>
    <d v="2025-06-26T00:00:00"/>
    <d v="1899-12-30T08:15:00"/>
    <s v="Public holiday"/>
    <m/>
    <m/>
    <n v="29700"/>
    <x v="1"/>
  </r>
  <r>
    <x v="0"/>
    <s v="Egypt"/>
    <x v="33"/>
    <x v="164"/>
    <x v="164"/>
    <d v="2025-06-27T00:00:00"/>
    <m/>
    <s v="Day Off"/>
    <m/>
    <m/>
    <n v="0"/>
    <x v="1"/>
  </r>
  <r>
    <x v="0"/>
    <s v="Egypt"/>
    <x v="33"/>
    <x v="164"/>
    <x v="164"/>
    <d v="2025-06-28T00:00:00"/>
    <m/>
    <s v="Day Off"/>
    <m/>
    <m/>
    <n v="0"/>
    <x v="1"/>
  </r>
  <r>
    <x v="0"/>
    <s v="Egypt"/>
    <x v="33"/>
    <x v="164"/>
    <x v="164"/>
    <d v="2025-06-29T00:00:00"/>
    <d v="1899-12-30T08:15:00"/>
    <s v="Non Telecom Assyot"/>
    <d v="1899-12-30T14:00:00"/>
    <d v="1899-12-30T22:15:00"/>
    <n v="29700"/>
    <x v="0"/>
  </r>
  <r>
    <x v="0"/>
    <s v="Egypt"/>
    <x v="33"/>
    <x v="164"/>
    <x v="164"/>
    <m/>
    <m/>
    <s v="Break 15 Morning"/>
    <d v="1899-12-30T16:15:00"/>
    <d v="1899-12-30T16:30:00"/>
    <n v="0"/>
    <x v="1"/>
  </r>
  <r>
    <x v="0"/>
    <s v="Egypt"/>
    <x v="33"/>
    <x v="164"/>
    <x v="164"/>
    <m/>
    <m/>
    <s v="Break 30 Morning"/>
    <d v="1899-12-30T19:30:00"/>
    <d v="1899-12-30T20:00:00"/>
    <n v="0"/>
    <x v="1"/>
  </r>
  <r>
    <x v="0"/>
    <s v="Egypt"/>
    <x v="33"/>
    <x v="164"/>
    <x v="164"/>
    <d v="2025-06-30T00:00:00"/>
    <d v="1899-12-30T08:15:00"/>
    <s v="Annual Exception"/>
    <m/>
    <m/>
    <n v="29700"/>
    <x v="1"/>
  </r>
  <r>
    <x v="0"/>
    <s v="Egypt"/>
    <x v="33"/>
    <x v="165"/>
    <x v="165"/>
    <d v="2025-06-05T00:00:00"/>
    <d v="1899-12-30T08:15:00"/>
    <s v="Public holiday"/>
    <m/>
    <m/>
    <n v="29700"/>
    <x v="1"/>
  </r>
  <r>
    <x v="0"/>
    <s v="Egypt"/>
    <x v="33"/>
    <x v="165"/>
    <x v="165"/>
    <d v="2025-06-06T00:00:00"/>
    <m/>
    <s v="Day Off"/>
    <m/>
    <m/>
    <n v="0"/>
    <x v="1"/>
  </r>
  <r>
    <x v="0"/>
    <s v="Egypt"/>
    <x v="33"/>
    <x v="165"/>
    <x v="165"/>
    <d v="2025-06-07T00:00:00"/>
    <m/>
    <s v="Day Off"/>
    <m/>
    <m/>
    <n v="0"/>
    <x v="1"/>
  </r>
  <r>
    <x v="0"/>
    <s v="Egypt"/>
    <x v="33"/>
    <x v="165"/>
    <x v="165"/>
    <d v="2025-06-08T00:00:00"/>
    <d v="1899-12-30T08:15:00"/>
    <s v="Public holiday"/>
    <m/>
    <m/>
    <n v="29700"/>
    <x v="1"/>
  </r>
  <r>
    <x v="0"/>
    <s v="Egypt"/>
    <x v="33"/>
    <x v="165"/>
    <x v="165"/>
    <d v="2025-06-09T00:00:00"/>
    <m/>
    <s v="Day Off"/>
    <m/>
    <m/>
    <n v="0"/>
    <x v="1"/>
  </r>
  <r>
    <x v="0"/>
    <s v="Egypt"/>
    <x v="33"/>
    <x v="165"/>
    <x v="165"/>
    <d v="2025-06-10T00:00:00"/>
    <m/>
    <s v="Day Off"/>
    <m/>
    <m/>
    <n v="0"/>
    <x v="1"/>
  </r>
  <r>
    <x v="0"/>
    <s v="Egypt"/>
    <x v="33"/>
    <x v="165"/>
    <x v="165"/>
    <d v="2025-06-11T00:00:00"/>
    <d v="1899-12-30T08:15:00"/>
    <s v="Non Telecom Assyot"/>
    <d v="1899-12-30T11:00:00"/>
    <d v="1899-12-30T19:15:00"/>
    <n v="29700"/>
    <x v="0"/>
  </r>
  <r>
    <x v="0"/>
    <s v="Egypt"/>
    <x v="33"/>
    <x v="165"/>
    <x v="165"/>
    <m/>
    <m/>
    <s v="Break 15 Morning"/>
    <d v="1899-12-30T14:15:00"/>
    <d v="1899-12-30T14:30:00"/>
    <n v="0"/>
    <x v="1"/>
  </r>
  <r>
    <x v="0"/>
    <s v="Egypt"/>
    <x v="33"/>
    <x v="165"/>
    <x v="165"/>
    <m/>
    <m/>
    <s v="One to One"/>
    <d v="1899-12-30T17:00:00"/>
    <d v="1899-12-30T17:15:00"/>
    <n v="0"/>
    <x v="1"/>
  </r>
  <r>
    <x v="0"/>
    <s v="Egypt"/>
    <x v="33"/>
    <x v="165"/>
    <x v="165"/>
    <m/>
    <m/>
    <s v="Break 30 Morning"/>
    <d v="1899-12-30T17:45:00"/>
    <d v="1899-12-30T18:15:00"/>
    <n v="0"/>
    <x v="1"/>
  </r>
  <r>
    <x v="0"/>
    <s v="Egypt"/>
    <x v="33"/>
    <x v="165"/>
    <x v="165"/>
    <d v="2025-06-12T00:00:00"/>
    <d v="1899-12-30T08:15:00"/>
    <s v="Non Telecom Assyot"/>
    <d v="1899-12-30T11:00:00"/>
    <d v="1899-12-30T19:15:00"/>
    <n v="29700"/>
    <x v="0"/>
  </r>
  <r>
    <x v="0"/>
    <s v="Egypt"/>
    <x v="33"/>
    <x v="165"/>
    <x v="165"/>
    <m/>
    <m/>
    <s v="Break 15 Morning"/>
    <d v="1899-12-30T14:15:00"/>
    <d v="1899-12-30T14:30:00"/>
    <n v="0"/>
    <x v="1"/>
  </r>
  <r>
    <x v="0"/>
    <s v="Egypt"/>
    <x v="33"/>
    <x v="165"/>
    <x v="165"/>
    <m/>
    <m/>
    <s v="One to One"/>
    <d v="1899-12-30T17:00:00"/>
    <d v="1899-12-30T17:15:00"/>
    <n v="0"/>
    <x v="1"/>
  </r>
  <r>
    <x v="0"/>
    <s v="Egypt"/>
    <x v="33"/>
    <x v="165"/>
    <x v="165"/>
    <m/>
    <m/>
    <s v="Break 30 Morning"/>
    <d v="1899-12-30T17:15:00"/>
    <d v="1899-12-30T17:45:00"/>
    <n v="0"/>
    <x v="1"/>
  </r>
  <r>
    <x v="0"/>
    <s v="Egypt"/>
    <x v="33"/>
    <x v="165"/>
    <x v="165"/>
    <d v="2025-06-13T00:00:00"/>
    <d v="1899-12-30T08:15:00"/>
    <s v="Non Telecom Assyot"/>
    <d v="1899-12-30T11:00:00"/>
    <d v="1899-12-30T19:15:00"/>
    <n v="29700"/>
    <x v="0"/>
  </r>
  <r>
    <x v="0"/>
    <s v="Egypt"/>
    <x v="33"/>
    <x v="165"/>
    <x v="165"/>
    <m/>
    <m/>
    <s v="Break 15 Morning"/>
    <d v="1899-12-30T14:15:00"/>
    <d v="1899-12-30T14:30:00"/>
    <n v="0"/>
    <x v="1"/>
  </r>
  <r>
    <x v="0"/>
    <s v="Egypt"/>
    <x v="33"/>
    <x v="165"/>
    <x v="165"/>
    <m/>
    <m/>
    <s v="One to One"/>
    <d v="1899-12-30T16:30:00"/>
    <d v="1899-12-30T16:45:00"/>
    <n v="0"/>
    <x v="1"/>
  </r>
  <r>
    <x v="0"/>
    <s v="Egypt"/>
    <x v="33"/>
    <x v="165"/>
    <x v="165"/>
    <m/>
    <m/>
    <s v="Break 30 Morning"/>
    <d v="1899-12-30T17:30:00"/>
    <d v="1899-12-30T18:00:00"/>
    <n v="0"/>
    <x v="1"/>
  </r>
  <r>
    <x v="0"/>
    <s v="Egypt"/>
    <x v="33"/>
    <x v="165"/>
    <x v="165"/>
    <d v="2025-06-14T00:00:00"/>
    <d v="1899-12-30T08:15:00"/>
    <s v="Non Telecom Assyot"/>
    <d v="1899-12-30T11:00:00"/>
    <d v="1899-12-30T19:15:00"/>
    <n v="29700"/>
    <x v="0"/>
  </r>
  <r>
    <x v="0"/>
    <s v="Egypt"/>
    <x v="33"/>
    <x v="165"/>
    <x v="165"/>
    <m/>
    <m/>
    <s v="Break 15 Morning"/>
    <d v="1899-12-30T14:15:00"/>
    <d v="1899-12-30T14:30:00"/>
    <n v="0"/>
    <x v="1"/>
  </r>
  <r>
    <x v="0"/>
    <s v="Egypt"/>
    <x v="33"/>
    <x v="165"/>
    <x v="165"/>
    <m/>
    <m/>
    <s v="One to One"/>
    <d v="1899-12-30T17:15:00"/>
    <d v="1899-12-30T17:30:00"/>
    <n v="0"/>
    <x v="1"/>
  </r>
  <r>
    <x v="0"/>
    <s v="Egypt"/>
    <x v="33"/>
    <x v="165"/>
    <x v="165"/>
    <m/>
    <m/>
    <s v="Break 30 Morning"/>
    <d v="1899-12-30T17:45:00"/>
    <d v="1899-12-30T18:15:00"/>
    <n v="0"/>
    <x v="1"/>
  </r>
  <r>
    <x v="0"/>
    <s v="Egypt"/>
    <x v="33"/>
    <x v="165"/>
    <x v="165"/>
    <d v="2025-06-15T00:00:00"/>
    <d v="1899-12-30T08:15:00"/>
    <s v="Non Telecom Assyot"/>
    <d v="1899-12-30T11:00:00"/>
    <d v="1899-12-30T19:15:00"/>
    <n v="29700"/>
    <x v="0"/>
  </r>
  <r>
    <x v="0"/>
    <s v="Egypt"/>
    <x v="33"/>
    <x v="165"/>
    <x v="165"/>
    <m/>
    <m/>
    <s v="Break 15 Morning"/>
    <d v="1899-12-30T14:30:00"/>
    <d v="1899-12-30T14:45:00"/>
    <n v="0"/>
    <x v="1"/>
  </r>
  <r>
    <x v="0"/>
    <s v="Egypt"/>
    <x v="33"/>
    <x v="165"/>
    <x v="165"/>
    <m/>
    <m/>
    <s v="Break 30 Morning"/>
    <d v="1899-12-30T17:45:00"/>
    <d v="1899-12-30T18:15:00"/>
    <n v="0"/>
    <x v="1"/>
  </r>
  <r>
    <x v="0"/>
    <s v="Egypt"/>
    <x v="33"/>
    <x v="165"/>
    <x v="165"/>
    <d v="2025-06-16T00:00:00"/>
    <m/>
    <s v="Day Off"/>
    <m/>
    <m/>
    <n v="0"/>
    <x v="1"/>
  </r>
  <r>
    <x v="0"/>
    <s v="Egypt"/>
    <x v="33"/>
    <x v="165"/>
    <x v="165"/>
    <d v="2025-06-17T00:00:00"/>
    <m/>
    <s v="Day Off"/>
    <m/>
    <m/>
    <n v="0"/>
    <x v="1"/>
  </r>
  <r>
    <x v="0"/>
    <s v="Egypt"/>
    <x v="33"/>
    <x v="165"/>
    <x v="165"/>
    <d v="2025-06-18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15:00"/>
    <d v="1899-12-30T17:30:00"/>
    <n v="0"/>
    <x v="1"/>
  </r>
  <r>
    <x v="0"/>
    <s v="Egypt"/>
    <x v="33"/>
    <x v="165"/>
    <x v="165"/>
    <m/>
    <m/>
    <s v="Break 30 Morning"/>
    <d v="1899-12-30T19:45:00"/>
    <d v="1899-12-30T20:15:00"/>
    <n v="0"/>
    <x v="1"/>
  </r>
  <r>
    <x v="0"/>
    <s v="Egypt"/>
    <x v="33"/>
    <x v="165"/>
    <x v="165"/>
    <d v="2025-06-19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15:00"/>
    <d v="1899-12-30T17:30:00"/>
    <n v="0"/>
    <x v="1"/>
  </r>
  <r>
    <x v="0"/>
    <s v="Egypt"/>
    <x v="33"/>
    <x v="165"/>
    <x v="165"/>
    <m/>
    <m/>
    <s v="Break 30 Morning"/>
    <d v="1899-12-30T19:45:00"/>
    <d v="1899-12-30T20:15:00"/>
    <n v="0"/>
    <x v="1"/>
  </r>
  <r>
    <x v="0"/>
    <s v="Egypt"/>
    <x v="33"/>
    <x v="165"/>
    <x v="165"/>
    <d v="2025-06-20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00:00"/>
    <d v="1899-12-30T17:15:00"/>
    <n v="0"/>
    <x v="1"/>
  </r>
  <r>
    <x v="0"/>
    <s v="Egypt"/>
    <x v="33"/>
    <x v="165"/>
    <x v="165"/>
    <m/>
    <m/>
    <s v="Break 30 Morning"/>
    <d v="1899-12-30T20:15:00"/>
    <d v="1899-12-30T20:45:00"/>
    <n v="0"/>
    <x v="1"/>
  </r>
  <r>
    <x v="0"/>
    <s v="Egypt"/>
    <x v="33"/>
    <x v="165"/>
    <x v="165"/>
    <d v="2025-06-21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00:00"/>
    <d v="1899-12-30T17:15:00"/>
    <n v="0"/>
    <x v="1"/>
  </r>
  <r>
    <x v="0"/>
    <s v="Egypt"/>
    <x v="33"/>
    <x v="165"/>
    <x v="165"/>
    <m/>
    <m/>
    <s v="Break 30 Morning"/>
    <d v="1899-12-30T20:00:00"/>
    <d v="1899-12-30T20:30:00"/>
    <n v="0"/>
    <x v="1"/>
  </r>
  <r>
    <x v="0"/>
    <s v="Egypt"/>
    <x v="33"/>
    <x v="165"/>
    <x v="165"/>
    <d v="2025-06-22T00:00:00"/>
    <m/>
    <s v="Day Off"/>
    <m/>
    <m/>
    <n v="0"/>
    <x v="1"/>
  </r>
  <r>
    <x v="0"/>
    <s v="Egypt"/>
    <x v="33"/>
    <x v="165"/>
    <x v="165"/>
    <d v="2025-06-23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5:30:00"/>
    <d v="1899-12-30T15:45:00"/>
    <n v="0"/>
    <x v="1"/>
  </r>
  <r>
    <x v="0"/>
    <s v="Egypt"/>
    <x v="33"/>
    <x v="165"/>
    <x v="165"/>
    <m/>
    <m/>
    <s v="Break 30 Morning"/>
    <d v="1899-12-30T18:00:00"/>
    <d v="1899-12-30T18:30:00"/>
    <n v="0"/>
    <x v="1"/>
  </r>
  <r>
    <x v="0"/>
    <s v="Egypt"/>
    <x v="33"/>
    <x v="165"/>
    <x v="165"/>
    <d v="2025-06-24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30:00"/>
    <d v="1899-12-30T17:45:00"/>
    <n v="0"/>
    <x v="1"/>
  </r>
  <r>
    <x v="0"/>
    <s v="Egypt"/>
    <x v="33"/>
    <x v="165"/>
    <x v="165"/>
    <m/>
    <m/>
    <s v="Break 30 Morning"/>
    <d v="1899-12-30T20:15:00"/>
    <d v="1899-12-30T20:45:00"/>
    <n v="0"/>
    <x v="1"/>
  </r>
  <r>
    <x v="0"/>
    <s v="Egypt"/>
    <x v="33"/>
    <x v="165"/>
    <x v="165"/>
    <d v="2025-06-25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15:00"/>
    <d v="1899-12-30T17:30:00"/>
    <n v="0"/>
    <x v="1"/>
  </r>
  <r>
    <x v="0"/>
    <s v="Egypt"/>
    <x v="33"/>
    <x v="165"/>
    <x v="165"/>
    <m/>
    <m/>
    <s v="Break 30 Morning"/>
    <d v="1899-12-30T19:30:00"/>
    <d v="1899-12-30T20:00:00"/>
    <n v="0"/>
    <x v="1"/>
  </r>
  <r>
    <x v="0"/>
    <s v="Egypt"/>
    <x v="33"/>
    <x v="165"/>
    <x v="165"/>
    <d v="2025-06-26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6:15:00"/>
    <d v="1899-12-30T16:30:00"/>
    <n v="0"/>
    <x v="1"/>
  </r>
  <r>
    <x v="0"/>
    <s v="Egypt"/>
    <x v="33"/>
    <x v="165"/>
    <x v="165"/>
    <m/>
    <m/>
    <s v="Break 30 Morning"/>
    <d v="1899-12-30T20:00:00"/>
    <d v="1899-12-30T20:30:00"/>
    <n v="0"/>
    <x v="1"/>
  </r>
  <r>
    <x v="0"/>
    <s v="Egypt"/>
    <x v="33"/>
    <x v="165"/>
    <x v="165"/>
    <d v="2025-06-27T00:00:00"/>
    <d v="1899-12-30T08:15:00"/>
    <s v="Annual Exception"/>
    <m/>
    <m/>
    <n v="29700"/>
    <x v="1"/>
  </r>
  <r>
    <x v="0"/>
    <s v="Egypt"/>
    <x v="33"/>
    <x v="165"/>
    <x v="165"/>
    <d v="2025-06-28T00:00:00"/>
    <m/>
    <s v="Day Off"/>
    <m/>
    <m/>
    <n v="0"/>
    <x v="1"/>
  </r>
  <r>
    <x v="0"/>
    <s v="Egypt"/>
    <x v="33"/>
    <x v="165"/>
    <x v="165"/>
    <d v="2025-06-29T00:00:00"/>
    <m/>
    <s v="Day Off"/>
    <m/>
    <m/>
    <n v="0"/>
    <x v="1"/>
  </r>
  <r>
    <x v="0"/>
    <s v="Egypt"/>
    <x v="33"/>
    <x v="165"/>
    <x v="165"/>
    <d v="2025-06-30T00:00:00"/>
    <d v="1899-12-30T08:15:00"/>
    <s v="Non Telecom Assyot"/>
    <d v="1899-12-30T14:00:00"/>
    <d v="1899-12-30T22:15:00"/>
    <n v="29700"/>
    <x v="0"/>
  </r>
  <r>
    <x v="0"/>
    <s v="Egypt"/>
    <x v="33"/>
    <x v="165"/>
    <x v="165"/>
    <m/>
    <m/>
    <s v="Break 15 Morning"/>
    <d v="1899-12-30T17:30:00"/>
    <d v="1899-12-30T17:45:00"/>
    <n v="0"/>
    <x v="1"/>
  </r>
  <r>
    <x v="0"/>
    <s v="Egypt"/>
    <x v="33"/>
    <x v="165"/>
    <x v="165"/>
    <m/>
    <m/>
    <s v="Break 30 Morning"/>
    <d v="1899-12-30T20:30:00"/>
    <d v="1899-12-30T21:00:00"/>
    <n v="0"/>
    <x v="1"/>
  </r>
  <r>
    <x v="0"/>
    <s v="Egypt"/>
    <x v="34"/>
    <x v="166"/>
    <x v="166"/>
    <d v="2025-06-05T00:00:00"/>
    <d v="1899-12-30T08:15:00"/>
    <s v="Public holiday"/>
    <m/>
    <m/>
    <n v="29700"/>
    <x v="1"/>
  </r>
  <r>
    <x v="0"/>
    <s v="Egypt"/>
    <x v="34"/>
    <x v="166"/>
    <x v="166"/>
    <d v="2025-06-06T00:00:00"/>
    <m/>
    <s v="Day Off"/>
    <m/>
    <m/>
    <n v="0"/>
    <x v="1"/>
  </r>
  <r>
    <x v="0"/>
    <s v="Egypt"/>
    <x v="34"/>
    <x v="166"/>
    <x v="166"/>
    <d v="2025-06-07T00:00:00"/>
    <m/>
    <s v="Day Off"/>
    <m/>
    <m/>
    <n v="0"/>
    <x v="1"/>
  </r>
  <r>
    <x v="0"/>
    <s v="Egypt"/>
    <x v="34"/>
    <x v="166"/>
    <x v="166"/>
    <d v="2025-06-08T00:00:00"/>
    <d v="1899-12-30T08:15:00"/>
    <s v="Public holiday"/>
    <m/>
    <m/>
    <n v="29700"/>
    <x v="1"/>
  </r>
  <r>
    <x v="0"/>
    <s v="Egypt"/>
    <x v="34"/>
    <x v="166"/>
    <x v="166"/>
    <d v="2025-06-09T00:00:00"/>
    <m/>
    <s v="Day Off"/>
    <m/>
    <m/>
    <n v="0"/>
    <x v="1"/>
  </r>
  <r>
    <x v="0"/>
    <s v="Egypt"/>
    <x v="34"/>
    <x v="166"/>
    <x v="166"/>
    <d v="2025-06-10T00:00:00"/>
    <m/>
    <s v="Day Off"/>
    <m/>
    <m/>
    <n v="0"/>
    <x v="1"/>
  </r>
  <r>
    <x v="0"/>
    <s v="Egypt"/>
    <x v="34"/>
    <x v="166"/>
    <x v="166"/>
    <d v="2025-06-11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0:30:00"/>
    <d v="1899-12-30T10:45:00"/>
    <n v="0"/>
    <x v="1"/>
  </r>
  <r>
    <x v="0"/>
    <s v="Egypt"/>
    <x v="34"/>
    <x v="166"/>
    <x v="166"/>
    <m/>
    <m/>
    <s v="One to One"/>
    <d v="1899-12-30T11:15:00"/>
    <d v="1899-12-30T11:30:00"/>
    <n v="0"/>
    <x v="1"/>
  </r>
  <r>
    <x v="0"/>
    <s v="Egypt"/>
    <x v="34"/>
    <x v="166"/>
    <x v="166"/>
    <m/>
    <m/>
    <s v="Break 30 Morning"/>
    <d v="1899-12-30T13:45:00"/>
    <d v="1899-12-30T14:15:00"/>
    <n v="0"/>
    <x v="1"/>
  </r>
  <r>
    <x v="0"/>
    <s v="Egypt"/>
    <x v="34"/>
    <x v="166"/>
    <x v="166"/>
    <d v="2025-06-12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0:30:00"/>
    <d v="1899-12-30T10:45:00"/>
    <n v="0"/>
    <x v="1"/>
  </r>
  <r>
    <x v="0"/>
    <s v="Egypt"/>
    <x v="34"/>
    <x v="166"/>
    <x v="166"/>
    <m/>
    <m/>
    <s v="One to One"/>
    <d v="1899-12-30T11:15:00"/>
    <d v="1899-12-30T11:30:00"/>
    <n v="0"/>
    <x v="1"/>
  </r>
  <r>
    <x v="0"/>
    <s v="Egypt"/>
    <x v="34"/>
    <x v="166"/>
    <x v="166"/>
    <m/>
    <m/>
    <s v="Break 30 Morning"/>
    <d v="1899-12-30T13:15:00"/>
    <d v="1899-12-30T13:45:00"/>
    <n v="0"/>
    <x v="1"/>
  </r>
  <r>
    <x v="0"/>
    <s v="Egypt"/>
    <x v="34"/>
    <x v="166"/>
    <x v="166"/>
    <d v="2025-06-13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0:15:00"/>
    <d v="1899-12-30T10:30:00"/>
    <n v="0"/>
    <x v="1"/>
  </r>
  <r>
    <x v="0"/>
    <s v="Egypt"/>
    <x v="34"/>
    <x v="166"/>
    <x v="166"/>
    <m/>
    <m/>
    <s v="One to One"/>
    <d v="1899-12-30T10:45:00"/>
    <d v="1899-12-30T11:00:00"/>
    <n v="0"/>
    <x v="1"/>
  </r>
  <r>
    <x v="0"/>
    <s v="Egypt"/>
    <x v="34"/>
    <x v="166"/>
    <x v="166"/>
    <m/>
    <m/>
    <s v="Break 30 Morning"/>
    <d v="1899-12-30T13:30:00"/>
    <d v="1899-12-30T14:00:00"/>
    <n v="0"/>
    <x v="1"/>
  </r>
  <r>
    <x v="0"/>
    <s v="Egypt"/>
    <x v="34"/>
    <x v="166"/>
    <x v="166"/>
    <d v="2025-06-14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1:00:00"/>
    <d v="1899-12-30T11:15:00"/>
    <n v="0"/>
    <x v="1"/>
  </r>
  <r>
    <x v="0"/>
    <s v="Egypt"/>
    <x v="34"/>
    <x v="166"/>
    <x v="166"/>
    <m/>
    <m/>
    <s v="One to One"/>
    <d v="1899-12-30T11:30:00"/>
    <d v="1899-12-30T11:45:00"/>
    <n v="0"/>
    <x v="1"/>
  </r>
  <r>
    <x v="0"/>
    <s v="Egypt"/>
    <x v="34"/>
    <x v="166"/>
    <x v="166"/>
    <m/>
    <m/>
    <s v="Break 30 Morning"/>
    <d v="1899-12-30T13:45:00"/>
    <d v="1899-12-30T14:15:00"/>
    <n v="0"/>
    <x v="1"/>
  </r>
  <r>
    <x v="0"/>
    <s v="Egypt"/>
    <x v="34"/>
    <x v="166"/>
    <x v="166"/>
    <d v="2025-06-15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0:30:00"/>
    <d v="1899-12-30T10:45:00"/>
    <n v="0"/>
    <x v="1"/>
  </r>
  <r>
    <x v="0"/>
    <s v="Egypt"/>
    <x v="34"/>
    <x v="166"/>
    <x v="166"/>
    <m/>
    <m/>
    <s v="Break 30 Morning"/>
    <d v="1899-12-30T13:45:00"/>
    <d v="1899-12-30T14:15:00"/>
    <n v="0"/>
    <x v="1"/>
  </r>
  <r>
    <x v="0"/>
    <s v="Egypt"/>
    <x v="34"/>
    <x v="166"/>
    <x v="166"/>
    <d v="2025-06-16T00:00:00"/>
    <m/>
    <s v="Day Off"/>
    <m/>
    <m/>
    <n v="0"/>
    <x v="1"/>
  </r>
  <r>
    <x v="0"/>
    <s v="Egypt"/>
    <x v="34"/>
    <x v="166"/>
    <x v="166"/>
    <d v="2025-06-17T00:00:00"/>
    <m/>
    <s v="Day Off"/>
    <m/>
    <m/>
    <n v="0"/>
    <x v="1"/>
  </r>
  <r>
    <x v="0"/>
    <s v="Egypt"/>
    <x v="34"/>
    <x v="166"/>
    <x v="166"/>
    <d v="2025-06-18T00:00:00"/>
    <d v="1899-12-30T08:15:00"/>
    <s v="Non Telecom Assyot"/>
    <d v="1899-12-30T11:00:00"/>
    <d v="1899-12-30T19:15:00"/>
    <n v="29700"/>
    <x v="0"/>
  </r>
  <r>
    <x v="0"/>
    <s v="Egypt"/>
    <x v="34"/>
    <x v="166"/>
    <x v="166"/>
    <m/>
    <m/>
    <s v="Break 15 Morning"/>
    <d v="1899-12-30T12:45:00"/>
    <d v="1899-12-30T13:00:00"/>
    <n v="0"/>
    <x v="1"/>
  </r>
  <r>
    <x v="0"/>
    <s v="Egypt"/>
    <x v="34"/>
    <x v="166"/>
    <x v="166"/>
    <m/>
    <m/>
    <s v="Break 30 Morning"/>
    <d v="1899-12-30T15:45:00"/>
    <d v="1899-12-30T16:15:00"/>
    <n v="0"/>
    <x v="1"/>
  </r>
  <r>
    <x v="0"/>
    <s v="Egypt"/>
    <x v="34"/>
    <x v="166"/>
    <x v="166"/>
    <d v="2025-06-19T00:00:00"/>
    <d v="1899-12-30T08:15:00"/>
    <s v="Non Telecom Assyot"/>
    <d v="1899-12-30T11:00:00"/>
    <d v="1899-12-30T19:15:00"/>
    <n v="29700"/>
    <x v="0"/>
  </r>
  <r>
    <x v="0"/>
    <s v="Egypt"/>
    <x v="34"/>
    <x v="166"/>
    <x v="166"/>
    <m/>
    <m/>
    <s v="Break 15 Morning"/>
    <d v="1899-12-30T13:00:00"/>
    <d v="1899-12-30T13:15:00"/>
    <n v="0"/>
    <x v="1"/>
  </r>
  <r>
    <x v="0"/>
    <s v="Egypt"/>
    <x v="34"/>
    <x v="166"/>
    <x v="166"/>
    <m/>
    <m/>
    <s v="Break 30 Morning"/>
    <d v="1899-12-30T15:45:00"/>
    <d v="1899-12-30T16:15:00"/>
    <n v="0"/>
    <x v="1"/>
  </r>
  <r>
    <x v="0"/>
    <s v="Egypt"/>
    <x v="34"/>
    <x v="166"/>
    <x v="166"/>
    <d v="2025-06-20T00:00:00"/>
    <d v="1899-12-30T08:15:00"/>
    <s v="Non Telecom Assyot"/>
    <d v="1899-12-30T11:00:00"/>
    <d v="1899-12-30T19:15:00"/>
    <n v="29700"/>
    <x v="0"/>
  </r>
  <r>
    <x v="0"/>
    <s v="Egypt"/>
    <x v="34"/>
    <x v="166"/>
    <x v="166"/>
    <m/>
    <m/>
    <s v="Break 15 Morning"/>
    <d v="1899-12-30T12:45:00"/>
    <d v="1899-12-30T13:00:00"/>
    <n v="0"/>
    <x v="1"/>
  </r>
  <r>
    <x v="0"/>
    <s v="Egypt"/>
    <x v="34"/>
    <x v="166"/>
    <x v="166"/>
    <m/>
    <m/>
    <s v="Break 30 Morning"/>
    <d v="1899-12-30T15:15:00"/>
    <d v="1899-12-30T15:45:00"/>
    <n v="0"/>
    <x v="1"/>
  </r>
  <r>
    <x v="0"/>
    <s v="Egypt"/>
    <x v="34"/>
    <x v="166"/>
    <x v="166"/>
    <d v="2025-06-21T00:00:00"/>
    <d v="1899-12-30T08:15:00"/>
    <s v="Non Telecom Assyot"/>
    <d v="1899-12-30T11:00:00"/>
    <d v="1899-12-30T19:15:00"/>
    <n v="29700"/>
    <x v="0"/>
  </r>
  <r>
    <x v="0"/>
    <s v="Egypt"/>
    <x v="34"/>
    <x v="166"/>
    <x v="166"/>
    <m/>
    <m/>
    <s v="Break 15 Morning"/>
    <d v="1899-12-30T12:45:00"/>
    <d v="1899-12-30T13:00:00"/>
    <n v="0"/>
    <x v="1"/>
  </r>
  <r>
    <x v="0"/>
    <s v="Egypt"/>
    <x v="34"/>
    <x v="166"/>
    <x v="166"/>
    <m/>
    <m/>
    <s v="Break 30 Morning"/>
    <d v="1899-12-30T15:15:00"/>
    <d v="1899-12-30T15:45:00"/>
    <n v="0"/>
    <x v="1"/>
  </r>
  <r>
    <x v="0"/>
    <s v="Egypt"/>
    <x v="34"/>
    <x v="166"/>
    <x v="166"/>
    <d v="2025-06-22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0:45:00"/>
    <d v="1899-12-30T11:00:00"/>
    <n v="0"/>
    <x v="1"/>
  </r>
  <r>
    <x v="0"/>
    <s v="Egypt"/>
    <x v="34"/>
    <x v="166"/>
    <x v="166"/>
    <m/>
    <m/>
    <s v="Break 30 Morning"/>
    <d v="1899-12-30T13:45:00"/>
    <d v="1899-12-30T14:15:00"/>
    <n v="0"/>
    <x v="1"/>
  </r>
  <r>
    <x v="0"/>
    <s v="Egypt"/>
    <x v="34"/>
    <x v="166"/>
    <x v="166"/>
    <d v="2025-06-23T00:00:00"/>
    <m/>
    <s v="Day Off"/>
    <m/>
    <m/>
    <n v="0"/>
    <x v="1"/>
  </r>
  <r>
    <x v="0"/>
    <s v="Egypt"/>
    <x v="34"/>
    <x v="166"/>
    <x v="166"/>
    <d v="2025-06-24T00:00:00"/>
    <m/>
    <s v="Day Off"/>
    <m/>
    <m/>
    <n v="0"/>
    <x v="1"/>
  </r>
  <r>
    <x v="0"/>
    <s v="Egypt"/>
    <x v="34"/>
    <x v="166"/>
    <x v="166"/>
    <d v="2025-06-25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1:00:00"/>
    <d v="1899-12-30T11:15:00"/>
    <n v="0"/>
    <x v="1"/>
  </r>
  <r>
    <x v="0"/>
    <s v="Egypt"/>
    <x v="34"/>
    <x v="166"/>
    <x v="166"/>
    <m/>
    <m/>
    <s v="Break 30 Morning"/>
    <d v="1899-12-30T13:45:00"/>
    <d v="1899-12-30T14:15:00"/>
    <n v="0"/>
    <x v="1"/>
  </r>
  <r>
    <x v="0"/>
    <s v="Egypt"/>
    <x v="34"/>
    <x v="166"/>
    <x v="166"/>
    <d v="2025-06-26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1:00:00"/>
    <d v="1899-12-30T11:15:00"/>
    <n v="0"/>
    <x v="1"/>
  </r>
  <r>
    <x v="0"/>
    <s v="Egypt"/>
    <x v="34"/>
    <x v="166"/>
    <x v="166"/>
    <m/>
    <m/>
    <s v="Break 30 Morning"/>
    <d v="1899-12-30T14:15:00"/>
    <d v="1899-12-30T14:45:00"/>
    <n v="0"/>
    <x v="1"/>
  </r>
  <r>
    <x v="0"/>
    <s v="Egypt"/>
    <x v="34"/>
    <x v="166"/>
    <x v="166"/>
    <d v="2025-06-27T00:00:00"/>
    <d v="1899-12-30T08:15:00"/>
    <s v="Annual Exception"/>
    <m/>
    <m/>
    <n v="29700"/>
    <x v="1"/>
  </r>
  <r>
    <x v="0"/>
    <s v="Egypt"/>
    <x v="34"/>
    <x v="166"/>
    <x v="166"/>
    <d v="2025-06-28T00:00:00"/>
    <d v="1899-12-30T08:15:00"/>
    <s v="Non Telecom Assyot"/>
    <d v="1899-12-30T09:00:00"/>
    <d v="1899-12-30T17:15:00"/>
    <n v="29700"/>
    <x v="0"/>
  </r>
  <r>
    <x v="0"/>
    <s v="Egypt"/>
    <x v="34"/>
    <x v="166"/>
    <x v="166"/>
    <m/>
    <m/>
    <s v="Break 15 Morning"/>
    <d v="1899-12-30T11:15:00"/>
    <d v="1899-12-30T11:30:00"/>
    <n v="0"/>
    <x v="1"/>
  </r>
  <r>
    <x v="0"/>
    <s v="Egypt"/>
    <x v="34"/>
    <x v="166"/>
    <x v="166"/>
    <m/>
    <m/>
    <s v="Break 30 Morning"/>
    <d v="1899-12-30T14:15:00"/>
    <d v="1899-12-30T14:45:00"/>
    <n v="0"/>
    <x v="1"/>
  </r>
  <r>
    <x v="0"/>
    <s v="Egypt"/>
    <x v="34"/>
    <x v="166"/>
    <x v="166"/>
    <d v="2025-06-29T00:00:00"/>
    <m/>
    <s v="Day Off"/>
    <m/>
    <m/>
    <n v="0"/>
    <x v="1"/>
  </r>
  <r>
    <x v="0"/>
    <s v="Egypt"/>
    <x v="34"/>
    <x v="166"/>
    <x v="166"/>
    <d v="2025-06-30T00:00:00"/>
    <m/>
    <s v="Day Off"/>
    <m/>
    <m/>
    <n v="0"/>
    <x v="1"/>
  </r>
  <r>
    <x v="0"/>
    <s v="Egypt"/>
    <x v="34"/>
    <x v="167"/>
    <x v="167"/>
    <d v="2025-06-01T00:00:00"/>
    <m/>
    <s v="Day Off"/>
    <m/>
    <m/>
    <n v="0"/>
    <x v="1"/>
  </r>
  <r>
    <x v="0"/>
    <s v="Egypt"/>
    <x v="34"/>
    <x v="167"/>
    <x v="167"/>
    <d v="2025-06-02T00:00:00"/>
    <m/>
    <s v="Day Off"/>
    <m/>
    <m/>
    <n v="0"/>
    <x v="1"/>
  </r>
  <r>
    <x v="0"/>
    <s v="Egypt"/>
    <x v="34"/>
    <x v="167"/>
    <x v="167"/>
    <d v="2025-06-03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2:15:00"/>
    <d v="1899-12-30T12:30:00"/>
    <n v="0"/>
    <x v="1"/>
  </r>
  <r>
    <x v="0"/>
    <s v="Egypt"/>
    <x v="34"/>
    <x v="167"/>
    <x v="167"/>
    <m/>
    <m/>
    <s v="Break 30 Morning"/>
    <d v="1899-12-30T15:15:00"/>
    <d v="1899-12-30T15:45:00"/>
    <n v="0"/>
    <x v="1"/>
  </r>
  <r>
    <x v="0"/>
    <s v="Egypt"/>
    <x v="34"/>
    <x v="167"/>
    <x v="167"/>
    <d v="2025-06-04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4:45:00"/>
    <d v="1899-12-30T15:15:00"/>
    <n v="0"/>
    <x v="1"/>
  </r>
  <r>
    <x v="0"/>
    <s v="Egypt"/>
    <x v="34"/>
    <x v="167"/>
    <x v="167"/>
    <d v="2025-06-05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5:15:00"/>
    <d v="1899-12-30T15:45:00"/>
    <n v="0"/>
    <x v="1"/>
  </r>
  <r>
    <x v="0"/>
    <s v="Egypt"/>
    <x v="34"/>
    <x v="167"/>
    <x v="167"/>
    <d v="2025-06-06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5:15:00"/>
    <d v="1899-12-30T15:45:00"/>
    <n v="0"/>
    <x v="1"/>
  </r>
  <r>
    <x v="0"/>
    <s v="Egypt"/>
    <x v="34"/>
    <x v="167"/>
    <x v="167"/>
    <d v="2025-06-07T00:00:00"/>
    <d v="1899-12-30T08:15:00"/>
    <s v="Public holiday"/>
    <m/>
    <m/>
    <n v="29700"/>
    <x v="1"/>
  </r>
  <r>
    <x v="0"/>
    <s v="Egypt"/>
    <x v="34"/>
    <x v="167"/>
    <x v="167"/>
    <d v="2025-06-08T00:00:00"/>
    <m/>
    <s v="Day Off"/>
    <m/>
    <m/>
    <n v="0"/>
    <x v="1"/>
  </r>
  <r>
    <x v="0"/>
    <s v="Egypt"/>
    <x v="34"/>
    <x v="167"/>
    <x v="167"/>
    <d v="2025-06-09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15:00"/>
    <d v="1899-12-30T11:30:00"/>
    <n v="0"/>
    <x v="1"/>
  </r>
  <r>
    <x v="0"/>
    <s v="Egypt"/>
    <x v="34"/>
    <x v="167"/>
    <x v="167"/>
    <m/>
    <m/>
    <s v="Break 30 Morning"/>
    <d v="1899-12-30T14:15:00"/>
    <d v="1899-12-30T14:45:00"/>
    <n v="0"/>
    <x v="1"/>
  </r>
  <r>
    <x v="0"/>
    <s v="Egypt"/>
    <x v="34"/>
    <x v="167"/>
    <x v="167"/>
    <d v="2025-06-10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15:00"/>
    <d v="1899-12-30T11:30:00"/>
    <n v="0"/>
    <x v="1"/>
  </r>
  <r>
    <x v="0"/>
    <s v="Egypt"/>
    <x v="34"/>
    <x v="167"/>
    <x v="167"/>
    <m/>
    <m/>
    <s v="Break 30 Morning"/>
    <d v="1899-12-30T14:15:00"/>
    <d v="1899-12-30T14:45:00"/>
    <n v="0"/>
    <x v="1"/>
  </r>
  <r>
    <x v="0"/>
    <s v="Egypt"/>
    <x v="34"/>
    <x v="167"/>
    <x v="167"/>
    <d v="2025-06-11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30:00"/>
    <d v="1899-12-30T11:45:00"/>
    <n v="0"/>
    <x v="1"/>
  </r>
  <r>
    <x v="0"/>
    <s v="Egypt"/>
    <x v="34"/>
    <x v="167"/>
    <x v="167"/>
    <m/>
    <m/>
    <s v="Break 30 Morning"/>
    <d v="1899-12-30T14:45:00"/>
    <d v="1899-12-30T15:15:00"/>
    <n v="0"/>
    <x v="1"/>
  </r>
  <r>
    <x v="0"/>
    <s v="Egypt"/>
    <x v="34"/>
    <x v="167"/>
    <x v="167"/>
    <d v="2025-06-12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30:00"/>
    <d v="1899-12-30T11:45:00"/>
    <n v="0"/>
    <x v="1"/>
  </r>
  <r>
    <x v="0"/>
    <s v="Egypt"/>
    <x v="34"/>
    <x v="167"/>
    <x v="167"/>
    <m/>
    <m/>
    <s v="Break 30 Morning"/>
    <d v="1899-12-30T14:15:00"/>
    <d v="1899-12-30T14:45:00"/>
    <n v="0"/>
    <x v="1"/>
  </r>
  <r>
    <x v="0"/>
    <s v="Egypt"/>
    <x v="34"/>
    <x v="167"/>
    <x v="167"/>
    <d v="2025-06-13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30:00"/>
    <d v="1899-12-30T11:45:00"/>
    <n v="0"/>
    <x v="1"/>
  </r>
  <r>
    <x v="0"/>
    <s v="Egypt"/>
    <x v="34"/>
    <x v="167"/>
    <x v="167"/>
    <m/>
    <m/>
    <s v="Break 30 Morning"/>
    <d v="1899-12-30T14:30:00"/>
    <d v="1899-12-30T15:00:00"/>
    <n v="0"/>
    <x v="1"/>
  </r>
  <r>
    <x v="0"/>
    <s v="Egypt"/>
    <x v="34"/>
    <x v="167"/>
    <x v="167"/>
    <d v="2025-06-14T00:00:00"/>
    <m/>
    <s v="Day Off"/>
    <m/>
    <m/>
    <n v="0"/>
    <x v="1"/>
  </r>
  <r>
    <x v="0"/>
    <s v="Egypt"/>
    <x v="34"/>
    <x v="167"/>
    <x v="167"/>
    <d v="2025-06-15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2:00:00"/>
    <d v="1899-12-30T12:15:00"/>
    <n v="0"/>
    <x v="1"/>
  </r>
  <r>
    <x v="0"/>
    <s v="Egypt"/>
    <x v="34"/>
    <x v="167"/>
    <x v="167"/>
    <m/>
    <m/>
    <s v="Break 30 Morning"/>
    <d v="1899-12-30T15:15:00"/>
    <d v="1899-12-30T15:45:00"/>
    <n v="0"/>
    <x v="1"/>
  </r>
  <r>
    <x v="0"/>
    <s v="Egypt"/>
    <x v="34"/>
    <x v="167"/>
    <x v="167"/>
    <d v="2025-06-16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4:15:00"/>
    <d v="1899-12-30T14:45:00"/>
    <n v="0"/>
    <x v="1"/>
  </r>
  <r>
    <x v="0"/>
    <s v="Egypt"/>
    <x v="34"/>
    <x v="167"/>
    <x v="167"/>
    <d v="2025-06-17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4:45:00"/>
    <d v="1899-12-30T15:15:00"/>
    <n v="0"/>
    <x v="1"/>
  </r>
  <r>
    <x v="0"/>
    <s v="Egypt"/>
    <x v="34"/>
    <x v="167"/>
    <x v="167"/>
    <d v="2025-06-18T00:00:00"/>
    <d v="1899-12-30T08:15:00"/>
    <s v="Annual Exception"/>
    <m/>
    <m/>
    <n v="29700"/>
    <x v="1"/>
  </r>
  <r>
    <x v="0"/>
    <s v="Egypt"/>
    <x v="34"/>
    <x v="167"/>
    <x v="167"/>
    <d v="2025-06-19T00:00:00"/>
    <d v="1899-12-30T08:15:00"/>
    <s v="Non Telecom Assyot"/>
    <d v="1899-12-30T09:00:00"/>
    <d v="1899-12-30T17:15:00"/>
    <n v="29700"/>
    <x v="0"/>
  </r>
  <r>
    <x v="0"/>
    <s v="Egypt"/>
    <x v="34"/>
    <x v="167"/>
    <x v="167"/>
    <m/>
    <m/>
    <s v="Break 15 Morning"/>
    <d v="1899-12-30T11:45:00"/>
    <d v="1899-12-30T12:00:00"/>
    <n v="0"/>
    <x v="1"/>
  </r>
  <r>
    <x v="0"/>
    <s v="Egypt"/>
    <x v="34"/>
    <x v="167"/>
    <x v="167"/>
    <m/>
    <m/>
    <s v="Break 30 Morning"/>
    <d v="1899-12-30T14:45:00"/>
    <d v="1899-12-30T15:15:00"/>
    <n v="0"/>
    <x v="1"/>
  </r>
  <r>
    <x v="0"/>
    <s v="Egypt"/>
    <x v="34"/>
    <x v="167"/>
    <x v="167"/>
    <d v="2025-06-20T00:00:00"/>
    <m/>
    <s v="Day Off"/>
    <m/>
    <m/>
    <n v="0"/>
    <x v="1"/>
  </r>
  <r>
    <x v="0"/>
    <s v="Egypt"/>
    <x v="34"/>
    <x v="167"/>
    <x v="167"/>
    <d v="2025-06-21T00:00:00"/>
    <m/>
    <s v="Day Off"/>
    <m/>
    <m/>
    <n v="0"/>
    <x v="1"/>
  </r>
  <r>
    <x v="0"/>
    <s v="Egypt"/>
    <x v="34"/>
    <x v="167"/>
    <x v="167"/>
    <d v="2025-06-22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3:15:00"/>
    <d v="1899-12-30T13:30:00"/>
    <n v="0"/>
    <x v="1"/>
  </r>
  <r>
    <x v="0"/>
    <s v="Egypt"/>
    <x v="34"/>
    <x v="167"/>
    <x v="167"/>
    <m/>
    <m/>
    <s v="Break 30 Morning"/>
    <d v="1899-12-30T16:15:00"/>
    <d v="1899-12-30T16:45:00"/>
    <n v="0"/>
    <x v="1"/>
  </r>
  <r>
    <x v="0"/>
    <s v="Egypt"/>
    <x v="34"/>
    <x v="167"/>
    <x v="167"/>
    <d v="2025-06-23T00:00:00"/>
    <d v="1899-12-30T08:15:00"/>
    <s v="Annual Exception"/>
    <m/>
    <m/>
    <n v="29700"/>
    <x v="1"/>
  </r>
  <r>
    <x v="0"/>
    <s v="Egypt"/>
    <x v="34"/>
    <x v="167"/>
    <x v="167"/>
    <d v="2025-06-24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4:00:00"/>
    <d v="1899-12-30T14:15:00"/>
    <n v="0"/>
    <x v="1"/>
  </r>
  <r>
    <x v="0"/>
    <s v="Egypt"/>
    <x v="34"/>
    <x v="167"/>
    <x v="167"/>
    <m/>
    <m/>
    <s v="Break 30 Morning"/>
    <d v="1899-12-30T17:15:00"/>
    <d v="1899-12-30T17:45:00"/>
    <n v="0"/>
    <x v="1"/>
  </r>
  <r>
    <x v="0"/>
    <s v="Egypt"/>
    <x v="34"/>
    <x v="167"/>
    <x v="167"/>
    <d v="2025-06-25T00:00:00"/>
    <m/>
    <s v="Day Off"/>
    <m/>
    <m/>
    <n v="0"/>
    <x v="1"/>
  </r>
  <r>
    <x v="0"/>
    <s v="Egypt"/>
    <x v="34"/>
    <x v="167"/>
    <x v="167"/>
    <d v="2025-06-26T00:00:00"/>
    <m/>
    <s v="Day Off"/>
    <m/>
    <m/>
    <n v="0"/>
    <x v="1"/>
  </r>
  <r>
    <x v="0"/>
    <s v="Egypt"/>
    <x v="34"/>
    <x v="167"/>
    <x v="167"/>
    <d v="2025-06-27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4:15:00"/>
    <d v="1899-12-30T14:30:00"/>
    <n v="0"/>
    <x v="1"/>
  </r>
  <r>
    <x v="0"/>
    <s v="Egypt"/>
    <x v="34"/>
    <x v="167"/>
    <x v="167"/>
    <m/>
    <m/>
    <s v="Break 30 Morning"/>
    <d v="1899-12-30T17:45:00"/>
    <d v="1899-12-30T18:15:00"/>
    <n v="0"/>
    <x v="1"/>
  </r>
  <r>
    <x v="0"/>
    <s v="Egypt"/>
    <x v="34"/>
    <x v="167"/>
    <x v="167"/>
    <d v="2025-06-28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4:00:00"/>
    <d v="1899-12-30T14:15:00"/>
    <n v="0"/>
    <x v="1"/>
  </r>
  <r>
    <x v="0"/>
    <s v="Egypt"/>
    <x v="34"/>
    <x v="167"/>
    <x v="167"/>
    <m/>
    <m/>
    <s v="Break 30 Morning"/>
    <d v="1899-12-30T17:15:00"/>
    <d v="1899-12-30T17:45:00"/>
    <n v="0"/>
    <x v="1"/>
  </r>
  <r>
    <x v="0"/>
    <s v="Egypt"/>
    <x v="34"/>
    <x v="167"/>
    <x v="167"/>
    <d v="2025-06-29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3:30:00"/>
    <d v="1899-12-30T13:45:00"/>
    <n v="0"/>
    <x v="1"/>
  </r>
  <r>
    <x v="0"/>
    <s v="Egypt"/>
    <x v="34"/>
    <x v="167"/>
    <x v="167"/>
    <m/>
    <m/>
    <s v="Break 30 Morning"/>
    <d v="1899-12-30T16:45:00"/>
    <d v="1899-12-30T17:15:00"/>
    <n v="0"/>
    <x v="1"/>
  </r>
  <r>
    <x v="0"/>
    <s v="Egypt"/>
    <x v="34"/>
    <x v="167"/>
    <x v="167"/>
    <d v="2025-06-30T00:00:00"/>
    <d v="1899-12-30T08:15:00"/>
    <s v="Non Telecom Assyot"/>
    <d v="1899-12-30T11:00:00"/>
    <d v="1899-12-30T19:15:00"/>
    <n v="29700"/>
    <x v="0"/>
  </r>
  <r>
    <x v="0"/>
    <s v="Egypt"/>
    <x v="34"/>
    <x v="167"/>
    <x v="167"/>
    <m/>
    <m/>
    <s v="Break 15 Morning"/>
    <d v="1899-12-30T13:45:00"/>
    <d v="1899-12-30T14:00:00"/>
    <n v="0"/>
    <x v="1"/>
  </r>
  <r>
    <x v="0"/>
    <s v="Egypt"/>
    <x v="34"/>
    <x v="167"/>
    <x v="167"/>
    <m/>
    <m/>
    <s v="Break 30 Morning"/>
    <d v="1899-12-30T16:45:00"/>
    <d v="1899-12-30T17:15:00"/>
    <n v="0"/>
    <x v="1"/>
  </r>
  <r>
    <x v="0"/>
    <s v="Egypt"/>
    <x v="34"/>
    <x v="168"/>
    <x v="168"/>
    <d v="2025-06-01T00:00:00"/>
    <m/>
    <s v="Day Off"/>
    <m/>
    <m/>
    <n v="0"/>
    <x v="1"/>
  </r>
  <r>
    <x v="0"/>
    <s v="Egypt"/>
    <x v="34"/>
    <x v="168"/>
    <x v="168"/>
    <d v="2025-06-02T00:00:00"/>
    <m/>
    <s v="Day Off"/>
    <m/>
    <m/>
    <n v="0"/>
    <x v="1"/>
  </r>
  <r>
    <x v="0"/>
    <s v="Egypt"/>
    <x v="34"/>
    <x v="168"/>
    <x v="168"/>
    <d v="2025-06-03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30:00"/>
    <d v="1899-12-30T12:45:00"/>
    <n v="0"/>
    <x v="1"/>
  </r>
  <r>
    <x v="0"/>
    <s v="Egypt"/>
    <x v="34"/>
    <x v="168"/>
    <x v="168"/>
    <m/>
    <m/>
    <s v="Break 30 Morning"/>
    <d v="1899-12-30T15:45:00"/>
    <d v="1899-12-30T16:15:00"/>
    <n v="0"/>
    <x v="1"/>
  </r>
  <r>
    <x v="0"/>
    <s v="Egypt"/>
    <x v="34"/>
    <x v="168"/>
    <x v="168"/>
    <d v="2025-06-04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00:00"/>
    <d v="1899-12-30T12:15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05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15:00"/>
    <d v="1899-12-30T12:30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06T00:00:00"/>
    <d v="1899-12-30T08:15:00"/>
    <s v="Public holiday"/>
    <m/>
    <m/>
    <n v="29700"/>
    <x v="1"/>
  </r>
  <r>
    <x v="0"/>
    <s v="Egypt"/>
    <x v="34"/>
    <x v="168"/>
    <x v="168"/>
    <d v="2025-06-07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1:45:00"/>
    <d v="1899-12-30T12:00:00"/>
    <n v="0"/>
    <x v="1"/>
  </r>
  <r>
    <x v="0"/>
    <s v="Egypt"/>
    <x v="34"/>
    <x v="168"/>
    <x v="168"/>
    <m/>
    <m/>
    <s v="Break 30 Morning"/>
    <d v="1899-12-30T15:30:00"/>
    <d v="1899-12-30T16:00:00"/>
    <n v="0"/>
    <x v="1"/>
  </r>
  <r>
    <x v="0"/>
    <s v="Egypt"/>
    <x v="34"/>
    <x v="168"/>
    <x v="168"/>
    <d v="2025-06-08T00:00:00"/>
    <m/>
    <s v="Day Off"/>
    <m/>
    <m/>
    <n v="0"/>
    <x v="1"/>
  </r>
  <r>
    <x v="0"/>
    <s v="Egypt"/>
    <x v="34"/>
    <x v="168"/>
    <x v="168"/>
    <d v="2025-06-09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00:00"/>
    <d v="1899-12-30T12:15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10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00:00"/>
    <d v="1899-12-30T12:15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11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00:00"/>
    <d v="1899-12-30T12:15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12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15:00"/>
    <d v="1899-12-30T12:30:00"/>
    <n v="0"/>
    <x v="1"/>
  </r>
  <r>
    <x v="0"/>
    <s v="Egypt"/>
    <x v="34"/>
    <x v="168"/>
    <x v="168"/>
    <m/>
    <m/>
    <s v="Break 30 Morning"/>
    <d v="1899-12-30T14:45:00"/>
    <d v="1899-12-30T15:15:00"/>
    <n v="0"/>
    <x v="1"/>
  </r>
  <r>
    <x v="0"/>
    <s v="Egypt"/>
    <x v="34"/>
    <x v="168"/>
    <x v="168"/>
    <d v="2025-06-13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00:00"/>
    <d v="1899-12-30T12:15:00"/>
    <n v="0"/>
    <x v="1"/>
  </r>
  <r>
    <x v="0"/>
    <s v="Egypt"/>
    <x v="34"/>
    <x v="168"/>
    <x v="168"/>
    <m/>
    <m/>
    <s v="Break 30 Morning"/>
    <d v="1899-12-30T15:00:00"/>
    <d v="1899-12-30T15:30:00"/>
    <n v="0"/>
    <x v="1"/>
  </r>
  <r>
    <x v="0"/>
    <s v="Egypt"/>
    <x v="34"/>
    <x v="168"/>
    <x v="168"/>
    <d v="2025-06-14T00:00:00"/>
    <m/>
    <s v="Day Off"/>
    <m/>
    <m/>
    <n v="0"/>
    <x v="1"/>
  </r>
  <r>
    <x v="0"/>
    <s v="Egypt"/>
    <x v="34"/>
    <x v="168"/>
    <x v="168"/>
    <d v="2025-06-15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3:45:00"/>
    <d v="1899-12-30T14:0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16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15:00"/>
    <d v="1899-12-30T12:30:00"/>
    <n v="0"/>
    <x v="1"/>
  </r>
  <r>
    <x v="0"/>
    <s v="Egypt"/>
    <x v="34"/>
    <x v="168"/>
    <x v="168"/>
    <m/>
    <m/>
    <s v="Break 30 Morning"/>
    <d v="1899-12-30T14:45:00"/>
    <d v="1899-12-30T15:15:00"/>
    <n v="0"/>
    <x v="1"/>
  </r>
  <r>
    <x v="0"/>
    <s v="Egypt"/>
    <x v="34"/>
    <x v="168"/>
    <x v="168"/>
    <d v="2025-06-17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3:30:00"/>
    <d v="1899-12-30T13:45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18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4:15:00"/>
    <d v="1899-12-30T14:3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19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4:15:00"/>
    <d v="1899-12-30T14:3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20T00:00:00"/>
    <m/>
    <s v="Day Off"/>
    <m/>
    <m/>
    <n v="0"/>
    <x v="1"/>
  </r>
  <r>
    <x v="0"/>
    <s v="Egypt"/>
    <x v="34"/>
    <x v="168"/>
    <x v="168"/>
    <d v="2025-06-21T00:00:00"/>
    <m/>
    <s v="Day Off"/>
    <m/>
    <m/>
    <n v="0"/>
    <x v="1"/>
  </r>
  <r>
    <x v="0"/>
    <s v="Egypt"/>
    <x v="34"/>
    <x v="168"/>
    <x v="168"/>
    <d v="2025-06-22T00:00:00"/>
    <d v="1899-12-30T08:15:00"/>
    <s v="Annual Exception"/>
    <m/>
    <m/>
    <n v="29700"/>
    <x v="1"/>
  </r>
  <r>
    <x v="0"/>
    <s v="Egypt"/>
    <x v="34"/>
    <x v="168"/>
    <x v="168"/>
    <d v="2025-06-23T00:00:00"/>
    <d v="1899-12-30T08:15:00"/>
    <s v="Annual Exception"/>
    <m/>
    <m/>
    <n v="29700"/>
    <x v="1"/>
  </r>
  <r>
    <x v="0"/>
    <s v="Egypt"/>
    <x v="34"/>
    <x v="168"/>
    <x v="168"/>
    <d v="2025-06-24T00:00:00"/>
    <d v="1899-12-30T08:15:00"/>
    <s v="Non Telecom Assyot"/>
    <d v="1899-12-30T09:00:00"/>
    <d v="1899-12-30T17:15:00"/>
    <n v="29700"/>
    <x v="0"/>
  </r>
  <r>
    <x v="0"/>
    <s v="Egypt"/>
    <x v="34"/>
    <x v="168"/>
    <x v="168"/>
    <m/>
    <m/>
    <s v="Break 15 Morning"/>
    <d v="1899-12-30T12:15:00"/>
    <d v="1899-12-30T12:30:00"/>
    <n v="0"/>
    <x v="1"/>
  </r>
  <r>
    <x v="0"/>
    <s v="Egypt"/>
    <x v="34"/>
    <x v="168"/>
    <x v="168"/>
    <m/>
    <m/>
    <s v="Break 30 Morning"/>
    <d v="1899-12-30T15:15:00"/>
    <d v="1899-12-30T15:45:00"/>
    <n v="0"/>
    <x v="1"/>
  </r>
  <r>
    <x v="0"/>
    <s v="Egypt"/>
    <x v="34"/>
    <x v="168"/>
    <x v="168"/>
    <d v="2025-06-25T00:00:00"/>
    <d v="1899-12-30T08:15:00"/>
    <s v="Annual Exception"/>
    <m/>
    <m/>
    <n v="29700"/>
    <x v="1"/>
  </r>
  <r>
    <x v="0"/>
    <s v="Egypt"/>
    <x v="34"/>
    <x v="168"/>
    <x v="168"/>
    <d v="2025-06-26T00:00:00"/>
    <m/>
    <s v="Day Off"/>
    <m/>
    <m/>
    <n v="0"/>
    <x v="1"/>
  </r>
  <r>
    <x v="0"/>
    <s v="Egypt"/>
    <x v="34"/>
    <x v="168"/>
    <x v="168"/>
    <d v="2025-06-27T00:00:00"/>
    <m/>
    <s v="Day Off"/>
    <m/>
    <m/>
    <n v="0"/>
    <x v="1"/>
  </r>
  <r>
    <x v="0"/>
    <s v="Egypt"/>
    <x v="34"/>
    <x v="168"/>
    <x v="168"/>
    <d v="2025-06-28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4:15:00"/>
    <d v="1899-12-30T14:3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29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3:45:00"/>
    <d v="1899-12-30T14:0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8"/>
    <x v="168"/>
    <d v="2025-06-30T00:00:00"/>
    <d v="1899-12-30T08:15:00"/>
    <s v="Non Telecom Assyot"/>
    <d v="1899-12-30T11:00:00"/>
    <d v="1899-12-30T19:15:00"/>
    <n v="29700"/>
    <x v="0"/>
  </r>
  <r>
    <x v="0"/>
    <s v="Egypt"/>
    <x v="34"/>
    <x v="168"/>
    <x v="168"/>
    <m/>
    <m/>
    <s v="Break 15 Morning"/>
    <d v="1899-12-30T14:15:00"/>
    <d v="1899-12-30T14:30:00"/>
    <n v="0"/>
    <x v="1"/>
  </r>
  <r>
    <x v="0"/>
    <s v="Egypt"/>
    <x v="34"/>
    <x v="168"/>
    <x v="168"/>
    <m/>
    <m/>
    <s v="Break 30 Morning"/>
    <d v="1899-12-30T17:15:00"/>
    <d v="1899-12-30T17:45:00"/>
    <n v="0"/>
    <x v="1"/>
  </r>
  <r>
    <x v="0"/>
    <s v="Egypt"/>
    <x v="34"/>
    <x v="169"/>
    <x v="169"/>
    <d v="2025-06-01T00:00:00"/>
    <m/>
    <s v="Day Off"/>
    <m/>
    <m/>
    <n v="0"/>
    <x v="1"/>
  </r>
  <r>
    <x v="0"/>
    <s v="Egypt"/>
    <x v="34"/>
    <x v="169"/>
    <x v="169"/>
    <d v="2025-06-02T00:00:00"/>
    <m/>
    <s v="Day Off"/>
    <m/>
    <m/>
    <n v="0"/>
    <x v="1"/>
  </r>
  <r>
    <x v="0"/>
    <s v="Egypt"/>
    <x v="34"/>
    <x v="169"/>
    <x v="169"/>
    <d v="2025-06-03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30:00"/>
    <d v="1899-12-30T14:45:00"/>
    <n v="0"/>
    <x v="1"/>
  </r>
  <r>
    <x v="0"/>
    <s v="Egypt"/>
    <x v="34"/>
    <x v="169"/>
    <x v="169"/>
    <m/>
    <m/>
    <s v="Break 30 Morning"/>
    <d v="1899-12-30T17:45:00"/>
    <d v="1899-12-30T18:15:00"/>
    <n v="0"/>
    <x v="1"/>
  </r>
  <r>
    <x v="0"/>
    <s v="Egypt"/>
    <x v="34"/>
    <x v="169"/>
    <x v="169"/>
    <d v="2025-06-04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00:00"/>
    <d v="1899-12-30T14:15:00"/>
    <n v="0"/>
    <x v="1"/>
  </r>
  <r>
    <x v="0"/>
    <s v="Egypt"/>
    <x v="34"/>
    <x v="169"/>
    <x v="169"/>
    <m/>
    <m/>
    <s v="Break 30 Morning"/>
    <d v="1899-12-30T17:15:00"/>
    <d v="1899-12-30T17:45:00"/>
    <n v="0"/>
    <x v="1"/>
  </r>
  <r>
    <x v="0"/>
    <s v="Egypt"/>
    <x v="34"/>
    <x v="169"/>
    <x v="169"/>
    <d v="2025-06-05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15:00"/>
    <d v="1899-12-30T14:30:00"/>
    <n v="0"/>
    <x v="1"/>
  </r>
  <r>
    <x v="0"/>
    <s v="Egypt"/>
    <x v="34"/>
    <x v="169"/>
    <x v="169"/>
    <m/>
    <m/>
    <s v="Break 30 Morning"/>
    <d v="1899-12-30T17:45:00"/>
    <d v="1899-12-30T18:15:00"/>
    <n v="0"/>
    <x v="1"/>
  </r>
  <r>
    <x v="0"/>
    <s v="Egypt"/>
    <x v="34"/>
    <x v="169"/>
    <x v="169"/>
    <d v="2025-06-06T00:00:00"/>
    <d v="1899-12-30T08:15:00"/>
    <s v="Public holiday"/>
    <m/>
    <m/>
    <n v="29700"/>
    <x v="1"/>
  </r>
  <r>
    <x v="0"/>
    <s v="Egypt"/>
    <x v="34"/>
    <x v="169"/>
    <x v="169"/>
    <d v="2025-06-07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1:45:00"/>
    <d v="1899-12-30T12:00:00"/>
    <n v="0"/>
    <x v="1"/>
  </r>
  <r>
    <x v="0"/>
    <s v="Egypt"/>
    <x v="34"/>
    <x v="169"/>
    <x v="169"/>
    <m/>
    <m/>
    <s v="Break 30 Morning"/>
    <d v="1899-12-30T15:45:00"/>
    <d v="1899-12-30T16:15:00"/>
    <n v="0"/>
    <x v="1"/>
  </r>
  <r>
    <x v="0"/>
    <s v="Egypt"/>
    <x v="34"/>
    <x v="169"/>
    <x v="169"/>
    <d v="2025-06-08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2:30:00"/>
    <d v="1899-12-30T12:45:00"/>
    <n v="0"/>
    <x v="1"/>
  </r>
  <r>
    <x v="0"/>
    <s v="Egypt"/>
    <x v="34"/>
    <x v="169"/>
    <x v="169"/>
    <m/>
    <m/>
    <s v="Break 30 Morning"/>
    <d v="1899-12-30T15:45:00"/>
    <d v="1899-12-30T16:15:00"/>
    <n v="0"/>
    <x v="1"/>
  </r>
  <r>
    <x v="0"/>
    <s v="Egypt"/>
    <x v="34"/>
    <x v="169"/>
    <x v="169"/>
    <d v="2025-06-09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2:00:00"/>
    <d v="1899-12-30T12:15:00"/>
    <n v="0"/>
    <x v="1"/>
  </r>
  <r>
    <x v="0"/>
    <s v="Egypt"/>
    <x v="34"/>
    <x v="169"/>
    <x v="169"/>
    <m/>
    <m/>
    <s v="Break 30 Morning"/>
    <d v="1899-12-30T15:15:00"/>
    <d v="1899-12-30T15:45:00"/>
    <n v="0"/>
    <x v="1"/>
  </r>
  <r>
    <x v="0"/>
    <s v="Egypt"/>
    <x v="34"/>
    <x v="169"/>
    <x v="169"/>
    <d v="2025-06-10T00:00:00"/>
    <m/>
    <s v="Day Off"/>
    <m/>
    <m/>
    <n v="0"/>
    <x v="1"/>
  </r>
  <r>
    <x v="0"/>
    <s v="Egypt"/>
    <x v="34"/>
    <x v="169"/>
    <x v="169"/>
    <d v="2025-06-11T00:00:00"/>
    <m/>
    <s v="Day Off"/>
    <m/>
    <m/>
    <n v="0"/>
    <x v="1"/>
  </r>
  <r>
    <x v="0"/>
    <s v="Egypt"/>
    <x v="34"/>
    <x v="169"/>
    <x v="169"/>
    <d v="2025-06-12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2:30:00"/>
    <d v="1899-12-30T12:45:00"/>
    <n v="0"/>
    <x v="1"/>
  </r>
  <r>
    <x v="0"/>
    <s v="Egypt"/>
    <x v="34"/>
    <x v="169"/>
    <x v="169"/>
    <m/>
    <m/>
    <s v="Break 30 Morning"/>
    <d v="1899-12-30T15:15:00"/>
    <d v="1899-12-30T15:45:00"/>
    <n v="0"/>
    <x v="1"/>
  </r>
  <r>
    <x v="0"/>
    <s v="Egypt"/>
    <x v="34"/>
    <x v="169"/>
    <x v="169"/>
    <d v="2025-06-13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2:15:00"/>
    <d v="1899-12-30T12:30:00"/>
    <n v="0"/>
    <x v="1"/>
  </r>
  <r>
    <x v="0"/>
    <s v="Egypt"/>
    <x v="34"/>
    <x v="169"/>
    <x v="169"/>
    <m/>
    <m/>
    <s v="Break 30 Morning"/>
    <d v="1899-12-30T15:00:00"/>
    <d v="1899-12-30T15:30:00"/>
    <n v="0"/>
    <x v="1"/>
  </r>
  <r>
    <x v="0"/>
    <s v="Egypt"/>
    <x v="34"/>
    <x v="169"/>
    <x v="169"/>
    <d v="2025-06-14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3:15:00"/>
    <d v="1899-12-30T13:30:00"/>
    <n v="0"/>
    <x v="1"/>
  </r>
  <r>
    <x v="0"/>
    <s v="Egypt"/>
    <x v="34"/>
    <x v="169"/>
    <x v="169"/>
    <m/>
    <m/>
    <s v="Break 30 Morning"/>
    <d v="1899-12-30T16:15:00"/>
    <d v="1899-12-30T16:45:00"/>
    <n v="0"/>
    <x v="1"/>
  </r>
  <r>
    <x v="0"/>
    <s v="Egypt"/>
    <x v="34"/>
    <x v="169"/>
    <x v="169"/>
    <d v="2025-06-15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15:00"/>
    <d v="1899-12-30T14:30:00"/>
    <n v="0"/>
    <x v="1"/>
  </r>
  <r>
    <x v="0"/>
    <s v="Egypt"/>
    <x v="34"/>
    <x v="169"/>
    <x v="169"/>
    <m/>
    <m/>
    <s v="Break 30 Morning"/>
    <d v="1899-12-30T17:45:00"/>
    <d v="1899-12-30T18:15:00"/>
    <n v="0"/>
    <x v="1"/>
  </r>
  <r>
    <x v="0"/>
    <s v="Egypt"/>
    <x v="34"/>
    <x v="169"/>
    <x v="169"/>
    <d v="2025-06-16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00:00"/>
    <d v="1899-12-30T14:15:00"/>
    <n v="0"/>
    <x v="1"/>
  </r>
  <r>
    <x v="0"/>
    <s v="Egypt"/>
    <x v="34"/>
    <x v="169"/>
    <x v="169"/>
    <m/>
    <m/>
    <s v="Break 30 Morning"/>
    <d v="1899-12-30T17:00:00"/>
    <d v="1899-12-30T17:30:00"/>
    <n v="0"/>
    <x v="1"/>
  </r>
  <r>
    <x v="0"/>
    <s v="Egypt"/>
    <x v="34"/>
    <x v="169"/>
    <x v="169"/>
    <d v="2025-06-17T00:00:00"/>
    <m/>
    <s v="Day Off"/>
    <m/>
    <m/>
    <n v="0"/>
    <x v="1"/>
  </r>
  <r>
    <x v="0"/>
    <s v="Egypt"/>
    <x v="34"/>
    <x v="169"/>
    <x v="169"/>
    <d v="2025-06-18T00:00:00"/>
    <m/>
    <s v="Day Off"/>
    <m/>
    <m/>
    <n v="0"/>
    <x v="1"/>
  </r>
  <r>
    <x v="0"/>
    <s v="Egypt"/>
    <x v="34"/>
    <x v="169"/>
    <x v="169"/>
    <d v="2025-06-19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30:00"/>
    <d v="1899-12-30T14:45:00"/>
    <n v="0"/>
    <x v="1"/>
  </r>
  <r>
    <x v="0"/>
    <s v="Egypt"/>
    <x v="34"/>
    <x v="169"/>
    <x v="169"/>
    <m/>
    <m/>
    <s v="Break 30 Morning"/>
    <d v="1899-12-30T17:15:00"/>
    <d v="1899-12-30T17:45:00"/>
    <n v="0"/>
    <x v="1"/>
  </r>
  <r>
    <x v="0"/>
    <s v="Egypt"/>
    <x v="34"/>
    <x v="169"/>
    <x v="169"/>
    <d v="2025-06-20T00:00:00"/>
    <d v="1899-12-30T08:15:00"/>
    <s v="Annual Exception"/>
    <m/>
    <m/>
    <n v="29700"/>
    <x v="1"/>
  </r>
  <r>
    <x v="0"/>
    <s v="Egypt"/>
    <x v="34"/>
    <x v="169"/>
    <x v="169"/>
    <d v="2025-06-21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1:30:00"/>
    <d v="1899-12-30T11:45:00"/>
    <n v="0"/>
    <x v="1"/>
  </r>
  <r>
    <x v="0"/>
    <s v="Egypt"/>
    <x v="34"/>
    <x v="169"/>
    <x v="169"/>
    <m/>
    <m/>
    <s v="Break 30 Morning"/>
    <d v="1899-12-30T14:15:00"/>
    <d v="1899-12-30T14:45:00"/>
    <n v="0"/>
    <x v="1"/>
  </r>
  <r>
    <x v="0"/>
    <s v="Egypt"/>
    <x v="34"/>
    <x v="169"/>
    <x v="169"/>
    <d v="2025-06-22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1:15:00"/>
    <d v="1899-12-30T11:30:00"/>
    <n v="0"/>
    <x v="1"/>
  </r>
  <r>
    <x v="0"/>
    <s v="Egypt"/>
    <x v="34"/>
    <x v="169"/>
    <x v="169"/>
    <m/>
    <m/>
    <s v="Break 30 Morning"/>
    <d v="1899-12-30T14:15:00"/>
    <d v="1899-12-30T14:45:00"/>
    <n v="0"/>
    <x v="1"/>
  </r>
  <r>
    <x v="0"/>
    <s v="Egypt"/>
    <x v="34"/>
    <x v="169"/>
    <x v="169"/>
    <d v="2025-06-23T00:00:00"/>
    <d v="1899-12-30T08:15:00"/>
    <s v="Annual Exception"/>
    <m/>
    <m/>
    <n v="29700"/>
    <x v="1"/>
  </r>
  <r>
    <x v="0"/>
    <s v="Egypt"/>
    <x v="34"/>
    <x v="169"/>
    <x v="169"/>
    <d v="2025-06-24T00:00:00"/>
    <m/>
    <s v="Day Off"/>
    <m/>
    <m/>
    <n v="0"/>
    <x v="1"/>
  </r>
  <r>
    <x v="0"/>
    <s v="Egypt"/>
    <x v="34"/>
    <x v="169"/>
    <x v="169"/>
    <d v="2025-06-25T00:00:00"/>
    <m/>
    <s v="Day Off"/>
    <m/>
    <m/>
    <n v="0"/>
    <x v="1"/>
  </r>
  <r>
    <x v="0"/>
    <s v="Egypt"/>
    <x v="34"/>
    <x v="169"/>
    <x v="169"/>
    <d v="2025-06-26T00:00:00"/>
    <d v="1899-12-30T08:15:00"/>
    <s v="Public holiday"/>
    <m/>
    <m/>
    <n v="29700"/>
    <x v="1"/>
  </r>
  <r>
    <x v="0"/>
    <s v="Egypt"/>
    <x v="34"/>
    <x v="169"/>
    <x v="169"/>
    <d v="2025-06-27T00:00:00"/>
    <d v="1899-12-30T08:15:00"/>
    <s v="Non Telecom Assyot"/>
    <d v="1899-12-30T09:00:00"/>
    <d v="1899-12-30T17:15:00"/>
    <n v="29700"/>
    <x v="0"/>
  </r>
  <r>
    <x v="0"/>
    <s v="Egypt"/>
    <x v="34"/>
    <x v="169"/>
    <x v="169"/>
    <m/>
    <m/>
    <s v="Break 15 Morning"/>
    <d v="1899-12-30T12:30:00"/>
    <d v="1899-12-30T12:45:00"/>
    <n v="0"/>
    <x v="1"/>
  </r>
  <r>
    <x v="0"/>
    <s v="Egypt"/>
    <x v="34"/>
    <x v="169"/>
    <x v="169"/>
    <m/>
    <m/>
    <s v="Break 30 Morning"/>
    <d v="1899-12-30T14:30:00"/>
    <d v="1899-12-30T15:00:00"/>
    <n v="0"/>
    <x v="1"/>
  </r>
  <r>
    <x v="0"/>
    <s v="Egypt"/>
    <x v="34"/>
    <x v="169"/>
    <x v="169"/>
    <d v="2025-06-28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15:00"/>
    <d v="1899-12-30T14:30:00"/>
    <n v="0"/>
    <x v="1"/>
  </r>
  <r>
    <x v="0"/>
    <s v="Egypt"/>
    <x v="34"/>
    <x v="169"/>
    <x v="169"/>
    <m/>
    <m/>
    <s v="Break 30 Morning"/>
    <d v="1899-12-30T17:30:00"/>
    <d v="1899-12-30T18:00:00"/>
    <n v="0"/>
    <x v="1"/>
  </r>
  <r>
    <x v="0"/>
    <s v="Egypt"/>
    <x v="34"/>
    <x v="169"/>
    <x v="169"/>
    <d v="2025-06-29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2:30:00"/>
    <d v="1899-12-30T12:45:00"/>
    <n v="0"/>
    <x v="1"/>
  </r>
  <r>
    <x v="0"/>
    <s v="Egypt"/>
    <x v="34"/>
    <x v="169"/>
    <x v="169"/>
    <m/>
    <m/>
    <s v="Break 30 Morning"/>
    <d v="1899-12-30T14:30:00"/>
    <d v="1899-12-30T15:00:00"/>
    <n v="0"/>
    <x v="1"/>
  </r>
  <r>
    <x v="0"/>
    <s v="Egypt"/>
    <x v="34"/>
    <x v="169"/>
    <x v="169"/>
    <d v="2025-06-30T00:00:00"/>
    <d v="1899-12-30T08:15:00"/>
    <s v="Non Telecom Assyot"/>
    <d v="1899-12-30T11:00:00"/>
    <d v="1899-12-30T19:15:00"/>
    <n v="29700"/>
    <x v="0"/>
  </r>
  <r>
    <x v="0"/>
    <s v="Egypt"/>
    <x v="34"/>
    <x v="169"/>
    <x v="169"/>
    <m/>
    <m/>
    <s v="Break 15 Morning"/>
    <d v="1899-12-30T14:30:00"/>
    <d v="1899-12-30T14:45:00"/>
    <n v="0"/>
    <x v="1"/>
  </r>
  <r>
    <x v="0"/>
    <s v="Egypt"/>
    <x v="34"/>
    <x v="169"/>
    <x v="169"/>
    <m/>
    <m/>
    <s v="Break 30 Morning"/>
    <d v="1899-12-30T17:15:00"/>
    <d v="1899-12-30T17:45:00"/>
    <n v="0"/>
    <x v="1"/>
  </r>
  <r>
    <x v="0"/>
    <s v="Egypt"/>
    <x v="34"/>
    <x v="170"/>
    <x v="170"/>
    <d v="2025-06-01T00:00:00"/>
    <m/>
    <s v="Day Off"/>
    <m/>
    <m/>
    <n v="0"/>
    <x v="1"/>
  </r>
  <r>
    <x v="0"/>
    <s v="Egypt"/>
    <x v="34"/>
    <x v="170"/>
    <x v="170"/>
    <d v="2025-06-02T00:00:00"/>
    <m/>
    <s v="Day Off"/>
    <m/>
    <m/>
    <n v="0"/>
    <x v="1"/>
  </r>
  <r>
    <x v="0"/>
    <s v="Egypt"/>
    <x v="34"/>
    <x v="170"/>
    <x v="170"/>
    <d v="2025-06-03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30:00"/>
    <d v="1899-12-30T14:45:00"/>
    <n v="0"/>
    <x v="1"/>
  </r>
  <r>
    <x v="0"/>
    <s v="Egypt"/>
    <x v="34"/>
    <x v="170"/>
    <x v="170"/>
    <m/>
    <m/>
    <s v="Break 30 Morning"/>
    <d v="1899-12-30T17:45:00"/>
    <d v="1899-12-30T18:15:00"/>
    <n v="0"/>
    <x v="1"/>
  </r>
  <r>
    <x v="0"/>
    <s v="Egypt"/>
    <x v="34"/>
    <x v="170"/>
    <x v="170"/>
    <d v="2025-06-04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15:00"/>
    <d v="1899-12-30T14:30:00"/>
    <n v="0"/>
    <x v="1"/>
  </r>
  <r>
    <x v="0"/>
    <s v="Egypt"/>
    <x v="34"/>
    <x v="170"/>
    <x v="170"/>
    <m/>
    <m/>
    <s v="Break 30 Morning"/>
    <d v="1899-12-30T17:15:00"/>
    <d v="1899-12-30T17:45:00"/>
    <n v="0"/>
    <x v="1"/>
  </r>
  <r>
    <x v="0"/>
    <s v="Egypt"/>
    <x v="34"/>
    <x v="170"/>
    <x v="170"/>
    <d v="2025-06-05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30:00"/>
    <d v="1899-12-30T14:45:00"/>
    <n v="0"/>
    <x v="1"/>
  </r>
  <r>
    <x v="0"/>
    <s v="Egypt"/>
    <x v="34"/>
    <x v="170"/>
    <x v="170"/>
    <m/>
    <m/>
    <s v="Break 30 Morning"/>
    <d v="1899-12-30T17:45:00"/>
    <d v="1899-12-30T18:15:00"/>
    <n v="0"/>
    <x v="1"/>
  </r>
  <r>
    <x v="0"/>
    <s v="Egypt"/>
    <x v="34"/>
    <x v="170"/>
    <x v="170"/>
    <d v="2025-06-06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15:00"/>
    <d v="1899-12-30T14:30:00"/>
    <n v="0"/>
    <x v="1"/>
  </r>
  <r>
    <x v="0"/>
    <s v="Egypt"/>
    <x v="34"/>
    <x v="170"/>
    <x v="170"/>
    <m/>
    <m/>
    <s v="Break 30 Morning"/>
    <d v="1899-12-30T17:15:00"/>
    <d v="1899-12-30T17:45:00"/>
    <n v="0"/>
    <x v="1"/>
  </r>
  <r>
    <x v="0"/>
    <s v="Egypt"/>
    <x v="34"/>
    <x v="170"/>
    <x v="170"/>
    <d v="2025-06-07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30:00"/>
    <d v="1899-12-30T14:45:00"/>
    <n v="0"/>
    <x v="1"/>
  </r>
  <r>
    <x v="0"/>
    <s v="Egypt"/>
    <x v="34"/>
    <x v="170"/>
    <x v="170"/>
    <m/>
    <m/>
    <s v="Break 30 Morning"/>
    <d v="1899-12-30T17:45:00"/>
    <d v="1899-12-30T18:15:00"/>
    <n v="0"/>
    <x v="1"/>
  </r>
  <r>
    <x v="0"/>
    <s v="Egypt"/>
    <x v="34"/>
    <x v="170"/>
    <x v="170"/>
    <d v="2025-06-08T00:00:00"/>
    <m/>
    <s v="Day Off"/>
    <m/>
    <m/>
    <n v="0"/>
    <x v="1"/>
  </r>
  <r>
    <x v="0"/>
    <s v="Egypt"/>
    <x v="34"/>
    <x v="170"/>
    <x v="170"/>
    <d v="2025-06-09T00:00:00"/>
    <d v="1899-12-30T08:15:00"/>
    <s v="Non Telecom Assyot"/>
    <d v="1899-12-30T09:00:00"/>
    <d v="1899-12-30T17:15:00"/>
    <n v="29700"/>
    <x v="0"/>
  </r>
  <r>
    <x v="0"/>
    <s v="Egypt"/>
    <x v="34"/>
    <x v="170"/>
    <x v="170"/>
    <m/>
    <m/>
    <s v="Break 15 Morning"/>
    <d v="1899-12-30T12:15:00"/>
    <d v="1899-12-30T12:30:00"/>
    <n v="0"/>
    <x v="1"/>
  </r>
  <r>
    <x v="0"/>
    <s v="Egypt"/>
    <x v="34"/>
    <x v="170"/>
    <x v="170"/>
    <m/>
    <m/>
    <s v="Break 30 Morning"/>
    <d v="1899-12-30T15:15:00"/>
    <d v="1899-12-30T15:45:00"/>
    <n v="0"/>
    <x v="1"/>
  </r>
  <r>
    <x v="0"/>
    <s v="Egypt"/>
    <x v="34"/>
    <x v="170"/>
    <x v="170"/>
    <d v="2025-06-10T00:00:00"/>
    <d v="1899-12-30T08:15:00"/>
    <s v="Non Telecom Assyot"/>
    <d v="1899-12-30T09:00:00"/>
    <d v="1899-12-30T17:15:00"/>
    <n v="29700"/>
    <x v="0"/>
  </r>
  <r>
    <x v="0"/>
    <s v="Egypt"/>
    <x v="34"/>
    <x v="170"/>
    <x v="170"/>
    <m/>
    <m/>
    <s v="Break 15 Morning"/>
    <d v="1899-12-30T12:15:00"/>
    <d v="1899-12-30T12:30:00"/>
    <n v="0"/>
    <x v="1"/>
  </r>
  <r>
    <x v="0"/>
    <s v="Egypt"/>
    <x v="34"/>
    <x v="170"/>
    <x v="170"/>
    <m/>
    <m/>
    <s v="Break 30 Morning"/>
    <d v="1899-12-30T15:15:00"/>
    <d v="1899-12-30T15:45:00"/>
    <n v="0"/>
    <x v="1"/>
  </r>
  <r>
    <x v="0"/>
    <s v="Egypt"/>
    <x v="34"/>
    <x v="170"/>
    <x v="170"/>
    <d v="2025-06-11T00:00:00"/>
    <d v="1899-12-30T08:15:00"/>
    <s v="Sick"/>
    <m/>
    <m/>
    <n v="29700"/>
    <x v="1"/>
  </r>
  <r>
    <x v="0"/>
    <s v="Egypt"/>
    <x v="34"/>
    <x v="170"/>
    <x v="170"/>
    <d v="2025-06-12T00:00:00"/>
    <d v="1899-12-30T08:15:00"/>
    <s v="Sick"/>
    <m/>
    <m/>
    <n v="29700"/>
    <x v="1"/>
  </r>
  <r>
    <x v="0"/>
    <s v="Egypt"/>
    <x v="34"/>
    <x v="170"/>
    <x v="170"/>
    <d v="2025-06-13T00:00:00"/>
    <d v="1899-12-30T08:15:00"/>
    <s v="Sick"/>
    <m/>
    <m/>
    <n v="29700"/>
    <x v="1"/>
  </r>
  <r>
    <x v="0"/>
    <s v="Egypt"/>
    <x v="34"/>
    <x v="170"/>
    <x v="170"/>
    <d v="2025-06-14T00:00:00"/>
    <d v="1899-12-30T08:15:00"/>
    <s v="Sick"/>
    <m/>
    <m/>
    <n v="29700"/>
    <x v="1"/>
  </r>
  <r>
    <x v="0"/>
    <s v="Egypt"/>
    <x v="34"/>
    <x v="170"/>
    <x v="170"/>
    <d v="2025-06-15T00:00:00"/>
    <d v="1899-12-30T08:15:00"/>
    <s v="Sick"/>
    <m/>
    <m/>
    <n v="29700"/>
    <x v="1"/>
  </r>
  <r>
    <x v="0"/>
    <s v="Egypt"/>
    <x v="34"/>
    <x v="170"/>
    <x v="170"/>
    <d v="2025-06-16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15:00"/>
    <d v="1899-12-30T14:30:00"/>
    <n v="0"/>
    <x v="1"/>
  </r>
  <r>
    <x v="0"/>
    <s v="Egypt"/>
    <x v="34"/>
    <x v="170"/>
    <x v="170"/>
    <m/>
    <m/>
    <s v="Break 30 Morning"/>
    <d v="1899-12-30T17:00:00"/>
    <d v="1899-12-30T17:30:00"/>
    <n v="0"/>
    <x v="1"/>
  </r>
  <r>
    <x v="0"/>
    <s v="Egypt"/>
    <x v="34"/>
    <x v="170"/>
    <x v="170"/>
    <d v="2025-06-17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00:00"/>
    <d v="1899-12-30T14:15:00"/>
    <n v="0"/>
    <x v="1"/>
  </r>
  <r>
    <x v="0"/>
    <s v="Egypt"/>
    <x v="34"/>
    <x v="170"/>
    <x v="170"/>
    <m/>
    <m/>
    <s v="Break 30 Morning"/>
    <d v="1899-12-30T17:45:00"/>
    <d v="1899-12-30T18:15:00"/>
    <n v="0"/>
    <x v="1"/>
  </r>
  <r>
    <x v="0"/>
    <s v="Egypt"/>
    <x v="34"/>
    <x v="170"/>
    <x v="170"/>
    <d v="2025-06-18T00:00:00"/>
    <m/>
    <s v="Day Off"/>
    <m/>
    <m/>
    <n v="0"/>
    <x v="1"/>
  </r>
  <r>
    <x v="0"/>
    <s v="Egypt"/>
    <x v="34"/>
    <x v="170"/>
    <x v="170"/>
    <d v="2025-06-19T00:00:00"/>
    <d v="1899-12-30T08:15:00"/>
    <s v="Annual Exception"/>
    <m/>
    <m/>
    <n v="29700"/>
    <x v="1"/>
  </r>
  <r>
    <x v="0"/>
    <s v="Egypt"/>
    <x v="34"/>
    <x v="170"/>
    <x v="170"/>
    <d v="2025-06-20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30:00"/>
    <d v="1899-12-30T14:45:00"/>
    <n v="0"/>
    <x v="1"/>
  </r>
  <r>
    <x v="0"/>
    <s v="Egypt"/>
    <x v="34"/>
    <x v="170"/>
    <x v="170"/>
    <m/>
    <m/>
    <s v="Break 30 Morning"/>
    <d v="1899-12-30T17:45:00"/>
    <d v="1899-12-30T18:15:00"/>
    <n v="0"/>
    <x v="1"/>
  </r>
  <r>
    <x v="0"/>
    <s v="Egypt"/>
    <x v="34"/>
    <x v="170"/>
    <x v="170"/>
    <d v="2025-06-21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3:15:00"/>
    <d v="1899-12-30T13:30:00"/>
    <n v="0"/>
    <x v="1"/>
  </r>
  <r>
    <x v="0"/>
    <s v="Egypt"/>
    <x v="34"/>
    <x v="170"/>
    <x v="170"/>
    <m/>
    <m/>
    <s v="Break 30 Morning"/>
    <d v="1899-12-30T15:45:00"/>
    <d v="1899-12-30T16:15:00"/>
    <n v="0"/>
    <x v="1"/>
  </r>
  <r>
    <x v="0"/>
    <s v="Egypt"/>
    <x v="34"/>
    <x v="170"/>
    <x v="170"/>
    <d v="2025-06-22T00:00:00"/>
    <d v="1899-12-30T08:15:00"/>
    <s v="Non Telecom Assyot"/>
    <d v="1899-12-30T11:00:00"/>
    <d v="1899-12-30T19:15:00"/>
    <n v="29700"/>
    <x v="0"/>
  </r>
  <r>
    <x v="0"/>
    <s v="Egypt"/>
    <x v="34"/>
    <x v="170"/>
    <x v="170"/>
    <m/>
    <m/>
    <s v="Break 15 Morning"/>
    <d v="1899-12-30T14:15:00"/>
    <d v="1899-12-30T14:30:00"/>
    <n v="0"/>
    <x v="1"/>
  </r>
  <r>
    <x v="0"/>
    <s v="Egypt"/>
    <x v="34"/>
    <x v="170"/>
    <x v="170"/>
    <m/>
    <m/>
    <s v="Break 30 Morning"/>
    <d v="1899-12-30T16:45:00"/>
    <d v="1899-12-30T17:15:00"/>
    <n v="0"/>
    <x v="1"/>
  </r>
  <r>
    <x v="0"/>
    <s v="Egypt"/>
    <x v="34"/>
    <x v="170"/>
    <x v="170"/>
    <d v="2025-06-23T00:00:00"/>
    <d v="1899-12-30T08:15:00"/>
    <s v="Non Telecom Assyot"/>
    <d v="1899-12-30T09:00:00"/>
    <d v="1899-12-30T17:15:00"/>
    <n v="29700"/>
    <x v="0"/>
  </r>
  <r>
    <x v="0"/>
    <s v="Egypt"/>
    <x v="34"/>
    <x v="170"/>
    <x v="170"/>
    <m/>
    <m/>
    <s v="Break 15 Morning"/>
    <d v="1899-12-30T12:30:00"/>
    <d v="1899-12-30T12:45:00"/>
    <n v="0"/>
    <x v="1"/>
  </r>
  <r>
    <x v="0"/>
    <s v="Egypt"/>
    <x v="34"/>
    <x v="170"/>
    <x v="170"/>
    <m/>
    <m/>
    <s v="Break 30 Morning"/>
    <d v="1899-12-30T15:15:00"/>
    <d v="1899-12-30T15:45:00"/>
    <n v="0"/>
    <x v="1"/>
  </r>
  <r>
    <x v="0"/>
    <s v="Egypt"/>
    <x v="34"/>
    <x v="170"/>
    <x v="170"/>
    <d v="2025-06-24T00:00:00"/>
    <d v="1899-12-30T08:15:00"/>
    <s v="Non Telecom Assyot"/>
    <d v="1899-12-30T09:00:00"/>
    <d v="1899-12-30T17:15:00"/>
    <n v="29700"/>
    <x v="0"/>
  </r>
  <r>
    <x v="0"/>
    <s v="Egypt"/>
    <x v="34"/>
    <x v="170"/>
    <x v="170"/>
    <m/>
    <m/>
    <s v="Break 15 Morning"/>
    <d v="1899-12-30T12:30:00"/>
    <d v="1899-12-30T12:45:00"/>
    <n v="0"/>
    <x v="1"/>
  </r>
  <r>
    <x v="0"/>
    <s v="Egypt"/>
    <x v="34"/>
    <x v="170"/>
    <x v="170"/>
    <m/>
    <m/>
    <s v="Break 30 Morning"/>
    <d v="1899-12-30T14:45:00"/>
    <d v="1899-12-30T15:15:00"/>
    <n v="0"/>
    <x v="1"/>
  </r>
  <r>
    <x v="0"/>
    <s v="Egypt"/>
    <x v="34"/>
    <x v="170"/>
    <x v="170"/>
    <d v="2025-06-25T00:00:00"/>
    <d v="1899-12-30T08:15:00"/>
    <s v="Non Telecom Assyot"/>
    <d v="1899-12-30T09:00:00"/>
    <d v="1899-12-30T17:15:00"/>
    <n v="29700"/>
    <x v="0"/>
  </r>
  <r>
    <x v="0"/>
    <s v="Egypt"/>
    <x v="34"/>
    <x v="170"/>
    <x v="170"/>
    <m/>
    <m/>
    <s v="Break 15 Morning"/>
    <d v="1899-12-30T12:30:00"/>
    <d v="1899-12-30T12:45:00"/>
    <n v="0"/>
    <x v="1"/>
  </r>
  <r>
    <x v="0"/>
    <s v="Egypt"/>
    <x v="34"/>
    <x v="170"/>
    <x v="170"/>
    <m/>
    <m/>
    <s v="Break 30 Morning"/>
    <d v="1899-12-30T15:15:00"/>
    <d v="1899-12-30T15:45:00"/>
    <n v="0"/>
    <x v="1"/>
  </r>
  <r>
    <x v="0"/>
    <s v="Egypt"/>
    <x v="34"/>
    <x v="170"/>
    <x v="170"/>
    <d v="2025-06-26T00:00:00"/>
    <m/>
    <s v="Day Off"/>
    <m/>
    <m/>
    <n v="0"/>
    <x v="1"/>
  </r>
  <r>
    <x v="0"/>
    <s v="Egypt"/>
    <x v="34"/>
    <x v="170"/>
    <x v="170"/>
    <d v="2025-06-27T00:00:00"/>
    <m/>
    <s v="Day Off"/>
    <m/>
    <m/>
    <n v="0"/>
    <x v="1"/>
  </r>
  <r>
    <x v="0"/>
    <s v="Egypt"/>
    <x v="34"/>
    <x v="170"/>
    <x v="170"/>
    <d v="2025-06-28T00:00:00"/>
    <d v="1899-12-30T00:00:00"/>
    <s v="&lt;Exception&gt; -1"/>
    <m/>
    <m/>
    <n v="0"/>
    <x v="1"/>
  </r>
  <r>
    <x v="0"/>
    <s v="Egypt"/>
    <x v="34"/>
    <x v="170"/>
    <x v="170"/>
    <d v="2025-06-29T00:00:00"/>
    <d v="1899-12-30T08:15:00"/>
    <s v="Annual Exception"/>
    <m/>
    <m/>
    <n v="29700"/>
    <x v="1"/>
  </r>
  <r>
    <x v="0"/>
    <s v="Egypt"/>
    <x v="34"/>
    <x v="170"/>
    <x v="170"/>
    <d v="2025-06-30T00:00:00"/>
    <d v="1899-12-30T08:15:00"/>
    <s v="Annual Exception"/>
    <m/>
    <m/>
    <n v="29700"/>
    <x v="1"/>
  </r>
  <r>
    <x v="0"/>
    <s v="Egypt"/>
    <x v="34"/>
    <x v="171"/>
    <x v="171"/>
    <d v="2025-06-05T00:00:00"/>
    <d v="1899-12-30T08:15:00"/>
    <s v="Public holiday"/>
    <m/>
    <m/>
    <n v="29700"/>
    <x v="1"/>
  </r>
  <r>
    <x v="0"/>
    <s v="Egypt"/>
    <x v="34"/>
    <x v="171"/>
    <x v="171"/>
    <d v="2025-06-06T00:00:00"/>
    <m/>
    <s v="Day Off"/>
    <m/>
    <m/>
    <n v="0"/>
    <x v="1"/>
  </r>
  <r>
    <x v="0"/>
    <s v="Egypt"/>
    <x v="34"/>
    <x v="171"/>
    <x v="171"/>
    <d v="2025-06-07T00:00:00"/>
    <m/>
    <s v="Day Off"/>
    <m/>
    <m/>
    <n v="0"/>
    <x v="1"/>
  </r>
  <r>
    <x v="0"/>
    <s v="Egypt"/>
    <x v="34"/>
    <x v="171"/>
    <x v="171"/>
    <d v="2025-06-08T00:00:00"/>
    <d v="1899-12-30T08:15:00"/>
    <s v="Public holiday"/>
    <m/>
    <m/>
    <n v="29700"/>
    <x v="1"/>
  </r>
  <r>
    <x v="0"/>
    <s v="Egypt"/>
    <x v="34"/>
    <x v="171"/>
    <x v="171"/>
    <d v="2025-06-09T00:00:00"/>
    <m/>
    <s v="Day Off"/>
    <m/>
    <m/>
    <n v="0"/>
    <x v="1"/>
  </r>
  <r>
    <x v="0"/>
    <s v="Egypt"/>
    <x v="34"/>
    <x v="171"/>
    <x v="171"/>
    <d v="2025-06-10T00:00:00"/>
    <m/>
    <s v="Day Off"/>
    <m/>
    <m/>
    <n v="0"/>
    <x v="1"/>
  </r>
  <r>
    <x v="0"/>
    <s v="Egypt"/>
    <x v="34"/>
    <x v="171"/>
    <x v="171"/>
    <d v="2025-06-11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One to One"/>
    <d v="1899-12-30T13:45:00"/>
    <d v="1899-12-30T14:00:00"/>
    <n v="0"/>
    <x v="1"/>
  </r>
  <r>
    <x v="0"/>
    <s v="Egypt"/>
    <x v="34"/>
    <x v="171"/>
    <x v="171"/>
    <m/>
    <m/>
    <s v="Break 30 Morning"/>
    <d v="1899-12-30T15:45:00"/>
    <d v="1899-12-30T16:15:00"/>
    <n v="0"/>
    <x v="1"/>
  </r>
  <r>
    <x v="0"/>
    <s v="Egypt"/>
    <x v="34"/>
    <x v="171"/>
    <x v="171"/>
    <d v="2025-06-12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15:00"/>
    <d v="1899-12-30T12:30:00"/>
    <n v="0"/>
    <x v="1"/>
  </r>
  <r>
    <x v="0"/>
    <s v="Egypt"/>
    <x v="34"/>
    <x v="171"/>
    <x v="171"/>
    <m/>
    <m/>
    <s v="One to One"/>
    <d v="1899-12-30T13:45:00"/>
    <d v="1899-12-30T14:00:00"/>
    <n v="0"/>
    <x v="1"/>
  </r>
  <r>
    <x v="0"/>
    <s v="Egypt"/>
    <x v="34"/>
    <x v="171"/>
    <x v="171"/>
    <m/>
    <m/>
    <s v="Break 30 Morning"/>
    <d v="1899-12-30T15:15:00"/>
    <d v="1899-12-30T15:45:00"/>
    <n v="0"/>
    <x v="1"/>
  </r>
  <r>
    <x v="0"/>
    <s v="Egypt"/>
    <x v="34"/>
    <x v="171"/>
    <x v="171"/>
    <d v="2025-06-13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One to One"/>
    <d v="1899-12-30T13:15:00"/>
    <d v="1899-12-30T13:30:00"/>
    <n v="0"/>
    <x v="1"/>
  </r>
  <r>
    <x v="0"/>
    <s v="Egypt"/>
    <x v="34"/>
    <x v="171"/>
    <x v="171"/>
    <m/>
    <m/>
    <s v="Break 30 Morning"/>
    <d v="1899-12-30T15:30:00"/>
    <d v="1899-12-30T16:00:00"/>
    <n v="0"/>
    <x v="1"/>
  </r>
  <r>
    <x v="0"/>
    <s v="Egypt"/>
    <x v="34"/>
    <x v="171"/>
    <x v="171"/>
    <d v="2025-06-14T00:00:00"/>
    <d v="1899-12-30T10:15:00"/>
    <s v="Non Telecom Assyot"/>
    <d v="1899-12-30T09:00:00"/>
    <d v="1899-12-30T19:15:00"/>
    <n v="36900"/>
    <x v="0"/>
  </r>
  <r>
    <x v="0"/>
    <s v="Egypt"/>
    <x v="34"/>
    <x v="171"/>
    <x v="171"/>
    <m/>
    <m/>
    <s v="Shift Move"/>
    <d v="1899-12-30T09:00:00"/>
    <d v="1899-12-30T11:00:00"/>
    <n v="0"/>
    <x v="1"/>
  </r>
  <r>
    <x v="0"/>
    <s v="Egypt"/>
    <x v="34"/>
    <x v="171"/>
    <x v="171"/>
    <m/>
    <m/>
    <s v="Break 15 Morning"/>
    <d v="1899-12-30T12:45:00"/>
    <d v="1899-12-30T13:00:00"/>
    <n v="0"/>
    <x v="1"/>
  </r>
  <r>
    <x v="0"/>
    <s v="Egypt"/>
    <x v="34"/>
    <x v="171"/>
    <x v="171"/>
    <m/>
    <m/>
    <s v="Break 30 Morning"/>
    <d v="1899-12-30T15:15:00"/>
    <d v="1899-12-30T15:45:00"/>
    <n v="0"/>
    <x v="1"/>
  </r>
  <r>
    <x v="0"/>
    <s v="Egypt"/>
    <x v="34"/>
    <x v="171"/>
    <x v="171"/>
    <d v="2025-06-15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15:00"/>
    <d v="1899-12-30T12:30:00"/>
    <n v="0"/>
    <x v="1"/>
  </r>
  <r>
    <x v="0"/>
    <s v="Egypt"/>
    <x v="34"/>
    <x v="171"/>
    <x v="171"/>
    <m/>
    <m/>
    <s v="Break 30 Morning"/>
    <d v="1899-12-30T15:45:00"/>
    <d v="1899-12-30T16:15:00"/>
    <n v="0"/>
    <x v="1"/>
  </r>
  <r>
    <x v="0"/>
    <s v="Egypt"/>
    <x v="34"/>
    <x v="171"/>
    <x v="171"/>
    <d v="2025-06-16T00:00:00"/>
    <m/>
    <s v="Day Off"/>
    <m/>
    <m/>
    <n v="0"/>
    <x v="1"/>
  </r>
  <r>
    <x v="0"/>
    <s v="Egypt"/>
    <x v="34"/>
    <x v="171"/>
    <x v="171"/>
    <d v="2025-06-17T00:00:00"/>
    <m/>
    <s v="Day Off"/>
    <m/>
    <m/>
    <n v="0"/>
    <x v="1"/>
  </r>
  <r>
    <x v="0"/>
    <s v="Egypt"/>
    <x v="34"/>
    <x v="171"/>
    <x v="171"/>
    <d v="2025-06-18T00:00:00"/>
    <d v="1899-12-30T08:15:00"/>
    <s v="Non Telecom Assyot"/>
    <d v="1899-12-30T11:00:00"/>
    <d v="1899-12-30T19:15:00"/>
    <n v="29700"/>
    <x v="0"/>
  </r>
  <r>
    <x v="0"/>
    <s v="Egypt"/>
    <x v="34"/>
    <x v="171"/>
    <x v="171"/>
    <m/>
    <m/>
    <s v="Break 15 Morning"/>
    <d v="1899-12-30T14:30:00"/>
    <d v="1899-12-30T14:45:00"/>
    <n v="0"/>
    <x v="1"/>
  </r>
  <r>
    <x v="0"/>
    <s v="Egypt"/>
    <x v="34"/>
    <x v="171"/>
    <x v="171"/>
    <m/>
    <m/>
    <s v="Break 30 Morning"/>
    <d v="1899-12-30T17:15:00"/>
    <d v="1899-12-30T17:45:00"/>
    <n v="0"/>
    <x v="1"/>
  </r>
  <r>
    <x v="0"/>
    <s v="Egypt"/>
    <x v="34"/>
    <x v="171"/>
    <x v="171"/>
    <d v="2025-06-19T00:00:00"/>
    <d v="1899-12-30T08:15:00"/>
    <s v="Non Telecom Assyot"/>
    <d v="1899-12-30T11:00:00"/>
    <d v="1899-12-30T19:15:00"/>
    <n v="29700"/>
    <x v="0"/>
  </r>
  <r>
    <x v="0"/>
    <s v="Egypt"/>
    <x v="34"/>
    <x v="171"/>
    <x v="171"/>
    <m/>
    <m/>
    <s v="Break 15 Morning"/>
    <d v="1899-12-30T14:30:00"/>
    <d v="1899-12-30T14:45:00"/>
    <n v="0"/>
    <x v="1"/>
  </r>
  <r>
    <x v="0"/>
    <s v="Egypt"/>
    <x v="34"/>
    <x v="171"/>
    <x v="171"/>
    <m/>
    <m/>
    <s v="Break 30 Morning"/>
    <d v="1899-12-30T17:45:00"/>
    <d v="1899-12-30T18:15:00"/>
    <n v="0"/>
    <x v="1"/>
  </r>
  <r>
    <x v="0"/>
    <s v="Egypt"/>
    <x v="34"/>
    <x v="171"/>
    <x v="171"/>
    <d v="2025-06-20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00:00"/>
    <d v="1899-12-30T12:15:00"/>
    <n v="0"/>
    <x v="1"/>
  </r>
  <r>
    <x v="0"/>
    <s v="Egypt"/>
    <x v="34"/>
    <x v="171"/>
    <x v="171"/>
    <m/>
    <m/>
    <s v="Break 30 Morning"/>
    <d v="1899-12-30T14:45:00"/>
    <d v="1899-12-30T15:15:00"/>
    <n v="0"/>
    <x v="1"/>
  </r>
  <r>
    <x v="0"/>
    <s v="Egypt"/>
    <x v="34"/>
    <x v="171"/>
    <x v="171"/>
    <d v="2025-06-21T00:00:00"/>
    <d v="1899-12-30T08:15:00"/>
    <s v="Non Telecom Assyot"/>
    <d v="1899-12-30T11:00:00"/>
    <d v="1899-12-30T19:15:00"/>
    <n v="29700"/>
    <x v="0"/>
  </r>
  <r>
    <x v="0"/>
    <s v="Egypt"/>
    <x v="34"/>
    <x v="171"/>
    <x v="171"/>
    <m/>
    <m/>
    <s v="Break 15 Morning"/>
    <d v="1899-12-30T14:30:00"/>
    <d v="1899-12-30T14:45:00"/>
    <n v="0"/>
    <x v="1"/>
  </r>
  <r>
    <x v="0"/>
    <s v="Egypt"/>
    <x v="34"/>
    <x v="171"/>
    <x v="171"/>
    <m/>
    <m/>
    <s v="Break 30 Morning"/>
    <d v="1899-12-30T17:15:00"/>
    <d v="1899-12-30T17:45:00"/>
    <n v="0"/>
    <x v="1"/>
  </r>
  <r>
    <x v="0"/>
    <s v="Egypt"/>
    <x v="34"/>
    <x v="171"/>
    <x v="171"/>
    <d v="2025-06-22T00:00:00"/>
    <m/>
    <s v="Day Off"/>
    <m/>
    <m/>
    <n v="0"/>
    <x v="1"/>
  </r>
  <r>
    <x v="0"/>
    <s v="Egypt"/>
    <x v="34"/>
    <x v="171"/>
    <x v="171"/>
    <d v="2025-06-23T00:00:00"/>
    <m/>
    <s v="Day Off"/>
    <m/>
    <m/>
    <n v="0"/>
    <x v="1"/>
  </r>
  <r>
    <x v="0"/>
    <s v="Egypt"/>
    <x v="34"/>
    <x v="171"/>
    <x v="171"/>
    <d v="2025-06-24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Break 30 Morning"/>
    <d v="1899-12-30T15:45:00"/>
    <d v="1899-12-30T16:15:00"/>
    <n v="0"/>
    <x v="1"/>
  </r>
  <r>
    <x v="0"/>
    <s v="Egypt"/>
    <x v="34"/>
    <x v="171"/>
    <x v="171"/>
    <d v="2025-06-25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Break 30 Morning"/>
    <d v="1899-12-30T15:15:00"/>
    <d v="1899-12-30T15:45:00"/>
    <n v="0"/>
    <x v="1"/>
  </r>
  <r>
    <x v="0"/>
    <s v="Egypt"/>
    <x v="34"/>
    <x v="171"/>
    <x v="171"/>
    <d v="2025-06-26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Break 30 Morning"/>
    <d v="1899-12-30T15:45:00"/>
    <d v="1899-12-30T16:15:00"/>
    <n v="0"/>
    <x v="1"/>
  </r>
  <r>
    <x v="0"/>
    <s v="Egypt"/>
    <x v="34"/>
    <x v="171"/>
    <x v="171"/>
    <d v="2025-06-27T00:00:00"/>
    <d v="1899-12-30T08:15:00"/>
    <s v="Annual Exception"/>
    <m/>
    <m/>
    <n v="29700"/>
    <x v="1"/>
  </r>
  <r>
    <x v="0"/>
    <s v="Egypt"/>
    <x v="34"/>
    <x v="171"/>
    <x v="171"/>
    <d v="2025-06-28T00:00:00"/>
    <d v="1899-12-30T08:15:00"/>
    <s v="Non Telecom Assyot"/>
    <d v="1899-12-30T09:00:00"/>
    <d v="1899-12-30T17:15:00"/>
    <n v="29700"/>
    <x v="0"/>
  </r>
  <r>
    <x v="0"/>
    <s v="Egypt"/>
    <x v="34"/>
    <x v="171"/>
    <x v="171"/>
    <m/>
    <m/>
    <s v="Break 15 Morning"/>
    <d v="1899-12-30T12:30:00"/>
    <d v="1899-12-30T12:45:00"/>
    <n v="0"/>
    <x v="1"/>
  </r>
  <r>
    <x v="0"/>
    <s v="Egypt"/>
    <x v="34"/>
    <x v="171"/>
    <x v="171"/>
    <m/>
    <m/>
    <s v="Break 30 Morning"/>
    <d v="1899-12-30T15:45:00"/>
    <d v="1899-12-30T16:15:00"/>
    <n v="0"/>
    <x v="1"/>
  </r>
  <r>
    <x v="0"/>
    <s v="Egypt"/>
    <x v="34"/>
    <x v="171"/>
    <x v="171"/>
    <d v="2025-06-29T00:00:00"/>
    <m/>
    <s v="Day Off"/>
    <m/>
    <m/>
    <n v="0"/>
    <x v="1"/>
  </r>
  <r>
    <x v="0"/>
    <s v="Egypt"/>
    <x v="34"/>
    <x v="171"/>
    <x v="171"/>
    <d v="2025-06-30T00:00:00"/>
    <m/>
    <s v="Day Off"/>
    <m/>
    <m/>
    <n v="0"/>
    <x v="1"/>
  </r>
  <r>
    <x v="0"/>
    <s v="Egypt"/>
    <x v="35"/>
    <x v="172"/>
    <x v="172"/>
    <d v="2025-06-01T00:00:00"/>
    <m/>
    <s v="Day Off"/>
    <m/>
    <m/>
    <n v="0"/>
    <x v="1"/>
  </r>
  <r>
    <x v="0"/>
    <s v="Egypt"/>
    <x v="35"/>
    <x v="172"/>
    <x v="172"/>
    <d v="2025-06-02T00:00:00"/>
    <m/>
    <s v="Day Off"/>
    <m/>
    <m/>
    <n v="0"/>
    <x v="1"/>
  </r>
  <r>
    <x v="0"/>
    <s v="Egypt"/>
    <x v="35"/>
    <x v="172"/>
    <x v="172"/>
    <d v="2025-06-03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6:00:00"/>
    <d v="1899-12-30T16:15:00"/>
    <n v="0"/>
    <x v="1"/>
  </r>
  <r>
    <x v="0"/>
    <s v="Egypt"/>
    <x v="35"/>
    <x v="172"/>
    <x v="172"/>
    <m/>
    <m/>
    <s v="Break 30 Morning"/>
    <d v="1899-12-30T18:45:00"/>
    <d v="1899-12-30T19:15:00"/>
    <n v="0"/>
    <x v="1"/>
  </r>
  <r>
    <x v="0"/>
    <s v="Egypt"/>
    <x v="35"/>
    <x v="172"/>
    <x v="172"/>
    <d v="2025-06-04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15:00"/>
    <d v="1899-12-30T15:30:00"/>
    <n v="0"/>
    <x v="1"/>
  </r>
  <r>
    <x v="0"/>
    <s v="Egypt"/>
    <x v="35"/>
    <x v="172"/>
    <x v="172"/>
    <m/>
    <m/>
    <s v="Break 30 Morning"/>
    <d v="1899-12-30T18:30:00"/>
    <d v="1899-12-30T19:00:00"/>
    <n v="0"/>
    <x v="1"/>
  </r>
  <r>
    <x v="0"/>
    <s v="Egypt"/>
    <x v="35"/>
    <x v="172"/>
    <x v="172"/>
    <d v="2025-06-05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30:00"/>
    <d v="1899-12-30T15:45:00"/>
    <n v="0"/>
    <x v="1"/>
  </r>
  <r>
    <x v="0"/>
    <s v="Egypt"/>
    <x v="35"/>
    <x v="172"/>
    <x v="172"/>
    <m/>
    <m/>
    <s v="Break 30 Morning"/>
    <d v="1899-12-30T18:45:00"/>
    <d v="1899-12-30T19:15:00"/>
    <n v="0"/>
    <x v="1"/>
  </r>
  <r>
    <x v="0"/>
    <s v="Egypt"/>
    <x v="35"/>
    <x v="172"/>
    <x v="172"/>
    <d v="2025-06-06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00:00"/>
    <d v="1899-12-30T15:15:00"/>
    <n v="0"/>
    <x v="1"/>
  </r>
  <r>
    <x v="0"/>
    <s v="Egypt"/>
    <x v="35"/>
    <x v="172"/>
    <x v="172"/>
    <m/>
    <m/>
    <s v="Break 30 Morning"/>
    <d v="1899-12-30T18:15:00"/>
    <d v="1899-12-30T18:45:00"/>
    <n v="0"/>
    <x v="1"/>
  </r>
  <r>
    <x v="0"/>
    <s v="Egypt"/>
    <x v="35"/>
    <x v="172"/>
    <x v="172"/>
    <d v="2025-06-07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8:15:00"/>
    <d v="1899-12-30T18:30:00"/>
    <n v="0"/>
    <x v="1"/>
  </r>
  <r>
    <x v="0"/>
    <s v="Egypt"/>
    <x v="35"/>
    <x v="172"/>
    <x v="172"/>
    <m/>
    <m/>
    <s v="Break 30 Night"/>
    <d v="1899-12-30T21:15:00"/>
    <d v="1899-12-30T21:45:00"/>
    <n v="0"/>
    <x v="1"/>
  </r>
  <r>
    <x v="0"/>
    <s v="Egypt"/>
    <x v="35"/>
    <x v="172"/>
    <x v="172"/>
    <d v="2025-06-08T00:00:00"/>
    <m/>
    <s v="Day Off"/>
    <m/>
    <m/>
    <n v="0"/>
    <x v="1"/>
  </r>
  <r>
    <x v="0"/>
    <s v="Egypt"/>
    <x v="35"/>
    <x v="172"/>
    <x v="172"/>
    <d v="2025-06-09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8:45:00"/>
    <d v="1899-12-30T19:00:00"/>
    <n v="0"/>
    <x v="1"/>
  </r>
  <r>
    <x v="0"/>
    <s v="Egypt"/>
    <x v="35"/>
    <x v="172"/>
    <x v="172"/>
    <m/>
    <m/>
    <s v="Break 30 Night"/>
    <d v="1899-12-30T22:00:00"/>
    <d v="1899-12-30T22:30:00"/>
    <n v="0"/>
    <x v="1"/>
  </r>
  <r>
    <x v="0"/>
    <s v="Egypt"/>
    <x v="35"/>
    <x v="172"/>
    <x v="172"/>
    <d v="2025-06-10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9:00:00"/>
    <d v="1899-12-30T19:15:00"/>
    <n v="0"/>
    <x v="1"/>
  </r>
  <r>
    <x v="0"/>
    <s v="Egypt"/>
    <x v="35"/>
    <x v="172"/>
    <x v="172"/>
    <m/>
    <m/>
    <s v="Break 30 Night"/>
    <d v="1899-12-30T22:00:00"/>
    <d v="1899-12-30T22:30:00"/>
    <n v="0"/>
    <x v="1"/>
  </r>
  <r>
    <x v="0"/>
    <s v="Egypt"/>
    <x v="35"/>
    <x v="172"/>
    <x v="172"/>
    <d v="2025-06-11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9:15:00"/>
    <d v="1899-12-30T19:30:00"/>
    <n v="0"/>
    <x v="1"/>
  </r>
  <r>
    <x v="0"/>
    <s v="Egypt"/>
    <x v="35"/>
    <x v="172"/>
    <x v="172"/>
    <m/>
    <m/>
    <s v="Break 30 Night"/>
    <d v="1899-12-30T22:00:00"/>
    <d v="1899-12-30T22:30:00"/>
    <n v="0"/>
    <x v="1"/>
  </r>
  <r>
    <x v="0"/>
    <s v="Egypt"/>
    <x v="35"/>
    <x v="172"/>
    <x v="172"/>
    <d v="2025-06-12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9:30:00"/>
    <d v="1899-12-30T19:45:00"/>
    <n v="0"/>
    <x v="1"/>
  </r>
  <r>
    <x v="0"/>
    <s v="Egypt"/>
    <x v="35"/>
    <x v="172"/>
    <x v="172"/>
    <m/>
    <m/>
    <s v="Break 30 Night"/>
    <d v="1899-12-30T22:30:00"/>
    <d v="1899-12-30T23:00:00"/>
    <n v="0"/>
    <x v="1"/>
  </r>
  <r>
    <x v="0"/>
    <s v="Egypt"/>
    <x v="35"/>
    <x v="172"/>
    <x v="172"/>
    <d v="2025-06-13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8:45:00"/>
    <d v="1899-12-30T19:00:00"/>
    <n v="0"/>
    <x v="1"/>
  </r>
  <r>
    <x v="0"/>
    <s v="Egypt"/>
    <x v="35"/>
    <x v="172"/>
    <x v="172"/>
    <m/>
    <m/>
    <s v="Break 30 Night"/>
    <d v="1899-12-30T22:00:00"/>
    <d v="1899-12-30T22:30:00"/>
    <n v="0"/>
    <x v="1"/>
  </r>
  <r>
    <x v="0"/>
    <s v="Egypt"/>
    <x v="35"/>
    <x v="172"/>
    <x v="172"/>
    <d v="2025-06-14T00:00:00"/>
    <m/>
    <s v="Day Off"/>
    <m/>
    <m/>
    <n v="0"/>
    <x v="1"/>
  </r>
  <r>
    <x v="0"/>
    <s v="Egypt"/>
    <x v="35"/>
    <x v="172"/>
    <x v="172"/>
    <d v="2025-06-15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6:45:00"/>
    <d v="1899-12-30T17:00:00"/>
    <n v="0"/>
    <x v="1"/>
  </r>
  <r>
    <x v="0"/>
    <s v="Egypt"/>
    <x v="35"/>
    <x v="172"/>
    <x v="172"/>
    <m/>
    <m/>
    <s v="Break 30 Morning"/>
    <d v="1899-12-30T19:45:00"/>
    <d v="1899-12-30T20:15:00"/>
    <n v="0"/>
    <x v="1"/>
  </r>
  <r>
    <x v="0"/>
    <s v="Egypt"/>
    <x v="35"/>
    <x v="172"/>
    <x v="172"/>
    <d v="2025-06-16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30:00"/>
    <d v="1899-12-30T15:45:00"/>
    <n v="0"/>
    <x v="1"/>
  </r>
  <r>
    <x v="0"/>
    <s v="Egypt"/>
    <x v="35"/>
    <x v="172"/>
    <x v="172"/>
    <m/>
    <m/>
    <s v="Break 30 Morning"/>
    <d v="1899-12-30T19:00:00"/>
    <d v="1899-12-30T19:30:00"/>
    <n v="0"/>
    <x v="1"/>
  </r>
  <r>
    <x v="0"/>
    <s v="Egypt"/>
    <x v="35"/>
    <x v="172"/>
    <x v="172"/>
    <d v="2025-06-17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00:00"/>
    <d v="1899-12-30T15:15:00"/>
    <n v="0"/>
    <x v="1"/>
  </r>
  <r>
    <x v="0"/>
    <s v="Egypt"/>
    <x v="35"/>
    <x v="172"/>
    <x v="172"/>
    <m/>
    <m/>
    <s v="Break 30 Morning"/>
    <d v="1899-12-30T18:30:00"/>
    <d v="1899-12-30T19:00:00"/>
    <n v="0"/>
    <x v="1"/>
  </r>
  <r>
    <x v="0"/>
    <s v="Egypt"/>
    <x v="35"/>
    <x v="172"/>
    <x v="172"/>
    <d v="2025-06-18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30:00"/>
    <d v="1899-12-30T15:45:00"/>
    <n v="0"/>
    <x v="1"/>
  </r>
  <r>
    <x v="0"/>
    <s v="Egypt"/>
    <x v="35"/>
    <x v="172"/>
    <x v="172"/>
    <m/>
    <m/>
    <s v="Break 30 Morning"/>
    <d v="1899-12-30T18:15:00"/>
    <d v="1899-12-30T18:45:00"/>
    <n v="0"/>
    <x v="1"/>
  </r>
  <r>
    <x v="0"/>
    <s v="Egypt"/>
    <x v="35"/>
    <x v="172"/>
    <x v="172"/>
    <d v="2025-06-19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30:00"/>
    <d v="1899-12-30T15:45:00"/>
    <n v="0"/>
    <x v="1"/>
  </r>
  <r>
    <x v="0"/>
    <s v="Egypt"/>
    <x v="35"/>
    <x v="172"/>
    <x v="172"/>
    <m/>
    <m/>
    <s v="Break 30 Morning"/>
    <d v="1899-12-30T18:15:00"/>
    <d v="1899-12-30T18:45:00"/>
    <n v="0"/>
    <x v="1"/>
  </r>
  <r>
    <x v="0"/>
    <s v="Egypt"/>
    <x v="35"/>
    <x v="172"/>
    <x v="172"/>
    <d v="2025-06-20T00:00:00"/>
    <m/>
    <s v="Day Off"/>
    <m/>
    <m/>
    <n v="0"/>
    <x v="1"/>
  </r>
  <r>
    <x v="0"/>
    <s v="Egypt"/>
    <x v="35"/>
    <x v="172"/>
    <x v="172"/>
    <d v="2025-06-21T00:00:00"/>
    <m/>
    <s v="Day Off"/>
    <m/>
    <m/>
    <n v="0"/>
    <x v="1"/>
  </r>
  <r>
    <x v="0"/>
    <s v="Egypt"/>
    <x v="35"/>
    <x v="172"/>
    <x v="172"/>
    <d v="2025-06-22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20:00:00"/>
    <d v="1899-12-30T20:15:00"/>
    <n v="0"/>
    <x v="1"/>
  </r>
  <r>
    <x v="0"/>
    <s v="Egypt"/>
    <x v="35"/>
    <x v="172"/>
    <x v="172"/>
    <m/>
    <m/>
    <s v="Break 30 Night"/>
    <d v="1899-12-30T22:15:00"/>
    <d v="1899-12-30T22:45:00"/>
    <n v="0"/>
    <x v="1"/>
  </r>
  <r>
    <x v="0"/>
    <s v="Egypt"/>
    <x v="35"/>
    <x v="172"/>
    <x v="172"/>
    <d v="2025-06-23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20:00:00"/>
    <d v="1899-12-30T20:15:00"/>
    <n v="0"/>
    <x v="1"/>
  </r>
  <r>
    <x v="0"/>
    <s v="Egypt"/>
    <x v="35"/>
    <x v="172"/>
    <x v="172"/>
    <m/>
    <m/>
    <s v="Break 30 Night"/>
    <d v="1899-12-30T22:15:00"/>
    <d v="1899-12-30T22:45:00"/>
    <n v="0"/>
    <x v="1"/>
  </r>
  <r>
    <x v="0"/>
    <s v="Egypt"/>
    <x v="35"/>
    <x v="172"/>
    <x v="172"/>
    <d v="2025-06-24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9:45:00"/>
    <d v="1899-12-30T20:00:00"/>
    <n v="0"/>
    <x v="1"/>
  </r>
  <r>
    <x v="0"/>
    <s v="Egypt"/>
    <x v="35"/>
    <x v="172"/>
    <x v="172"/>
    <m/>
    <m/>
    <s v="Break 30 Night"/>
    <d v="1899-12-30T22:15:00"/>
    <d v="1899-12-30T22:45:00"/>
    <n v="0"/>
    <x v="1"/>
  </r>
  <r>
    <x v="0"/>
    <s v="Egypt"/>
    <x v="35"/>
    <x v="172"/>
    <x v="172"/>
    <d v="2025-06-25T00:00:00"/>
    <d v="1899-12-30T08:15:00"/>
    <s v="Non Telecom Assyot"/>
    <d v="1899-12-30T17:15:00"/>
    <s v="+1:30 AM"/>
    <n v="29700"/>
    <x v="0"/>
  </r>
  <r>
    <x v="0"/>
    <s v="Egypt"/>
    <x v="35"/>
    <x v="172"/>
    <x v="172"/>
    <m/>
    <m/>
    <s v="Break 15 Night"/>
    <d v="1899-12-30T19:30:00"/>
    <d v="1899-12-30T19:45:00"/>
    <n v="0"/>
    <x v="1"/>
  </r>
  <r>
    <x v="0"/>
    <s v="Egypt"/>
    <x v="35"/>
    <x v="172"/>
    <x v="172"/>
    <m/>
    <m/>
    <s v="Break 30 Night"/>
    <d v="1899-12-30T22:00:00"/>
    <d v="1899-12-30T22:30:00"/>
    <n v="0"/>
    <x v="1"/>
  </r>
  <r>
    <x v="0"/>
    <s v="Egypt"/>
    <x v="35"/>
    <x v="172"/>
    <x v="172"/>
    <d v="2025-06-26T00:00:00"/>
    <m/>
    <s v="Day Off"/>
    <m/>
    <m/>
    <n v="0"/>
    <x v="1"/>
  </r>
  <r>
    <x v="0"/>
    <s v="Egypt"/>
    <x v="35"/>
    <x v="172"/>
    <x v="172"/>
    <d v="2025-06-27T00:00:00"/>
    <m/>
    <s v="Day Off"/>
    <m/>
    <m/>
    <n v="0"/>
    <x v="1"/>
  </r>
  <r>
    <x v="0"/>
    <s v="Egypt"/>
    <x v="35"/>
    <x v="172"/>
    <x v="172"/>
    <d v="2025-06-28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15:00"/>
    <d v="1899-12-30T15:30:00"/>
    <n v="0"/>
    <x v="1"/>
  </r>
  <r>
    <x v="0"/>
    <s v="Egypt"/>
    <x v="35"/>
    <x v="172"/>
    <x v="172"/>
    <m/>
    <m/>
    <s v="Break 30 Morning"/>
    <d v="1899-12-30T19:00:00"/>
    <d v="1899-12-30T19:30:00"/>
    <n v="0"/>
    <x v="1"/>
  </r>
  <r>
    <x v="0"/>
    <s v="Egypt"/>
    <x v="35"/>
    <x v="172"/>
    <x v="172"/>
    <d v="2025-06-29T00:00:00"/>
    <m/>
    <s v="Day Off"/>
    <m/>
    <m/>
    <n v="0"/>
    <x v="1"/>
  </r>
  <r>
    <x v="0"/>
    <s v="Egypt"/>
    <x v="35"/>
    <x v="172"/>
    <x v="172"/>
    <d v="2025-06-30T00:00:00"/>
    <d v="1899-12-30T08:15:00"/>
    <s v="Non Telecom Assyot"/>
    <d v="1899-12-30T14:00:00"/>
    <d v="1899-12-30T22:15:00"/>
    <n v="29700"/>
    <x v="0"/>
  </r>
  <r>
    <x v="0"/>
    <s v="Egypt"/>
    <x v="35"/>
    <x v="172"/>
    <x v="172"/>
    <m/>
    <m/>
    <s v="Break 15 Morning"/>
    <d v="1899-12-30T15:45:00"/>
    <d v="1899-12-30T16:00:00"/>
    <n v="0"/>
    <x v="1"/>
  </r>
  <r>
    <x v="0"/>
    <s v="Egypt"/>
    <x v="35"/>
    <x v="172"/>
    <x v="172"/>
    <m/>
    <m/>
    <s v="Break 30 Morning"/>
    <d v="1899-12-30T18:45:00"/>
    <d v="1899-12-30T19:15:00"/>
    <n v="0"/>
    <x v="1"/>
  </r>
  <r>
    <x v="0"/>
    <s v="Egypt"/>
    <x v="35"/>
    <x v="173"/>
    <x v="173"/>
    <d v="2025-06-05T00:00:00"/>
    <d v="1899-12-30T08:15:00"/>
    <s v="Public holiday"/>
    <m/>
    <m/>
    <n v="29700"/>
    <x v="1"/>
  </r>
  <r>
    <x v="0"/>
    <s v="Egypt"/>
    <x v="35"/>
    <x v="173"/>
    <x v="173"/>
    <d v="2025-06-06T00:00:00"/>
    <m/>
    <s v="Day Off"/>
    <m/>
    <m/>
    <n v="0"/>
    <x v="1"/>
  </r>
  <r>
    <x v="0"/>
    <s v="Egypt"/>
    <x v="35"/>
    <x v="173"/>
    <x v="173"/>
    <d v="2025-06-07T00:00:00"/>
    <m/>
    <s v="Day Off"/>
    <m/>
    <m/>
    <n v="0"/>
    <x v="1"/>
  </r>
  <r>
    <x v="0"/>
    <s v="Egypt"/>
    <x v="35"/>
    <x v="173"/>
    <x v="173"/>
    <d v="2025-06-08T00:00:00"/>
    <d v="1899-12-30T08:15:00"/>
    <s v="Public holiday"/>
    <m/>
    <m/>
    <n v="29700"/>
    <x v="1"/>
  </r>
  <r>
    <x v="0"/>
    <s v="Egypt"/>
    <x v="35"/>
    <x v="173"/>
    <x v="173"/>
    <d v="2025-06-09T00:00:00"/>
    <m/>
    <s v="Day Off"/>
    <m/>
    <m/>
    <n v="0"/>
    <x v="1"/>
  </r>
  <r>
    <x v="0"/>
    <s v="Egypt"/>
    <x v="35"/>
    <x v="173"/>
    <x v="173"/>
    <d v="2025-06-10T00:00:00"/>
    <m/>
    <s v="Day Off"/>
    <m/>
    <m/>
    <n v="0"/>
    <x v="1"/>
  </r>
  <r>
    <x v="0"/>
    <s v="Egypt"/>
    <x v="35"/>
    <x v="173"/>
    <x v="173"/>
    <d v="2025-06-11T00:00:00"/>
    <d v="1899-12-30T08:15:00"/>
    <s v="Non Telecom Assyot"/>
    <d v="1899-12-30T11:00:00"/>
    <d v="1899-12-30T19:15:00"/>
    <n v="29700"/>
    <x v="0"/>
  </r>
  <r>
    <x v="0"/>
    <s v="Egypt"/>
    <x v="35"/>
    <x v="173"/>
    <x v="173"/>
    <m/>
    <m/>
    <s v="Break 15 Morning"/>
    <d v="1899-12-30T13:15:00"/>
    <d v="1899-12-30T13:30:00"/>
    <n v="0"/>
    <x v="1"/>
  </r>
  <r>
    <x v="0"/>
    <s v="Egypt"/>
    <x v="35"/>
    <x v="173"/>
    <x v="173"/>
    <m/>
    <m/>
    <s v="One to One"/>
    <d v="1899-12-30T15:15:00"/>
    <d v="1899-12-30T15:30:00"/>
    <n v="0"/>
    <x v="1"/>
  </r>
  <r>
    <x v="0"/>
    <s v="Egypt"/>
    <x v="35"/>
    <x v="173"/>
    <x v="173"/>
    <m/>
    <m/>
    <s v="Break 30 Morning"/>
    <d v="1899-12-30T16:15:00"/>
    <d v="1899-12-30T16:45:00"/>
    <n v="0"/>
    <x v="1"/>
  </r>
  <r>
    <x v="0"/>
    <s v="Egypt"/>
    <x v="35"/>
    <x v="173"/>
    <x v="173"/>
    <d v="2025-06-12T00:00:00"/>
    <d v="1899-12-30T08:15:00"/>
    <s v="Non Telecom Assyot"/>
    <d v="1899-12-30T11:00:00"/>
    <d v="1899-12-30T19:15:00"/>
    <n v="29700"/>
    <x v="0"/>
  </r>
  <r>
    <x v="0"/>
    <s v="Egypt"/>
    <x v="35"/>
    <x v="173"/>
    <x v="173"/>
    <m/>
    <m/>
    <s v="Break 15 Morning"/>
    <d v="1899-12-30T13:00:00"/>
    <d v="1899-12-30T13:15:00"/>
    <n v="0"/>
    <x v="1"/>
  </r>
  <r>
    <x v="0"/>
    <s v="Egypt"/>
    <x v="35"/>
    <x v="173"/>
    <x v="173"/>
    <m/>
    <m/>
    <s v="One to One"/>
    <d v="1899-12-30T15:15:00"/>
    <d v="1899-12-30T15:30:00"/>
    <n v="0"/>
    <x v="1"/>
  </r>
  <r>
    <x v="0"/>
    <s v="Egypt"/>
    <x v="35"/>
    <x v="173"/>
    <x v="173"/>
    <m/>
    <m/>
    <s v="Break 30 Morning"/>
    <d v="1899-12-30T15:45:00"/>
    <d v="1899-12-30T16:15:00"/>
    <n v="0"/>
    <x v="1"/>
  </r>
  <r>
    <x v="0"/>
    <s v="Egypt"/>
    <x v="35"/>
    <x v="173"/>
    <x v="173"/>
    <d v="2025-06-13T00:00:00"/>
    <d v="1899-12-30T08:15:00"/>
    <s v="Non Telecom Assyot"/>
    <d v="1899-12-30T11:00:00"/>
    <d v="1899-12-30T19:15:00"/>
    <n v="29700"/>
    <x v="0"/>
  </r>
  <r>
    <x v="0"/>
    <s v="Egypt"/>
    <x v="35"/>
    <x v="173"/>
    <x v="173"/>
    <m/>
    <m/>
    <s v="Break 15 Morning"/>
    <d v="1899-12-30T12:30:00"/>
    <d v="1899-12-30T12:45:00"/>
    <n v="0"/>
    <x v="1"/>
  </r>
  <r>
    <x v="0"/>
    <s v="Egypt"/>
    <x v="35"/>
    <x v="173"/>
    <x v="173"/>
    <m/>
    <m/>
    <s v="Friday Pray"/>
    <d v="1899-12-30T12:55:00"/>
    <d v="1899-12-30T13:50:00"/>
    <n v="0"/>
    <x v="1"/>
  </r>
  <r>
    <x v="0"/>
    <s v="Egypt"/>
    <x v="35"/>
    <x v="173"/>
    <x v="173"/>
    <m/>
    <m/>
    <s v="One to One"/>
    <d v="1899-12-30T14:45:00"/>
    <d v="1899-12-30T15:00:00"/>
    <n v="0"/>
    <x v="1"/>
  </r>
  <r>
    <x v="0"/>
    <s v="Egypt"/>
    <x v="35"/>
    <x v="173"/>
    <x v="173"/>
    <m/>
    <m/>
    <s v="Break 30 Morning"/>
    <d v="1899-12-30T16:00:00"/>
    <d v="1899-12-30T16:30:00"/>
    <n v="0"/>
    <x v="1"/>
  </r>
  <r>
    <x v="0"/>
    <s v="Egypt"/>
    <x v="35"/>
    <x v="173"/>
    <x v="173"/>
    <d v="2025-06-14T00:00:00"/>
    <d v="1899-12-30T08:15:00"/>
    <s v="Non Telecom Assyot"/>
    <d v="1899-12-30T11:00:00"/>
    <d v="1899-12-30T19:15:00"/>
    <n v="29700"/>
    <x v="0"/>
  </r>
  <r>
    <x v="0"/>
    <s v="Egypt"/>
    <x v="35"/>
    <x v="173"/>
    <x v="173"/>
    <m/>
    <m/>
    <s v="Break 15 Morning"/>
    <d v="1899-12-30T13:00:00"/>
    <d v="1899-12-30T13:15:00"/>
    <n v="0"/>
    <x v="1"/>
  </r>
  <r>
    <x v="0"/>
    <s v="Egypt"/>
    <x v="35"/>
    <x v="173"/>
    <x v="173"/>
    <m/>
    <m/>
    <s v="One to One"/>
    <d v="1899-12-30T15:30:00"/>
    <d v="1899-12-30T15:45:00"/>
    <n v="0"/>
    <x v="1"/>
  </r>
  <r>
    <x v="0"/>
    <s v="Egypt"/>
    <x v="35"/>
    <x v="173"/>
    <x v="173"/>
    <m/>
    <m/>
    <s v="Break 30 Morning"/>
    <d v="1899-12-30T16:15:00"/>
    <d v="1899-12-30T16:45:00"/>
    <n v="0"/>
    <x v="1"/>
  </r>
  <r>
    <x v="0"/>
    <s v="Egypt"/>
    <x v="35"/>
    <x v="173"/>
    <x v="173"/>
    <d v="2025-06-15T00:00:00"/>
    <d v="1899-12-30T08:15:00"/>
    <s v="Non Telecom Assyot"/>
    <d v="1899-12-30T11:00:00"/>
    <d v="1899-12-30T19:15:00"/>
    <n v="29700"/>
    <x v="0"/>
  </r>
  <r>
    <x v="0"/>
    <s v="Egypt"/>
    <x v="35"/>
    <x v="173"/>
    <x v="173"/>
    <m/>
    <m/>
    <s v="Break 15 Morning"/>
    <d v="1899-12-30T13:00:00"/>
    <d v="1899-12-30T13:15:00"/>
    <n v="0"/>
    <x v="1"/>
  </r>
  <r>
    <x v="0"/>
    <s v="Egypt"/>
    <x v="35"/>
    <x v="173"/>
    <x v="173"/>
    <m/>
    <m/>
    <s v="Break 30 Morning"/>
    <d v="1899-12-30T16:15:00"/>
    <d v="1899-12-30T16:45:00"/>
    <n v="0"/>
    <x v="1"/>
  </r>
  <r>
    <x v="0"/>
    <s v="Egypt"/>
    <x v="35"/>
    <x v="173"/>
    <x v="173"/>
    <d v="2025-06-16T00:00:00"/>
    <m/>
    <s v="Day Off"/>
    <m/>
    <m/>
    <n v="0"/>
    <x v="1"/>
  </r>
  <r>
    <x v="0"/>
    <s v="Egypt"/>
    <x v="35"/>
    <x v="173"/>
    <x v="173"/>
    <d v="2025-06-17T00:00:00"/>
    <m/>
    <s v="Day Off"/>
    <m/>
    <m/>
    <n v="0"/>
    <x v="1"/>
  </r>
  <r>
    <x v="0"/>
    <s v="Egypt"/>
    <x v="35"/>
    <x v="173"/>
    <x v="173"/>
    <d v="2025-06-18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19:45:00"/>
    <d v="1899-12-30T20:00:00"/>
    <n v="0"/>
    <x v="1"/>
  </r>
  <r>
    <x v="0"/>
    <s v="Egypt"/>
    <x v="35"/>
    <x v="173"/>
    <x v="173"/>
    <m/>
    <m/>
    <s v="Break 30 Night"/>
    <d v="1899-12-30T22:45:00"/>
    <d v="1899-12-30T23:15:00"/>
    <n v="0"/>
    <x v="1"/>
  </r>
  <r>
    <x v="0"/>
    <s v="Egypt"/>
    <x v="35"/>
    <x v="173"/>
    <x v="173"/>
    <d v="2025-06-19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19:45:00"/>
    <d v="1899-12-30T20:00:00"/>
    <n v="0"/>
    <x v="1"/>
  </r>
  <r>
    <x v="0"/>
    <s v="Egypt"/>
    <x v="35"/>
    <x v="173"/>
    <x v="173"/>
    <m/>
    <m/>
    <s v="Break 30 Night"/>
    <d v="1899-12-30T22:45:00"/>
    <d v="1899-12-30T23:15:00"/>
    <n v="0"/>
    <x v="1"/>
  </r>
  <r>
    <x v="0"/>
    <s v="Egypt"/>
    <x v="35"/>
    <x v="173"/>
    <x v="173"/>
    <d v="2025-06-20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20:00:00"/>
    <d v="1899-12-30T20:15:00"/>
    <n v="0"/>
    <x v="1"/>
  </r>
  <r>
    <x v="0"/>
    <s v="Egypt"/>
    <x v="35"/>
    <x v="173"/>
    <x v="173"/>
    <m/>
    <m/>
    <s v="Break 30 Night"/>
    <d v="1899-12-30T22:45:00"/>
    <d v="1899-12-30T23:15:00"/>
    <n v="0"/>
    <x v="1"/>
  </r>
  <r>
    <x v="0"/>
    <s v="Egypt"/>
    <x v="35"/>
    <x v="173"/>
    <x v="173"/>
    <d v="2025-06-21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19:45:00"/>
    <d v="1899-12-30T20:00:00"/>
    <n v="0"/>
    <x v="1"/>
  </r>
  <r>
    <x v="0"/>
    <s v="Egypt"/>
    <x v="35"/>
    <x v="173"/>
    <x v="173"/>
    <m/>
    <m/>
    <s v="Break 30 Night"/>
    <d v="1899-12-30T23:00:00"/>
    <d v="1899-12-30T23:30:00"/>
    <n v="0"/>
    <x v="1"/>
  </r>
  <r>
    <x v="0"/>
    <s v="Egypt"/>
    <x v="35"/>
    <x v="173"/>
    <x v="173"/>
    <d v="2025-06-22T00:00:00"/>
    <d v="1899-12-30T08:15:00"/>
    <s v="Non Telecom Assyot"/>
    <d v="1899-12-30T14:00:00"/>
    <d v="1899-12-30T22:15:00"/>
    <n v="29700"/>
    <x v="0"/>
  </r>
  <r>
    <x v="0"/>
    <s v="Egypt"/>
    <x v="35"/>
    <x v="173"/>
    <x v="173"/>
    <m/>
    <m/>
    <s v="Break 15 Morning"/>
    <d v="1899-12-30T16:15:00"/>
    <d v="1899-12-30T16:30:00"/>
    <n v="0"/>
    <x v="1"/>
  </r>
  <r>
    <x v="0"/>
    <s v="Egypt"/>
    <x v="35"/>
    <x v="173"/>
    <x v="173"/>
    <m/>
    <m/>
    <s v="Break 30 Morning"/>
    <d v="1899-12-30T18:45:00"/>
    <d v="1899-12-30T19:15:00"/>
    <n v="0"/>
    <x v="1"/>
  </r>
  <r>
    <x v="0"/>
    <s v="Egypt"/>
    <x v="35"/>
    <x v="173"/>
    <x v="173"/>
    <d v="2025-06-23T00:00:00"/>
    <m/>
    <s v="Day Off"/>
    <m/>
    <m/>
    <n v="0"/>
    <x v="1"/>
  </r>
  <r>
    <x v="0"/>
    <s v="Egypt"/>
    <x v="35"/>
    <x v="173"/>
    <x v="173"/>
    <d v="2025-06-24T00:00:00"/>
    <m/>
    <s v="Day Off"/>
    <m/>
    <m/>
    <n v="0"/>
    <x v="1"/>
  </r>
  <r>
    <x v="0"/>
    <s v="Egypt"/>
    <x v="35"/>
    <x v="173"/>
    <x v="173"/>
    <d v="2025-06-25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20:00:00"/>
    <d v="1899-12-30T20:15:00"/>
    <n v="0"/>
    <x v="1"/>
  </r>
  <r>
    <x v="0"/>
    <s v="Egypt"/>
    <x v="35"/>
    <x v="173"/>
    <x v="173"/>
    <m/>
    <m/>
    <s v="Break 30 Night"/>
    <d v="1899-12-30T23:00:00"/>
    <d v="1899-12-30T23:30:00"/>
    <n v="0"/>
    <x v="1"/>
  </r>
  <r>
    <x v="0"/>
    <s v="Egypt"/>
    <x v="35"/>
    <x v="173"/>
    <x v="173"/>
    <d v="2025-06-26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20:00:00"/>
    <d v="1899-12-30T20:15:00"/>
    <n v="0"/>
    <x v="1"/>
  </r>
  <r>
    <x v="0"/>
    <s v="Egypt"/>
    <x v="35"/>
    <x v="173"/>
    <x v="173"/>
    <m/>
    <m/>
    <s v="Break 30 Night"/>
    <d v="1899-12-30T23:00:00"/>
    <d v="1899-12-30T23:30:00"/>
    <n v="0"/>
    <x v="1"/>
  </r>
  <r>
    <x v="0"/>
    <s v="Egypt"/>
    <x v="35"/>
    <x v="173"/>
    <x v="173"/>
    <d v="2025-06-27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20:15:00"/>
    <d v="1899-12-30T20:30:00"/>
    <n v="0"/>
    <x v="1"/>
  </r>
  <r>
    <x v="0"/>
    <s v="Egypt"/>
    <x v="35"/>
    <x v="173"/>
    <x v="173"/>
    <m/>
    <m/>
    <s v="Break 30 Night"/>
    <d v="1899-12-30T23:15:00"/>
    <d v="1899-12-30T23:45:00"/>
    <n v="0"/>
    <x v="1"/>
  </r>
  <r>
    <x v="0"/>
    <s v="Egypt"/>
    <x v="35"/>
    <x v="173"/>
    <x v="173"/>
    <d v="2025-06-28T00:00:00"/>
    <d v="1899-12-30T08:15:00"/>
    <s v="Non Telecom Assyot"/>
    <d v="1899-12-30T17:15:00"/>
    <s v="+1:30 AM"/>
    <n v="29700"/>
    <x v="0"/>
  </r>
  <r>
    <x v="0"/>
    <s v="Egypt"/>
    <x v="35"/>
    <x v="173"/>
    <x v="173"/>
    <m/>
    <m/>
    <s v="Break 15 Night"/>
    <d v="1899-12-30T20:15:00"/>
    <d v="1899-12-30T20:30:00"/>
    <n v="0"/>
    <x v="1"/>
  </r>
  <r>
    <x v="0"/>
    <s v="Egypt"/>
    <x v="35"/>
    <x v="173"/>
    <x v="173"/>
    <m/>
    <m/>
    <s v="Break 30 Night"/>
    <d v="1899-12-30T23:30:00"/>
    <s v="+12:00 AM"/>
    <n v="0"/>
    <x v="1"/>
  </r>
  <r>
    <x v="0"/>
    <s v="Egypt"/>
    <x v="35"/>
    <x v="173"/>
    <x v="173"/>
    <d v="2025-06-29T00:00:00"/>
    <m/>
    <s v="Day Off"/>
    <m/>
    <m/>
    <n v="0"/>
    <x v="1"/>
  </r>
  <r>
    <x v="0"/>
    <s v="Egypt"/>
    <x v="35"/>
    <x v="173"/>
    <x v="173"/>
    <d v="2025-06-30T00:00:00"/>
    <d v="1899-12-30T08:15:00"/>
    <s v="Non Telecom Assyot"/>
    <d v="1899-12-30T14:00:00"/>
    <d v="1899-12-30T22:15:00"/>
    <n v="29700"/>
    <x v="0"/>
  </r>
  <r>
    <x v="0"/>
    <s v="Egypt"/>
    <x v="35"/>
    <x v="173"/>
    <x v="173"/>
    <m/>
    <m/>
    <s v="Break 15 Morning"/>
    <d v="1899-12-30T16:30:00"/>
    <d v="1899-12-30T16:45:00"/>
    <n v="0"/>
    <x v="1"/>
  </r>
  <r>
    <x v="0"/>
    <s v="Egypt"/>
    <x v="35"/>
    <x v="173"/>
    <x v="173"/>
    <m/>
    <m/>
    <s v="Break 30 Morning"/>
    <d v="1899-12-30T19:30:00"/>
    <d v="1899-12-30T20:00:00"/>
    <n v="0"/>
    <x v="1"/>
  </r>
  <r>
    <x v="0"/>
    <s v="Egypt"/>
    <x v="35"/>
    <x v="174"/>
    <x v="174"/>
    <d v="2025-06-05T00:00:00"/>
    <d v="1899-12-30T08:15:00"/>
    <s v="Public holiday"/>
    <m/>
    <m/>
    <n v="29700"/>
    <x v="1"/>
  </r>
  <r>
    <x v="0"/>
    <s v="Egypt"/>
    <x v="35"/>
    <x v="174"/>
    <x v="174"/>
    <d v="2025-06-06T00:00:00"/>
    <m/>
    <s v="Day Off"/>
    <m/>
    <m/>
    <n v="0"/>
    <x v="1"/>
  </r>
  <r>
    <x v="0"/>
    <s v="Egypt"/>
    <x v="35"/>
    <x v="174"/>
    <x v="174"/>
    <d v="2025-06-07T00:00:00"/>
    <m/>
    <s v="Day Off"/>
    <m/>
    <m/>
    <n v="0"/>
    <x v="1"/>
  </r>
  <r>
    <x v="0"/>
    <s v="Egypt"/>
    <x v="35"/>
    <x v="174"/>
    <x v="174"/>
    <d v="2025-06-08T00:00:00"/>
    <d v="1899-12-30T08:15:00"/>
    <s v="Public holiday"/>
    <m/>
    <m/>
    <n v="29700"/>
    <x v="1"/>
  </r>
  <r>
    <x v="0"/>
    <s v="Egypt"/>
    <x v="35"/>
    <x v="174"/>
    <x v="174"/>
    <d v="2025-06-09T00:00:00"/>
    <m/>
    <s v="Day Off"/>
    <m/>
    <m/>
    <n v="0"/>
    <x v="1"/>
  </r>
  <r>
    <x v="0"/>
    <s v="Egypt"/>
    <x v="35"/>
    <x v="174"/>
    <x v="174"/>
    <d v="2025-06-10T00:00:00"/>
    <m/>
    <s v="Day Off"/>
    <m/>
    <m/>
    <n v="0"/>
    <x v="1"/>
  </r>
  <r>
    <x v="0"/>
    <s v="Egypt"/>
    <x v="35"/>
    <x v="174"/>
    <x v="174"/>
    <d v="2025-06-11T00:00:00"/>
    <d v="1899-12-30T08:15:00"/>
    <s v="Non Telecom Assyot"/>
    <d v="1899-12-30T11:00:00"/>
    <d v="1899-12-30T19:15:00"/>
    <n v="29700"/>
    <x v="0"/>
  </r>
  <r>
    <x v="0"/>
    <s v="Egypt"/>
    <x v="35"/>
    <x v="174"/>
    <x v="174"/>
    <m/>
    <m/>
    <s v="Break 15 Morning"/>
    <d v="1899-12-30T13:15:00"/>
    <d v="1899-12-30T13:30:00"/>
    <n v="0"/>
    <x v="1"/>
  </r>
  <r>
    <x v="0"/>
    <s v="Egypt"/>
    <x v="35"/>
    <x v="174"/>
    <x v="174"/>
    <m/>
    <m/>
    <s v="One to One"/>
    <d v="1899-12-30T15:30:00"/>
    <d v="1899-12-30T15:45:00"/>
    <n v="0"/>
    <x v="1"/>
  </r>
  <r>
    <x v="0"/>
    <s v="Egypt"/>
    <x v="35"/>
    <x v="174"/>
    <x v="174"/>
    <m/>
    <m/>
    <s v="Break 30 Morning"/>
    <d v="1899-12-30T16:45:00"/>
    <d v="1899-12-30T17:15:00"/>
    <n v="0"/>
    <x v="1"/>
  </r>
  <r>
    <x v="0"/>
    <s v="Egypt"/>
    <x v="35"/>
    <x v="174"/>
    <x v="174"/>
    <d v="2025-06-12T00:00:00"/>
    <d v="1899-12-30T08:15:00"/>
    <s v="Non Telecom Assyot"/>
    <d v="1899-12-30T11:00:00"/>
    <d v="1899-12-30T19:15:00"/>
    <n v="29700"/>
    <x v="0"/>
  </r>
  <r>
    <x v="0"/>
    <s v="Egypt"/>
    <x v="35"/>
    <x v="174"/>
    <x v="174"/>
    <m/>
    <m/>
    <s v="Break 15 Morning"/>
    <d v="1899-12-30T13:15:00"/>
    <d v="1899-12-30T13:30:00"/>
    <n v="0"/>
    <x v="1"/>
  </r>
  <r>
    <x v="0"/>
    <s v="Egypt"/>
    <x v="35"/>
    <x v="174"/>
    <x v="174"/>
    <m/>
    <m/>
    <s v="One to One"/>
    <d v="1899-12-30T15:30:00"/>
    <d v="1899-12-30T15:45:00"/>
    <n v="0"/>
    <x v="1"/>
  </r>
  <r>
    <x v="0"/>
    <s v="Egypt"/>
    <x v="35"/>
    <x v="174"/>
    <x v="174"/>
    <m/>
    <m/>
    <s v="Break 30 Morning"/>
    <d v="1899-12-30T16:15:00"/>
    <d v="1899-12-30T16:45:00"/>
    <n v="0"/>
    <x v="1"/>
  </r>
  <r>
    <x v="0"/>
    <s v="Egypt"/>
    <x v="35"/>
    <x v="174"/>
    <x v="174"/>
    <d v="2025-06-13T00:00:00"/>
    <d v="1899-12-30T08:15:00"/>
    <s v="Non Telecom Assyot"/>
    <d v="1899-12-30T11:00:00"/>
    <d v="1899-12-30T19:15:00"/>
    <n v="29700"/>
    <x v="0"/>
  </r>
  <r>
    <x v="0"/>
    <s v="Egypt"/>
    <x v="35"/>
    <x v="174"/>
    <x v="174"/>
    <m/>
    <m/>
    <s v="Break 15 Morning"/>
    <d v="1899-12-30T12:30:00"/>
    <d v="1899-12-30T12:45:00"/>
    <n v="0"/>
    <x v="1"/>
  </r>
  <r>
    <x v="0"/>
    <s v="Egypt"/>
    <x v="35"/>
    <x v="174"/>
    <x v="174"/>
    <m/>
    <m/>
    <s v="Friday Pray"/>
    <d v="1899-12-30T12:55:00"/>
    <d v="1899-12-30T13:50:00"/>
    <n v="0"/>
    <x v="1"/>
  </r>
  <r>
    <x v="0"/>
    <s v="Egypt"/>
    <x v="35"/>
    <x v="174"/>
    <x v="174"/>
    <m/>
    <m/>
    <s v="One to One"/>
    <d v="1899-12-30T15:00:00"/>
    <d v="1899-12-30T15:15:00"/>
    <n v="0"/>
    <x v="1"/>
  </r>
  <r>
    <x v="0"/>
    <s v="Egypt"/>
    <x v="35"/>
    <x v="174"/>
    <x v="174"/>
    <m/>
    <m/>
    <s v="Break 30 Morning"/>
    <d v="1899-12-30T16:00:00"/>
    <d v="1899-12-30T16:30:00"/>
    <n v="0"/>
    <x v="1"/>
  </r>
  <r>
    <x v="0"/>
    <s v="Egypt"/>
    <x v="35"/>
    <x v="174"/>
    <x v="174"/>
    <d v="2025-06-14T00:00:00"/>
    <d v="1899-12-30T08:15:00"/>
    <s v="Non Telecom Assyot"/>
    <d v="1899-12-30T11:00:00"/>
    <d v="1899-12-30T19:15:00"/>
    <n v="29700"/>
    <x v="0"/>
  </r>
  <r>
    <x v="0"/>
    <s v="Egypt"/>
    <x v="35"/>
    <x v="174"/>
    <x v="174"/>
    <m/>
    <m/>
    <s v="Break 15 Morning"/>
    <d v="1899-12-30T13:15:00"/>
    <d v="1899-12-30T13:30:00"/>
    <n v="0"/>
    <x v="1"/>
  </r>
  <r>
    <x v="0"/>
    <s v="Egypt"/>
    <x v="35"/>
    <x v="174"/>
    <x v="174"/>
    <m/>
    <m/>
    <s v="One to One"/>
    <d v="1899-12-30T15:45:00"/>
    <d v="1899-12-30T16:00:00"/>
    <n v="0"/>
    <x v="1"/>
  </r>
  <r>
    <x v="0"/>
    <s v="Egypt"/>
    <x v="35"/>
    <x v="174"/>
    <x v="174"/>
    <m/>
    <m/>
    <s v="Break 30 Morning"/>
    <d v="1899-12-30T16:45:00"/>
    <d v="1899-12-30T17:15:00"/>
    <n v="0"/>
    <x v="1"/>
  </r>
  <r>
    <x v="0"/>
    <s v="Egypt"/>
    <x v="35"/>
    <x v="174"/>
    <x v="174"/>
    <d v="2025-06-15T00:00:00"/>
    <d v="1899-12-30T08:15:00"/>
    <s v="Non Telecom Assyot"/>
    <d v="1899-12-30T11:00:00"/>
    <d v="1899-12-30T19:15:00"/>
    <n v="29700"/>
    <x v="0"/>
  </r>
  <r>
    <x v="0"/>
    <s v="Egypt"/>
    <x v="35"/>
    <x v="174"/>
    <x v="174"/>
    <m/>
    <m/>
    <s v="Break 15 Morning"/>
    <d v="1899-12-30T13:00:00"/>
    <d v="1899-12-30T13:15:00"/>
    <n v="0"/>
    <x v="1"/>
  </r>
  <r>
    <x v="0"/>
    <s v="Egypt"/>
    <x v="35"/>
    <x v="174"/>
    <x v="174"/>
    <m/>
    <m/>
    <s v="Break 30 Morning"/>
    <d v="1899-12-30T16:15:00"/>
    <d v="1899-12-30T16:45:00"/>
    <n v="0"/>
    <x v="1"/>
  </r>
  <r>
    <x v="0"/>
    <s v="Egypt"/>
    <x v="35"/>
    <x v="174"/>
    <x v="174"/>
    <d v="2025-06-16T00:00:00"/>
    <m/>
    <s v="Day Off"/>
    <m/>
    <m/>
    <n v="0"/>
    <x v="1"/>
  </r>
  <r>
    <x v="0"/>
    <s v="Egypt"/>
    <x v="35"/>
    <x v="174"/>
    <x v="174"/>
    <d v="2025-06-17T00:00:00"/>
    <m/>
    <s v="Day Off"/>
    <m/>
    <m/>
    <n v="0"/>
    <x v="1"/>
  </r>
  <r>
    <x v="0"/>
    <s v="Egypt"/>
    <x v="35"/>
    <x v="174"/>
    <x v="174"/>
    <d v="2025-06-18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19:45:00"/>
    <d v="1899-12-30T20:00:00"/>
    <n v="0"/>
    <x v="1"/>
  </r>
  <r>
    <x v="0"/>
    <s v="Egypt"/>
    <x v="35"/>
    <x v="174"/>
    <x v="174"/>
    <m/>
    <m/>
    <s v="Break 30 Night"/>
    <d v="1899-12-30T22:45:00"/>
    <d v="1899-12-30T23:15:00"/>
    <n v="0"/>
    <x v="1"/>
  </r>
  <r>
    <x v="0"/>
    <s v="Egypt"/>
    <x v="35"/>
    <x v="174"/>
    <x v="174"/>
    <d v="2025-06-19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19:45:00"/>
    <d v="1899-12-30T20:00:00"/>
    <n v="0"/>
    <x v="1"/>
  </r>
  <r>
    <x v="0"/>
    <s v="Egypt"/>
    <x v="35"/>
    <x v="174"/>
    <x v="174"/>
    <m/>
    <m/>
    <s v="Break 30 Night"/>
    <d v="1899-12-30T22:45:00"/>
    <d v="1899-12-30T23:15:00"/>
    <n v="0"/>
    <x v="1"/>
  </r>
  <r>
    <x v="0"/>
    <s v="Egypt"/>
    <x v="35"/>
    <x v="174"/>
    <x v="174"/>
    <d v="2025-06-20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20:00:00"/>
    <d v="1899-12-30T20:15:00"/>
    <n v="0"/>
    <x v="1"/>
  </r>
  <r>
    <x v="0"/>
    <s v="Egypt"/>
    <x v="35"/>
    <x v="174"/>
    <x v="174"/>
    <m/>
    <m/>
    <s v="Break 30 Night"/>
    <d v="1899-12-30T22:45:00"/>
    <d v="1899-12-30T23:15:00"/>
    <n v="0"/>
    <x v="1"/>
  </r>
  <r>
    <x v="0"/>
    <s v="Egypt"/>
    <x v="35"/>
    <x v="174"/>
    <x v="174"/>
    <d v="2025-06-21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20:00:00"/>
    <d v="1899-12-30T20:15:00"/>
    <n v="0"/>
    <x v="1"/>
  </r>
  <r>
    <x v="0"/>
    <s v="Egypt"/>
    <x v="35"/>
    <x v="174"/>
    <x v="174"/>
    <m/>
    <m/>
    <s v="Break 30 Night"/>
    <d v="1899-12-30T23:00:00"/>
    <d v="1899-12-30T23:30:00"/>
    <n v="0"/>
    <x v="1"/>
  </r>
  <r>
    <x v="0"/>
    <s v="Egypt"/>
    <x v="35"/>
    <x v="174"/>
    <x v="174"/>
    <d v="2025-06-22T00:00:00"/>
    <m/>
    <s v="Day Off"/>
    <m/>
    <m/>
    <n v="0"/>
    <x v="1"/>
  </r>
  <r>
    <x v="0"/>
    <s v="Egypt"/>
    <x v="35"/>
    <x v="174"/>
    <x v="174"/>
    <d v="2025-06-23T00:00:00"/>
    <d v="1899-12-30T08:15:00"/>
    <s v="Non Telecom Assyot"/>
    <d v="1899-12-30T14:00:00"/>
    <d v="1899-12-30T22:15:00"/>
    <n v="29700"/>
    <x v="0"/>
  </r>
  <r>
    <x v="0"/>
    <s v="Egypt"/>
    <x v="35"/>
    <x v="174"/>
    <x v="174"/>
    <m/>
    <m/>
    <s v="Break 15 Morning"/>
    <d v="1899-12-30T16:30:00"/>
    <d v="1899-12-30T16:45:00"/>
    <n v="0"/>
    <x v="1"/>
  </r>
  <r>
    <x v="0"/>
    <s v="Egypt"/>
    <x v="35"/>
    <x v="174"/>
    <x v="174"/>
    <m/>
    <m/>
    <s v="Break 30 Morning"/>
    <d v="1899-12-30T19:00:00"/>
    <d v="1899-12-30T19:30:00"/>
    <n v="0"/>
    <x v="1"/>
  </r>
  <r>
    <x v="0"/>
    <s v="Egypt"/>
    <x v="35"/>
    <x v="174"/>
    <x v="174"/>
    <d v="2025-06-24T00:00:00"/>
    <d v="1899-12-30T08:15:00"/>
    <s v="Non Telecom Assyot"/>
    <d v="1899-12-30T14:00:00"/>
    <d v="1899-12-30T22:15:00"/>
    <n v="29700"/>
    <x v="0"/>
  </r>
  <r>
    <x v="0"/>
    <s v="Egypt"/>
    <x v="35"/>
    <x v="174"/>
    <x v="174"/>
    <m/>
    <m/>
    <s v="Break 15 Morning"/>
    <d v="1899-12-30T16:30:00"/>
    <d v="1899-12-30T16:45:00"/>
    <n v="0"/>
    <x v="1"/>
  </r>
  <r>
    <x v="0"/>
    <s v="Egypt"/>
    <x v="35"/>
    <x v="174"/>
    <x v="174"/>
    <m/>
    <m/>
    <s v="Break 30 Morning"/>
    <d v="1899-12-30T19:15:00"/>
    <d v="1899-12-30T19:45:00"/>
    <n v="0"/>
    <x v="1"/>
  </r>
  <r>
    <x v="0"/>
    <s v="Egypt"/>
    <x v="35"/>
    <x v="174"/>
    <x v="174"/>
    <d v="2025-06-25T00:00:00"/>
    <d v="1899-12-30T08:15:00"/>
    <s v="Non Telecom Assyot"/>
    <d v="1899-12-30T14:00:00"/>
    <d v="1899-12-30T22:15:00"/>
    <n v="29700"/>
    <x v="0"/>
  </r>
  <r>
    <x v="0"/>
    <s v="Egypt"/>
    <x v="35"/>
    <x v="174"/>
    <x v="174"/>
    <m/>
    <m/>
    <s v="Break 15 Morning"/>
    <d v="1899-12-30T16:15:00"/>
    <d v="1899-12-30T16:30:00"/>
    <n v="0"/>
    <x v="1"/>
  </r>
  <r>
    <x v="0"/>
    <s v="Egypt"/>
    <x v="35"/>
    <x v="174"/>
    <x v="174"/>
    <m/>
    <m/>
    <s v="Break 30 Morning"/>
    <d v="1899-12-30T18:45:00"/>
    <d v="1899-12-30T19:15:00"/>
    <n v="0"/>
    <x v="1"/>
  </r>
  <r>
    <x v="0"/>
    <s v="Egypt"/>
    <x v="35"/>
    <x v="174"/>
    <x v="174"/>
    <d v="2025-06-26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20:00:00"/>
    <d v="1899-12-30T20:15:00"/>
    <n v="0"/>
    <x v="1"/>
  </r>
  <r>
    <x v="0"/>
    <s v="Egypt"/>
    <x v="35"/>
    <x v="174"/>
    <x v="174"/>
    <m/>
    <m/>
    <s v="Break 30 Night"/>
    <d v="1899-12-30T23:00:00"/>
    <d v="1899-12-30T23:30:00"/>
    <n v="0"/>
    <x v="1"/>
  </r>
  <r>
    <x v="0"/>
    <s v="Egypt"/>
    <x v="35"/>
    <x v="174"/>
    <x v="174"/>
    <d v="2025-06-27T00:00:00"/>
    <d v="1899-12-30T08:15:00"/>
    <s v="Annual Exception"/>
    <m/>
    <m/>
    <n v="29700"/>
    <x v="1"/>
  </r>
  <r>
    <x v="0"/>
    <s v="Egypt"/>
    <x v="35"/>
    <x v="174"/>
    <x v="174"/>
    <d v="2025-06-28T00:00:00"/>
    <m/>
    <s v="Day Off"/>
    <m/>
    <m/>
    <n v="0"/>
    <x v="1"/>
  </r>
  <r>
    <x v="0"/>
    <s v="Egypt"/>
    <x v="35"/>
    <x v="174"/>
    <x v="174"/>
    <d v="2025-06-29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20:15:00"/>
    <d v="1899-12-30T20:30:00"/>
    <n v="0"/>
    <x v="1"/>
  </r>
  <r>
    <x v="0"/>
    <s v="Egypt"/>
    <x v="35"/>
    <x v="174"/>
    <x v="174"/>
    <m/>
    <m/>
    <s v="Break 30 Night"/>
    <d v="1899-12-30T23:30:00"/>
    <s v="+12:00 AM"/>
    <n v="0"/>
    <x v="1"/>
  </r>
  <r>
    <x v="0"/>
    <s v="Egypt"/>
    <x v="35"/>
    <x v="174"/>
    <x v="174"/>
    <d v="2025-06-30T00:00:00"/>
    <d v="1899-12-30T08:15:00"/>
    <s v="Non Telecom Assyot"/>
    <d v="1899-12-30T17:15:00"/>
    <s v="+1:30 AM"/>
    <n v="29700"/>
    <x v="0"/>
  </r>
  <r>
    <x v="0"/>
    <s v="Egypt"/>
    <x v="35"/>
    <x v="174"/>
    <x v="174"/>
    <m/>
    <m/>
    <s v="Break 15 Night"/>
    <d v="1899-12-30T20:00:00"/>
    <d v="1899-12-30T20:15:00"/>
    <n v="0"/>
    <x v="1"/>
  </r>
  <r>
    <x v="0"/>
    <s v="Egypt"/>
    <x v="35"/>
    <x v="174"/>
    <x v="174"/>
    <m/>
    <m/>
    <s v="Break 30 Night"/>
    <d v="1899-12-30T23:30:00"/>
    <s v="+12:00 AM"/>
    <n v="0"/>
    <x v="1"/>
  </r>
  <r>
    <x v="0"/>
    <s v="Egypt"/>
    <x v="35"/>
    <x v="175"/>
    <x v="175"/>
    <d v="2025-06-01T00:00:00"/>
    <m/>
    <s v="Day Off"/>
    <m/>
    <m/>
    <n v="0"/>
    <x v="1"/>
  </r>
  <r>
    <x v="0"/>
    <s v="Egypt"/>
    <x v="35"/>
    <x v="175"/>
    <x v="175"/>
    <d v="2025-06-02T00:00:00"/>
    <m/>
    <s v="Day Off"/>
    <m/>
    <m/>
    <n v="0"/>
    <x v="1"/>
  </r>
  <r>
    <x v="0"/>
    <s v="Egypt"/>
    <x v="35"/>
    <x v="175"/>
    <x v="175"/>
    <d v="2025-06-03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45:00"/>
    <d v="1899-12-30T21:00:00"/>
    <n v="0"/>
    <x v="1"/>
  </r>
  <r>
    <x v="0"/>
    <s v="Egypt"/>
    <x v="35"/>
    <x v="175"/>
    <x v="175"/>
    <m/>
    <m/>
    <s v="Break 30 Night"/>
    <d v="1899-12-30T23:45:00"/>
    <s v="+12:15 AM"/>
    <n v="0"/>
    <x v="1"/>
  </r>
  <r>
    <x v="0"/>
    <s v="Egypt"/>
    <x v="35"/>
    <x v="175"/>
    <x v="175"/>
    <d v="2025-06-04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15:00"/>
    <d v="1899-12-30T20:30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05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30:00"/>
    <d v="1899-12-30T20:45:00"/>
    <n v="0"/>
    <x v="1"/>
  </r>
  <r>
    <x v="0"/>
    <s v="Egypt"/>
    <x v="35"/>
    <x v="175"/>
    <x v="175"/>
    <m/>
    <m/>
    <s v="Break 30 Night"/>
    <d v="1899-12-30T23:45:00"/>
    <s v="+12:15 AM"/>
    <n v="0"/>
    <x v="1"/>
  </r>
  <r>
    <x v="0"/>
    <s v="Egypt"/>
    <x v="35"/>
    <x v="175"/>
    <x v="175"/>
    <d v="2025-06-06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00:00"/>
    <d v="1899-12-30T20:15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07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00:00"/>
    <d v="1899-12-30T20:15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08T00:00:00"/>
    <m/>
    <s v="Day Off"/>
    <m/>
    <m/>
    <n v="0"/>
    <x v="1"/>
  </r>
  <r>
    <x v="0"/>
    <s v="Egypt"/>
    <x v="35"/>
    <x v="175"/>
    <x v="175"/>
    <d v="2025-06-09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19:30:00"/>
    <d v="1899-12-30T19:45:00"/>
    <n v="0"/>
    <x v="1"/>
  </r>
  <r>
    <x v="0"/>
    <s v="Egypt"/>
    <x v="35"/>
    <x v="175"/>
    <x v="175"/>
    <m/>
    <m/>
    <s v="Break 30 Night"/>
    <d v="1899-12-30T22:30:00"/>
    <d v="1899-12-30T23:00:00"/>
    <n v="0"/>
    <x v="1"/>
  </r>
  <r>
    <x v="0"/>
    <s v="Egypt"/>
    <x v="35"/>
    <x v="175"/>
    <x v="175"/>
    <d v="2025-06-10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00:00"/>
    <d v="1899-12-30T20:15:00"/>
    <n v="0"/>
    <x v="1"/>
  </r>
  <r>
    <x v="0"/>
    <s v="Egypt"/>
    <x v="35"/>
    <x v="175"/>
    <x v="175"/>
    <m/>
    <m/>
    <s v="Break 30 Night"/>
    <d v="1899-12-30T23:00:00"/>
    <d v="1899-12-30T23:30:00"/>
    <n v="0"/>
    <x v="1"/>
  </r>
  <r>
    <x v="0"/>
    <s v="Egypt"/>
    <x v="35"/>
    <x v="175"/>
    <x v="175"/>
    <d v="2025-06-11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15:00"/>
    <d v="1899-12-30T20:30:00"/>
    <n v="0"/>
    <x v="1"/>
  </r>
  <r>
    <x v="0"/>
    <s v="Egypt"/>
    <x v="35"/>
    <x v="175"/>
    <x v="175"/>
    <m/>
    <m/>
    <s v="Break 30 Night"/>
    <d v="1899-12-30T23:00:00"/>
    <d v="1899-12-30T23:30:00"/>
    <n v="0"/>
    <x v="1"/>
  </r>
  <r>
    <x v="0"/>
    <s v="Egypt"/>
    <x v="35"/>
    <x v="175"/>
    <x v="175"/>
    <d v="2025-06-12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30:00"/>
    <d v="1899-12-30T20:45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13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19:45:00"/>
    <d v="1899-12-30T20:00:00"/>
    <n v="0"/>
    <x v="1"/>
  </r>
  <r>
    <x v="0"/>
    <s v="Egypt"/>
    <x v="35"/>
    <x v="175"/>
    <x v="175"/>
    <m/>
    <m/>
    <s v="Break 30 Night"/>
    <d v="1899-12-30T23:00:00"/>
    <d v="1899-12-30T23:30:00"/>
    <n v="0"/>
    <x v="1"/>
  </r>
  <r>
    <x v="0"/>
    <s v="Egypt"/>
    <x v="35"/>
    <x v="175"/>
    <x v="175"/>
    <d v="2025-06-14T00:00:00"/>
    <m/>
    <s v="Day Off"/>
    <m/>
    <m/>
    <n v="0"/>
    <x v="1"/>
  </r>
  <r>
    <x v="0"/>
    <s v="Egypt"/>
    <x v="35"/>
    <x v="175"/>
    <x v="175"/>
    <d v="2025-06-15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7:30:00"/>
    <d v="1899-12-30T17:45:00"/>
    <n v="0"/>
    <x v="1"/>
  </r>
  <r>
    <x v="0"/>
    <s v="Egypt"/>
    <x v="35"/>
    <x v="175"/>
    <x v="175"/>
    <m/>
    <m/>
    <s v="Break 30 Morning"/>
    <d v="1899-12-30T20:15:00"/>
    <d v="1899-12-30T20:45:00"/>
    <n v="0"/>
    <x v="1"/>
  </r>
  <r>
    <x v="0"/>
    <s v="Egypt"/>
    <x v="35"/>
    <x v="175"/>
    <x v="175"/>
    <d v="2025-06-16T00:00:00"/>
    <d v="1899-12-30T08:15:00"/>
    <s v="Annual Exception"/>
    <m/>
    <m/>
    <n v="29700"/>
    <x v="1"/>
  </r>
  <r>
    <x v="0"/>
    <s v="Egypt"/>
    <x v="35"/>
    <x v="175"/>
    <x v="175"/>
    <d v="2025-06-17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6:30:00"/>
    <d v="1899-12-30T16:45:00"/>
    <n v="0"/>
    <x v="1"/>
  </r>
  <r>
    <x v="0"/>
    <s v="Egypt"/>
    <x v="35"/>
    <x v="175"/>
    <x v="175"/>
    <m/>
    <m/>
    <s v="Break 30 Morning"/>
    <d v="1899-12-30T20:00:00"/>
    <d v="1899-12-30T20:30:00"/>
    <n v="0"/>
    <x v="1"/>
  </r>
  <r>
    <x v="0"/>
    <s v="Egypt"/>
    <x v="35"/>
    <x v="175"/>
    <x v="175"/>
    <d v="2025-06-18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6:45:00"/>
    <d v="1899-12-30T17:00:00"/>
    <n v="0"/>
    <x v="1"/>
  </r>
  <r>
    <x v="0"/>
    <s v="Egypt"/>
    <x v="35"/>
    <x v="175"/>
    <x v="175"/>
    <m/>
    <m/>
    <s v="Break 30 Morning"/>
    <d v="1899-12-30T19:45:00"/>
    <d v="1899-12-30T20:15:00"/>
    <n v="0"/>
    <x v="1"/>
  </r>
  <r>
    <x v="0"/>
    <s v="Egypt"/>
    <x v="35"/>
    <x v="175"/>
    <x v="175"/>
    <d v="2025-06-19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6:45:00"/>
    <d v="1899-12-30T17:00:00"/>
    <n v="0"/>
    <x v="1"/>
  </r>
  <r>
    <x v="0"/>
    <s v="Egypt"/>
    <x v="35"/>
    <x v="175"/>
    <x v="175"/>
    <m/>
    <m/>
    <s v="Break 30 Morning"/>
    <d v="1899-12-30T19:15:00"/>
    <d v="1899-12-30T19:45:00"/>
    <n v="0"/>
    <x v="1"/>
  </r>
  <r>
    <x v="0"/>
    <s v="Egypt"/>
    <x v="35"/>
    <x v="175"/>
    <x v="175"/>
    <d v="2025-06-20T00:00:00"/>
    <m/>
    <s v="Day Off"/>
    <m/>
    <m/>
    <n v="0"/>
    <x v="1"/>
  </r>
  <r>
    <x v="0"/>
    <s v="Egypt"/>
    <x v="35"/>
    <x v="175"/>
    <x v="175"/>
    <d v="2025-06-21T00:00:00"/>
    <m/>
    <s v="Day Off"/>
    <m/>
    <m/>
    <n v="0"/>
    <x v="1"/>
  </r>
  <r>
    <x v="0"/>
    <s v="Egypt"/>
    <x v="35"/>
    <x v="175"/>
    <x v="175"/>
    <d v="2025-06-22T00:00:00"/>
    <d v="1899-12-30T08:15:00"/>
    <s v="Annual Exception"/>
    <m/>
    <m/>
    <n v="29700"/>
    <x v="1"/>
  </r>
  <r>
    <x v="0"/>
    <s v="Egypt"/>
    <x v="35"/>
    <x v="175"/>
    <x v="175"/>
    <d v="2025-06-23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45:00"/>
    <d v="1899-12-30T21:00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24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45:00"/>
    <d v="1899-12-30T21:00:00"/>
    <n v="0"/>
    <x v="1"/>
  </r>
  <r>
    <x v="0"/>
    <s v="Egypt"/>
    <x v="35"/>
    <x v="175"/>
    <x v="175"/>
    <m/>
    <m/>
    <s v="Break 30 Night"/>
    <d v="1899-12-30T23:00:00"/>
    <d v="1899-12-30T23:30:00"/>
    <n v="0"/>
    <x v="1"/>
  </r>
  <r>
    <x v="0"/>
    <s v="Egypt"/>
    <x v="35"/>
    <x v="175"/>
    <x v="175"/>
    <d v="2025-06-25T00:00:00"/>
    <d v="1899-12-30T08:15:00"/>
    <s v="Non Telecom Assyot"/>
    <d v="1899-12-30T17:15:00"/>
    <s v="+1:30 AM"/>
    <n v="29700"/>
    <x v="0"/>
  </r>
  <r>
    <x v="0"/>
    <s v="Egypt"/>
    <x v="35"/>
    <x v="175"/>
    <x v="175"/>
    <m/>
    <m/>
    <s v="Break 15 Night"/>
    <d v="1899-12-30T20:30:00"/>
    <d v="1899-12-30T20:45:00"/>
    <n v="0"/>
    <x v="1"/>
  </r>
  <r>
    <x v="0"/>
    <s v="Egypt"/>
    <x v="35"/>
    <x v="175"/>
    <x v="175"/>
    <m/>
    <m/>
    <s v="Break 30 Night"/>
    <d v="1899-12-30T23:30:00"/>
    <s v="+12:00 AM"/>
    <n v="0"/>
    <x v="1"/>
  </r>
  <r>
    <x v="0"/>
    <s v="Egypt"/>
    <x v="35"/>
    <x v="175"/>
    <x v="175"/>
    <d v="2025-06-26T00:00:00"/>
    <m/>
    <s v="Day Off"/>
    <m/>
    <m/>
    <n v="0"/>
    <x v="1"/>
  </r>
  <r>
    <x v="0"/>
    <s v="Egypt"/>
    <x v="35"/>
    <x v="175"/>
    <x v="175"/>
    <d v="2025-06-27T00:00:00"/>
    <m/>
    <s v="Day Off"/>
    <m/>
    <m/>
    <n v="0"/>
    <x v="1"/>
  </r>
  <r>
    <x v="0"/>
    <s v="Egypt"/>
    <x v="35"/>
    <x v="175"/>
    <x v="175"/>
    <d v="2025-06-28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6:30:00"/>
    <d v="1899-12-30T16:45:00"/>
    <n v="0"/>
    <x v="1"/>
  </r>
  <r>
    <x v="0"/>
    <s v="Egypt"/>
    <x v="35"/>
    <x v="175"/>
    <x v="175"/>
    <m/>
    <m/>
    <s v="Break 30 Morning"/>
    <d v="1899-12-30T20:00:00"/>
    <d v="1899-12-30T20:30:00"/>
    <n v="0"/>
    <x v="1"/>
  </r>
  <r>
    <x v="0"/>
    <s v="Egypt"/>
    <x v="35"/>
    <x v="175"/>
    <x v="175"/>
    <d v="2025-06-29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6:15:00"/>
    <d v="1899-12-30T16:30:00"/>
    <n v="0"/>
    <x v="1"/>
  </r>
  <r>
    <x v="0"/>
    <s v="Egypt"/>
    <x v="35"/>
    <x v="175"/>
    <x v="175"/>
    <m/>
    <m/>
    <s v="Break 30 Morning"/>
    <d v="1899-12-30T19:30:00"/>
    <d v="1899-12-30T20:00:00"/>
    <n v="0"/>
    <x v="1"/>
  </r>
  <r>
    <x v="0"/>
    <s v="Egypt"/>
    <x v="35"/>
    <x v="175"/>
    <x v="175"/>
    <d v="2025-06-30T00:00:00"/>
    <d v="1899-12-30T08:15:00"/>
    <s v="Non Telecom Assyot"/>
    <d v="1899-12-30T14:00:00"/>
    <d v="1899-12-30T22:15:00"/>
    <n v="29700"/>
    <x v="0"/>
  </r>
  <r>
    <x v="0"/>
    <s v="Egypt"/>
    <x v="35"/>
    <x v="175"/>
    <x v="175"/>
    <m/>
    <m/>
    <s v="Break 15 Morning"/>
    <d v="1899-12-30T17:00:00"/>
    <d v="1899-12-30T17:15:00"/>
    <n v="0"/>
    <x v="1"/>
  </r>
  <r>
    <x v="0"/>
    <s v="Egypt"/>
    <x v="35"/>
    <x v="175"/>
    <x v="175"/>
    <m/>
    <m/>
    <s v="Break 30 Morning"/>
    <d v="1899-12-30T20:00:00"/>
    <d v="1899-12-30T20:30:00"/>
    <n v="0"/>
    <x v="1"/>
  </r>
  <r>
    <x v="0"/>
    <s v="Egypt"/>
    <x v="35"/>
    <x v="176"/>
    <x v="176"/>
    <d v="2025-06-01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19:15:00"/>
    <d v="1899-12-30T19:30:00"/>
    <n v="0"/>
    <x v="1"/>
  </r>
  <r>
    <x v="0"/>
    <s v="Egypt"/>
    <x v="35"/>
    <x v="176"/>
    <x v="176"/>
    <m/>
    <m/>
    <s v="Break 30 Night"/>
    <d v="1899-12-30T22:45:00"/>
    <d v="1899-12-30T23:15:00"/>
    <n v="0"/>
    <x v="1"/>
  </r>
  <r>
    <x v="0"/>
    <s v="Egypt"/>
    <x v="35"/>
    <x v="176"/>
    <x v="176"/>
    <d v="2025-06-02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00:00"/>
    <d v="1899-12-30T20:15:00"/>
    <n v="0"/>
    <x v="1"/>
  </r>
  <r>
    <x v="0"/>
    <s v="Egypt"/>
    <x v="35"/>
    <x v="176"/>
    <x v="176"/>
    <m/>
    <m/>
    <s v="Break 30 Night"/>
    <d v="1899-12-30T23:15:00"/>
    <d v="1899-12-30T23:45:00"/>
    <n v="0"/>
    <x v="1"/>
  </r>
  <r>
    <x v="0"/>
    <s v="Egypt"/>
    <x v="35"/>
    <x v="176"/>
    <x v="176"/>
    <d v="2025-06-03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45:00"/>
    <s v="+12:15 AM"/>
    <n v="0"/>
    <x v="1"/>
  </r>
  <r>
    <x v="0"/>
    <s v="Egypt"/>
    <x v="35"/>
    <x v="176"/>
    <x v="176"/>
    <d v="2025-06-04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30:00"/>
    <d v="1899-12-30T20:45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05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s v="+12:15 AM"/>
    <s v="+12:45 AM"/>
    <n v="0"/>
    <x v="1"/>
  </r>
  <r>
    <x v="0"/>
    <s v="Egypt"/>
    <x v="35"/>
    <x v="176"/>
    <x v="176"/>
    <d v="2025-06-06T00:00:00"/>
    <m/>
    <s v="Day Off"/>
    <m/>
    <m/>
    <n v="0"/>
    <x v="1"/>
  </r>
  <r>
    <x v="0"/>
    <s v="Egypt"/>
    <x v="35"/>
    <x v="176"/>
    <x v="176"/>
    <d v="2025-06-07T00:00:00"/>
    <m/>
    <s v="Day Off"/>
    <m/>
    <m/>
    <n v="0"/>
    <x v="1"/>
  </r>
  <r>
    <x v="0"/>
    <s v="Egypt"/>
    <x v="35"/>
    <x v="176"/>
    <x v="176"/>
    <d v="2025-06-08T00:00:00"/>
    <d v="1899-12-30T08:15:00"/>
    <s v="Non Telecom Assyot"/>
    <d v="1899-12-30T14:00:00"/>
    <d v="1899-12-30T22:15:00"/>
    <n v="29700"/>
    <x v="0"/>
  </r>
  <r>
    <x v="0"/>
    <s v="Egypt"/>
    <x v="35"/>
    <x v="176"/>
    <x v="176"/>
    <m/>
    <m/>
    <s v="Break 15 Morning"/>
    <d v="1899-12-30T15:30:00"/>
    <d v="1899-12-30T15:45:00"/>
    <n v="0"/>
    <x v="1"/>
  </r>
  <r>
    <x v="0"/>
    <s v="Egypt"/>
    <x v="35"/>
    <x v="176"/>
    <x v="176"/>
    <m/>
    <m/>
    <s v="Break 30 Morning"/>
    <d v="1899-12-30T18:45:00"/>
    <d v="1899-12-30T19:15:00"/>
    <n v="0"/>
    <x v="1"/>
  </r>
  <r>
    <x v="0"/>
    <s v="Egypt"/>
    <x v="35"/>
    <x v="176"/>
    <x v="176"/>
    <d v="2025-06-09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19:45:00"/>
    <d v="1899-12-30T20:00:00"/>
    <n v="0"/>
    <x v="1"/>
  </r>
  <r>
    <x v="0"/>
    <s v="Egypt"/>
    <x v="35"/>
    <x v="176"/>
    <x v="176"/>
    <m/>
    <m/>
    <s v="Break 30 Night"/>
    <d v="1899-12-30T23:00:00"/>
    <d v="1899-12-30T23:30:00"/>
    <n v="0"/>
    <x v="1"/>
  </r>
  <r>
    <x v="0"/>
    <s v="Egypt"/>
    <x v="35"/>
    <x v="176"/>
    <x v="176"/>
    <d v="2025-06-10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00:00"/>
    <d v="1899-12-30T20:15:00"/>
    <n v="0"/>
    <x v="1"/>
  </r>
  <r>
    <x v="0"/>
    <s v="Egypt"/>
    <x v="35"/>
    <x v="176"/>
    <x v="176"/>
    <m/>
    <m/>
    <s v="Break 30 Night"/>
    <d v="1899-12-30T23:00:00"/>
    <d v="1899-12-30T23:30:00"/>
    <n v="0"/>
    <x v="1"/>
  </r>
  <r>
    <x v="0"/>
    <s v="Egypt"/>
    <x v="35"/>
    <x v="176"/>
    <x v="176"/>
    <d v="2025-06-11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15:00"/>
    <d v="1899-12-30T20:30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12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30:00"/>
    <d v="1899-12-30T20:45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13T00:00:00"/>
    <m/>
    <s v="Day Off"/>
    <m/>
    <m/>
    <n v="0"/>
    <x v="1"/>
  </r>
  <r>
    <x v="0"/>
    <s v="Egypt"/>
    <x v="35"/>
    <x v="176"/>
    <x v="176"/>
    <d v="2025-06-14T00:00:00"/>
    <m/>
    <s v="Day Off"/>
    <m/>
    <m/>
    <n v="0"/>
    <x v="1"/>
  </r>
  <r>
    <x v="0"/>
    <s v="Egypt"/>
    <x v="35"/>
    <x v="176"/>
    <x v="176"/>
    <d v="2025-06-15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45:00"/>
    <s v="+12:15 AM"/>
    <n v="0"/>
    <x v="1"/>
  </r>
  <r>
    <x v="0"/>
    <s v="Egypt"/>
    <x v="35"/>
    <x v="176"/>
    <x v="176"/>
    <d v="2025-06-16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17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18T00:00:00"/>
    <d v="1899-12-30T08:15:00"/>
    <s v="Annual Exception"/>
    <m/>
    <m/>
    <n v="29700"/>
    <x v="1"/>
  </r>
  <r>
    <x v="0"/>
    <s v="Egypt"/>
    <x v="35"/>
    <x v="176"/>
    <x v="176"/>
    <d v="2025-06-19T00:00:00"/>
    <d v="1899-12-30T08:15:00"/>
    <s v="Annual Exception"/>
    <m/>
    <m/>
    <n v="29700"/>
    <x v="1"/>
  </r>
  <r>
    <x v="0"/>
    <s v="Egypt"/>
    <x v="35"/>
    <x v="176"/>
    <x v="176"/>
    <d v="2025-06-20T00:00:00"/>
    <m/>
    <s v="Day Off"/>
    <m/>
    <m/>
    <n v="0"/>
    <x v="1"/>
  </r>
  <r>
    <x v="0"/>
    <s v="Egypt"/>
    <x v="35"/>
    <x v="176"/>
    <x v="176"/>
    <d v="2025-06-21T00:00:00"/>
    <m/>
    <s v="Day Off"/>
    <m/>
    <m/>
    <n v="0"/>
    <x v="1"/>
  </r>
  <r>
    <x v="0"/>
    <s v="Egypt"/>
    <x v="35"/>
    <x v="176"/>
    <x v="176"/>
    <d v="2025-06-22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15:00"/>
    <d v="1899-12-30T23:45:00"/>
    <n v="0"/>
    <x v="1"/>
  </r>
  <r>
    <x v="0"/>
    <s v="Egypt"/>
    <x v="35"/>
    <x v="176"/>
    <x v="176"/>
    <d v="2025-06-23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30:00"/>
    <s v="+12:00 AM"/>
    <n v="0"/>
    <x v="1"/>
  </r>
  <r>
    <x v="0"/>
    <s v="Egypt"/>
    <x v="35"/>
    <x v="176"/>
    <x v="176"/>
    <d v="2025-06-24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45:00"/>
    <d v="1899-12-30T21:00:00"/>
    <n v="0"/>
    <x v="1"/>
  </r>
  <r>
    <x v="0"/>
    <s v="Egypt"/>
    <x v="35"/>
    <x v="176"/>
    <x v="176"/>
    <m/>
    <m/>
    <s v="Break 30 Night"/>
    <d v="1899-12-30T23:15:00"/>
    <d v="1899-12-30T23:45:00"/>
    <n v="0"/>
    <x v="1"/>
  </r>
  <r>
    <x v="0"/>
    <s v="Egypt"/>
    <x v="35"/>
    <x v="176"/>
    <x v="176"/>
    <d v="2025-06-25T00:00:00"/>
    <d v="1899-12-30T08:15:00"/>
    <s v="Non Telecom Assyot"/>
    <d v="1899-12-30T17:15:00"/>
    <s v="+1:30 AM"/>
    <n v="29700"/>
    <x v="0"/>
  </r>
  <r>
    <x v="0"/>
    <s v="Egypt"/>
    <x v="35"/>
    <x v="176"/>
    <x v="176"/>
    <m/>
    <m/>
    <s v="Break 15 Night"/>
    <d v="1899-12-30T20:30:00"/>
    <d v="1899-12-30T20:45:00"/>
    <n v="0"/>
    <x v="1"/>
  </r>
  <r>
    <x v="0"/>
    <s v="Egypt"/>
    <x v="35"/>
    <x v="176"/>
    <x v="176"/>
    <m/>
    <m/>
    <s v="Break 30 Night"/>
    <s v="+12:00 AM"/>
    <s v="+12:30 AM"/>
    <n v="0"/>
    <x v="1"/>
  </r>
  <r>
    <x v="0"/>
    <s v="Egypt"/>
    <x v="35"/>
    <x v="176"/>
    <x v="176"/>
    <d v="2025-06-26T00:00:00"/>
    <m/>
    <s v="Day Off"/>
    <m/>
    <m/>
    <n v="0"/>
    <x v="1"/>
  </r>
  <r>
    <x v="0"/>
    <s v="Egypt"/>
    <x v="35"/>
    <x v="176"/>
    <x v="176"/>
    <d v="2025-06-27T00:00:00"/>
    <m/>
    <s v="Day Off"/>
    <m/>
    <m/>
    <n v="0"/>
    <x v="1"/>
  </r>
  <r>
    <x v="0"/>
    <s v="Egypt"/>
    <x v="35"/>
    <x v="176"/>
    <x v="176"/>
    <d v="2025-06-28T00:00:00"/>
    <d v="1899-12-30T08:15:00"/>
    <s v="Non Telecom Assyot"/>
    <d v="1899-12-30T14:00:00"/>
    <d v="1899-12-30T22:15:00"/>
    <n v="29700"/>
    <x v="0"/>
  </r>
  <r>
    <x v="0"/>
    <s v="Egypt"/>
    <x v="35"/>
    <x v="176"/>
    <x v="176"/>
    <m/>
    <m/>
    <s v="Break 15 Morning"/>
    <d v="1899-12-30T16:45:00"/>
    <d v="1899-12-30T17:00:00"/>
    <n v="0"/>
    <x v="1"/>
  </r>
  <r>
    <x v="0"/>
    <s v="Egypt"/>
    <x v="35"/>
    <x v="176"/>
    <x v="176"/>
    <m/>
    <m/>
    <s v="Break 30 Morning"/>
    <d v="1899-12-30T20:00:00"/>
    <d v="1899-12-30T20:30:00"/>
    <n v="0"/>
    <x v="1"/>
  </r>
  <r>
    <x v="0"/>
    <s v="Egypt"/>
    <x v="35"/>
    <x v="176"/>
    <x v="176"/>
    <d v="2025-06-29T00:00:00"/>
    <d v="1899-12-30T08:15:00"/>
    <s v="Non Telecom Assyot"/>
    <d v="1899-12-30T14:00:00"/>
    <d v="1899-12-30T22:15:00"/>
    <n v="29700"/>
    <x v="0"/>
  </r>
  <r>
    <x v="0"/>
    <s v="Egypt"/>
    <x v="35"/>
    <x v="176"/>
    <x v="176"/>
    <m/>
    <m/>
    <s v="Break 15 Morning"/>
    <d v="1899-12-30T16:30:00"/>
    <d v="1899-12-30T16:45:00"/>
    <n v="0"/>
    <x v="1"/>
  </r>
  <r>
    <x v="0"/>
    <s v="Egypt"/>
    <x v="35"/>
    <x v="176"/>
    <x v="176"/>
    <m/>
    <m/>
    <s v="Break 30 Morning"/>
    <d v="1899-12-30T20:00:00"/>
    <d v="1899-12-30T20:30:00"/>
    <n v="0"/>
    <x v="1"/>
  </r>
  <r>
    <x v="0"/>
    <s v="Egypt"/>
    <x v="35"/>
    <x v="176"/>
    <x v="176"/>
    <d v="2025-06-30T00:00:00"/>
    <d v="1899-12-30T08:15:00"/>
    <s v="Non Telecom Assyot"/>
    <d v="1899-12-30T14:00:00"/>
    <d v="1899-12-30T22:15:00"/>
    <n v="29700"/>
    <x v="0"/>
  </r>
  <r>
    <x v="0"/>
    <s v="Egypt"/>
    <x v="35"/>
    <x v="176"/>
    <x v="176"/>
    <m/>
    <m/>
    <s v="Break 15 Morning"/>
    <d v="1899-12-30T17:15:00"/>
    <d v="1899-12-30T17:30:00"/>
    <n v="0"/>
    <x v="1"/>
  </r>
  <r>
    <x v="0"/>
    <s v="Egypt"/>
    <x v="35"/>
    <x v="176"/>
    <x v="176"/>
    <m/>
    <m/>
    <s v="Break 30 Morning"/>
    <d v="1899-12-30T20:00:00"/>
    <d v="1899-12-30T20:30:00"/>
    <n v="0"/>
    <x v="1"/>
  </r>
  <r>
    <x v="0"/>
    <s v="Egypt"/>
    <x v="35"/>
    <x v="177"/>
    <x v="177"/>
    <d v="2025-06-05T00:00:00"/>
    <d v="1899-12-30T08:15:00"/>
    <s v="Public holiday"/>
    <m/>
    <m/>
    <n v="29700"/>
    <x v="1"/>
  </r>
  <r>
    <x v="0"/>
    <s v="Egypt"/>
    <x v="35"/>
    <x v="177"/>
    <x v="177"/>
    <d v="2025-06-06T00:00:00"/>
    <m/>
    <s v="Day Off"/>
    <m/>
    <m/>
    <n v="0"/>
    <x v="1"/>
  </r>
  <r>
    <x v="0"/>
    <s v="Egypt"/>
    <x v="35"/>
    <x v="177"/>
    <x v="177"/>
    <d v="2025-06-07T00:00:00"/>
    <m/>
    <s v="Day Off"/>
    <m/>
    <m/>
    <n v="0"/>
    <x v="1"/>
  </r>
  <r>
    <x v="0"/>
    <s v="Egypt"/>
    <x v="35"/>
    <x v="177"/>
    <x v="177"/>
    <d v="2025-06-08T00:00:00"/>
    <d v="1899-12-30T08:15:00"/>
    <s v="Public holiday"/>
    <m/>
    <m/>
    <n v="29700"/>
    <x v="1"/>
  </r>
  <r>
    <x v="0"/>
    <s v="Egypt"/>
    <x v="35"/>
    <x v="177"/>
    <x v="177"/>
    <d v="2025-06-09T00:00:00"/>
    <m/>
    <s v="Day Off"/>
    <m/>
    <m/>
    <n v="0"/>
    <x v="1"/>
  </r>
  <r>
    <x v="0"/>
    <s v="Egypt"/>
    <x v="35"/>
    <x v="177"/>
    <x v="177"/>
    <d v="2025-06-10T00:00:00"/>
    <m/>
    <s v="Day Off"/>
    <m/>
    <m/>
    <n v="0"/>
    <x v="1"/>
  </r>
  <r>
    <x v="0"/>
    <s v="Egypt"/>
    <x v="35"/>
    <x v="177"/>
    <x v="177"/>
    <d v="2025-06-11T00:00:00"/>
    <d v="1899-12-30T08:15:00"/>
    <s v="Non Telecom Assyot"/>
    <d v="1899-12-30T11:00:00"/>
    <d v="1899-12-30T19:15:00"/>
    <n v="29700"/>
    <x v="0"/>
  </r>
  <r>
    <x v="0"/>
    <s v="Egypt"/>
    <x v="35"/>
    <x v="177"/>
    <x v="177"/>
    <m/>
    <m/>
    <s v="Break 15 Morning"/>
    <d v="1899-12-30T14:15:00"/>
    <d v="1899-12-30T14:30:00"/>
    <n v="0"/>
    <x v="1"/>
  </r>
  <r>
    <x v="0"/>
    <s v="Egypt"/>
    <x v="35"/>
    <x v="177"/>
    <x v="177"/>
    <m/>
    <m/>
    <s v="One to One"/>
    <d v="1899-12-30T17:15:00"/>
    <d v="1899-12-30T17:30:00"/>
    <n v="0"/>
    <x v="1"/>
  </r>
  <r>
    <x v="0"/>
    <s v="Egypt"/>
    <x v="35"/>
    <x v="177"/>
    <x v="177"/>
    <m/>
    <m/>
    <s v="Break 30 Morning"/>
    <d v="1899-12-30T17:45:00"/>
    <d v="1899-12-30T18:15:00"/>
    <n v="0"/>
    <x v="1"/>
  </r>
  <r>
    <x v="0"/>
    <s v="Egypt"/>
    <x v="35"/>
    <x v="177"/>
    <x v="177"/>
    <d v="2025-06-12T00:00:00"/>
    <d v="1899-12-30T08:15:00"/>
    <s v="Non Telecom Assyot"/>
    <d v="1899-12-30T11:00:00"/>
    <d v="1899-12-30T19:15:00"/>
    <n v="29700"/>
    <x v="0"/>
  </r>
  <r>
    <x v="0"/>
    <s v="Egypt"/>
    <x v="35"/>
    <x v="177"/>
    <x v="177"/>
    <m/>
    <m/>
    <s v="Break 15 Morning"/>
    <d v="1899-12-30T14:30:00"/>
    <d v="1899-12-30T14:45:00"/>
    <n v="0"/>
    <x v="1"/>
  </r>
  <r>
    <x v="0"/>
    <s v="Egypt"/>
    <x v="35"/>
    <x v="177"/>
    <x v="177"/>
    <m/>
    <m/>
    <s v="One to One"/>
    <d v="1899-12-30T17:15:00"/>
    <d v="1899-12-30T17:30:00"/>
    <n v="0"/>
    <x v="1"/>
  </r>
  <r>
    <x v="0"/>
    <s v="Egypt"/>
    <x v="35"/>
    <x v="177"/>
    <x v="177"/>
    <m/>
    <m/>
    <s v="Break 30 Morning"/>
    <d v="1899-12-30T17:45:00"/>
    <d v="1899-12-30T18:15:00"/>
    <n v="0"/>
    <x v="1"/>
  </r>
  <r>
    <x v="0"/>
    <s v="Egypt"/>
    <x v="35"/>
    <x v="177"/>
    <x v="177"/>
    <d v="2025-06-13T00:00:00"/>
    <d v="1899-12-30T08:15:00"/>
    <s v="Non Telecom Assyot"/>
    <d v="1899-12-30T11:00:00"/>
    <d v="1899-12-30T19:15:00"/>
    <n v="29700"/>
    <x v="0"/>
  </r>
  <r>
    <x v="0"/>
    <s v="Egypt"/>
    <x v="35"/>
    <x v="177"/>
    <x v="177"/>
    <m/>
    <m/>
    <s v="Friday Pray"/>
    <d v="1899-12-30T12:55:00"/>
    <d v="1899-12-30T13:50:00"/>
    <n v="0"/>
    <x v="1"/>
  </r>
  <r>
    <x v="0"/>
    <s v="Egypt"/>
    <x v="35"/>
    <x v="177"/>
    <x v="177"/>
    <m/>
    <m/>
    <s v="Break 15 Morning"/>
    <d v="1899-12-30T14:15:00"/>
    <d v="1899-12-30T14:30:00"/>
    <n v="0"/>
    <x v="1"/>
  </r>
  <r>
    <x v="0"/>
    <s v="Egypt"/>
    <x v="35"/>
    <x v="177"/>
    <x v="177"/>
    <m/>
    <m/>
    <s v="One to One"/>
    <d v="1899-12-30T16:45:00"/>
    <d v="1899-12-30T17:00:00"/>
    <n v="0"/>
    <x v="1"/>
  </r>
  <r>
    <x v="0"/>
    <s v="Egypt"/>
    <x v="35"/>
    <x v="177"/>
    <x v="177"/>
    <m/>
    <m/>
    <s v="Break 30 Morning"/>
    <d v="1899-12-30T17:30:00"/>
    <d v="1899-12-30T18:00:00"/>
    <n v="0"/>
    <x v="1"/>
  </r>
  <r>
    <x v="0"/>
    <s v="Egypt"/>
    <x v="35"/>
    <x v="177"/>
    <x v="177"/>
    <d v="2025-06-14T00:00:00"/>
    <d v="1899-12-30T08:15:00"/>
    <s v="Non Telecom Assyot"/>
    <d v="1899-12-30T11:00:00"/>
    <d v="1899-12-30T19:15:00"/>
    <n v="29700"/>
    <x v="0"/>
  </r>
  <r>
    <x v="0"/>
    <s v="Egypt"/>
    <x v="35"/>
    <x v="177"/>
    <x v="177"/>
    <m/>
    <m/>
    <s v="Break 15 Morning"/>
    <d v="1899-12-30T14:15:00"/>
    <d v="1899-12-30T14:30:00"/>
    <n v="0"/>
    <x v="1"/>
  </r>
  <r>
    <x v="0"/>
    <s v="Egypt"/>
    <x v="35"/>
    <x v="177"/>
    <x v="177"/>
    <m/>
    <m/>
    <s v="One to One"/>
    <d v="1899-12-30T17:30:00"/>
    <d v="1899-12-30T17:45:00"/>
    <n v="0"/>
    <x v="1"/>
  </r>
  <r>
    <x v="0"/>
    <s v="Egypt"/>
    <x v="35"/>
    <x v="177"/>
    <x v="177"/>
    <m/>
    <m/>
    <s v="Break 30 Morning"/>
    <d v="1899-12-30T17:45:00"/>
    <d v="1899-12-30T18:15:00"/>
    <n v="0"/>
    <x v="1"/>
  </r>
  <r>
    <x v="0"/>
    <s v="Egypt"/>
    <x v="35"/>
    <x v="177"/>
    <x v="177"/>
    <d v="2025-06-15T00:00:00"/>
    <d v="1899-12-30T08:15:00"/>
    <s v="Non Telecom Assyot"/>
    <d v="1899-12-30T11:00:00"/>
    <d v="1899-12-30T19:15:00"/>
    <n v="29700"/>
    <x v="0"/>
  </r>
  <r>
    <x v="0"/>
    <s v="Egypt"/>
    <x v="35"/>
    <x v="177"/>
    <x v="177"/>
    <m/>
    <m/>
    <s v="Break 15 Morning"/>
    <d v="1899-12-30T14:30:00"/>
    <d v="1899-12-30T14:45:00"/>
    <n v="0"/>
    <x v="1"/>
  </r>
  <r>
    <x v="0"/>
    <s v="Egypt"/>
    <x v="35"/>
    <x v="177"/>
    <x v="177"/>
    <m/>
    <m/>
    <s v="Break 30 Morning"/>
    <d v="1899-12-30T17:45:00"/>
    <d v="1899-12-30T18:15:00"/>
    <n v="0"/>
    <x v="1"/>
  </r>
  <r>
    <x v="0"/>
    <s v="Egypt"/>
    <x v="35"/>
    <x v="177"/>
    <x v="177"/>
    <d v="2025-06-16T00:00:00"/>
    <m/>
    <s v="Day Off"/>
    <m/>
    <m/>
    <n v="0"/>
    <x v="1"/>
  </r>
  <r>
    <x v="0"/>
    <s v="Egypt"/>
    <x v="35"/>
    <x v="177"/>
    <x v="177"/>
    <d v="2025-06-17T00:00:00"/>
    <m/>
    <s v="Day Off"/>
    <m/>
    <m/>
    <n v="0"/>
    <x v="1"/>
  </r>
  <r>
    <x v="0"/>
    <s v="Egypt"/>
    <x v="35"/>
    <x v="177"/>
    <x v="177"/>
    <d v="2025-06-18T00:00:00"/>
    <d v="1899-12-30T08:15:00"/>
    <s v="Non Telecom Assyot"/>
    <d v="1899-12-30T17:15:00"/>
    <s v="+1:30 AM"/>
    <n v="29700"/>
    <x v="0"/>
  </r>
  <r>
    <x v="0"/>
    <s v="Egypt"/>
    <x v="35"/>
    <x v="177"/>
    <x v="177"/>
    <m/>
    <m/>
    <s v="Break 15 Night"/>
    <d v="1899-12-30T20:45:00"/>
    <d v="1899-12-30T21:00:00"/>
    <n v="0"/>
    <x v="1"/>
  </r>
  <r>
    <x v="0"/>
    <s v="Egypt"/>
    <x v="35"/>
    <x v="177"/>
    <x v="177"/>
    <m/>
    <m/>
    <s v="Break 30 Night"/>
    <d v="1899-12-30T23:45:00"/>
    <s v="+12:15 AM"/>
    <n v="0"/>
    <x v="1"/>
  </r>
  <r>
    <x v="0"/>
    <s v="Egypt"/>
    <x v="35"/>
    <x v="177"/>
    <x v="177"/>
    <d v="2025-06-19T00:00:00"/>
    <d v="1899-12-30T08:15:00"/>
    <s v="Non Telecom Assyot"/>
    <d v="1899-12-30T17:15:00"/>
    <s v="+1:30 AM"/>
    <n v="29700"/>
    <x v="0"/>
  </r>
  <r>
    <x v="0"/>
    <s v="Egypt"/>
    <x v="35"/>
    <x v="177"/>
    <x v="177"/>
    <m/>
    <m/>
    <s v="Break 15 Night"/>
    <d v="1899-12-30T20:30:00"/>
    <d v="1899-12-30T20:45:00"/>
    <n v="0"/>
    <x v="1"/>
  </r>
  <r>
    <x v="0"/>
    <s v="Egypt"/>
    <x v="35"/>
    <x v="177"/>
    <x v="177"/>
    <m/>
    <m/>
    <s v="Break 30 Night"/>
    <d v="1899-12-30T23:45:00"/>
    <s v="+12:15 AM"/>
    <n v="0"/>
    <x v="1"/>
  </r>
  <r>
    <x v="0"/>
    <s v="Egypt"/>
    <x v="35"/>
    <x v="177"/>
    <x v="177"/>
    <d v="2025-06-20T00:00:00"/>
    <d v="1899-12-30T08:15:00"/>
    <s v="Non Telecom Assyot"/>
    <d v="1899-12-30T17:15:00"/>
    <s v="+1:30 AM"/>
    <n v="29700"/>
    <x v="0"/>
  </r>
  <r>
    <x v="0"/>
    <s v="Egypt"/>
    <x v="35"/>
    <x v="177"/>
    <x v="177"/>
    <m/>
    <m/>
    <s v="Break 15 Night"/>
    <d v="1899-12-30T20:45:00"/>
    <d v="1899-12-30T21:00:00"/>
    <n v="0"/>
    <x v="1"/>
  </r>
  <r>
    <x v="0"/>
    <s v="Egypt"/>
    <x v="35"/>
    <x v="177"/>
    <x v="177"/>
    <m/>
    <m/>
    <s v="Break 30 Night"/>
    <d v="1899-12-30T23:45:00"/>
    <s v="+12:15 AM"/>
    <n v="0"/>
    <x v="1"/>
  </r>
  <r>
    <x v="0"/>
    <s v="Egypt"/>
    <x v="35"/>
    <x v="177"/>
    <x v="177"/>
    <d v="2025-06-21T00:00:00"/>
    <d v="1899-12-30T08:15:00"/>
    <s v="Non Telecom Assyot"/>
    <d v="1899-12-30T17:15:00"/>
    <s v="+1:30 AM"/>
    <n v="29700"/>
    <x v="0"/>
  </r>
  <r>
    <x v="0"/>
    <s v="Egypt"/>
    <x v="35"/>
    <x v="177"/>
    <x v="177"/>
    <m/>
    <m/>
    <s v="Break 15 Night"/>
    <d v="1899-12-30T20:45:00"/>
    <d v="1899-12-30T21:00:00"/>
    <n v="0"/>
    <x v="1"/>
  </r>
  <r>
    <x v="0"/>
    <s v="Egypt"/>
    <x v="35"/>
    <x v="177"/>
    <x v="177"/>
    <m/>
    <m/>
    <s v="Break 30 Night"/>
    <s v="+12:00 AM"/>
    <s v="+12:30 AM"/>
    <n v="0"/>
    <x v="1"/>
  </r>
  <r>
    <x v="0"/>
    <s v="Egypt"/>
    <x v="35"/>
    <x v="177"/>
    <x v="177"/>
    <d v="2025-06-22T00:00:00"/>
    <m/>
    <s v="Day Off"/>
    <m/>
    <m/>
    <n v="0"/>
    <x v="1"/>
  </r>
  <r>
    <x v="0"/>
    <s v="Egypt"/>
    <x v="35"/>
    <x v="177"/>
    <x v="177"/>
    <d v="2025-06-23T00:00:00"/>
    <d v="1899-12-30T08:15:00"/>
    <s v="Non Telecom Assyot"/>
    <d v="1899-12-30T14:00:00"/>
    <d v="1899-12-30T22:15:00"/>
    <n v="29700"/>
    <x v="0"/>
  </r>
  <r>
    <x v="0"/>
    <s v="Egypt"/>
    <x v="35"/>
    <x v="177"/>
    <x v="177"/>
    <m/>
    <m/>
    <s v="Break 15 Morning"/>
    <d v="1899-12-30T17:15:00"/>
    <d v="1899-12-30T17:30:00"/>
    <n v="0"/>
    <x v="1"/>
  </r>
  <r>
    <x v="0"/>
    <s v="Egypt"/>
    <x v="35"/>
    <x v="177"/>
    <x v="177"/>
    <m/>
    <m/>
    <s v="Break 30 Morning"/>
    <d v="1899-12-30T19:30:00"/>
    <d v="1899-12-30T20:00:00"/>
    <n v="0"/>
    <x v="1"/>
  </r>
  <r>
    <x v="0"/>
    <s v="Egypt"/>
    <x v="35"/>
    <x v="177"/>
    <x v="177"/>
    <d v="2025-06-24T00:00:00"/>
    <d v="1899-12-30T08:15:00"/>
    <s v="Non Telecom Assyot"/>
    <d v="1899-12-30T14:00:00"/>
    <d v="1899-12-30T22:15:00"/>
    <n v="29700"/>
    <x v="0"/>
  </r>
  <r>
    <x v="0"/>
    <s v="Egypt"/>
    <x v="35"/>
    <x v="177"/>
    <x v="177"/>
    <m/>
    <m/>
    <s v="Break 15 Morning"/>
    <d v="1899-12-30T17:30:00"/>
    <d v="1899-12-30T17:45:00"/>
    <n v="0"/>
    <x v="1"/>
  </r>
  <r>
    <x v="0"/>
    <s v="Egypt"/>
    <x v="35"/>
    <x v="177"/>
    <x v="177"/>
    <m/>
    <m/>
    <s v="Break 30 Morning"/>
    <d v="1899-12-30T20:15:00"/>
    <d v="1899-12-30T20:45:00"/>
    <n v="0"/>
    <x v="1"/>
  </r>
  <r>
    <x v="0"/>
    <s v="Egypt"/>
    <x v="35"/>
    <x v="177"/>
    <x v="177"/>
    <d v="2025-06-25T00:00:00"/>
    <d v="1899-12-30T08:15:00"/>
    <s v="Non Telecom Assyot"/>
    <d v="1899-12-30T14:00:00"/>
    <d v="1899-12-30T22:15:00"/>
    <n v="29700"/>
    <x v="0"/>
  </r>
  <r>
    <x v="0"/>
    <s v="Egypt"/>
    <x v="35"/>
    <x v="177"/>
    <x v="177"/>
    <m/>
    <m/>
    <s v="Break 15 Morning"/>
    <d v="1899-12-30T17:15:00"/>
    <d v="1899-12-30T17:30:00"/>
    <n v="0"/>
    <x v="1"/>
  </r>
  <r>
    <x v="0"/>
    <s v="Egypt"/>
    <x v="35"/>
    <x v="177"/>
    <x v="177"/>
    <m/>
    <m/>
    <s v="Break 30 Morning"/>
    <d v="1899-12-30T20:00:00"/>
    <d v="1899-12-30T20:30:00"/>
    <n v="0"/>
    <x v="1"/>
  </r>
  <r>
    <x v="0"/>
    <s v="Egypt"/>
    <x v="35"/>
    <x v="177"/>
    <x v="177"/>
    <d v="2025-06-26T00:00:00"/>
    <d v="1899-12-30T08:15:00"/>
    <s v="Non Telecom Assyot"/>
    <d v="1899-12-30T14:00:00"/>
    <d v="1899-12-30T22:15:00"/>
    <n v="29700"/>
    <x v="0"/>
  </r>
  <r>
    <x v="0"/>
    <s v="Egypt"/>
    <x v="35"/>
    <x v="177"/>
    <x v="177"/>
    <m/>
    <m/>
    <s v="Break 15 Morning"/>
    <d v="1899-12-30T16:30:00"/>
    <d v="1899-12-30T16:45:00"/>
    <n v="0"/>
    <x v="1"/>
  </r>
  <r>
    <x v="0"/>
    <s v="Egypt"/>
    <x v="35"/>
    <x v="177"/>
    <x v="177"/>
    <m/>
    <m/>
    <s v="Break 30 Morning"/>
    <d v="1899-12-30T20:00:00"/>
    <d v="1899-12-30T20:30:00"/>
    <n v="0"/>
    <x v="1"/>
  </r>
  <r>
    <x v="0"/>
    <s v="Egypt"/>
    <x v="35"/>
    <x v="177"/>
    <x v="177"/>
    <d v="2025-06-27T00:00:00"/>
    <d v="1899-12-30T08:15:00"/>
    <s v="Non Telecom Assyot"/>
    <d v="1899-12-30T14:00:00"/>
    <d v="1899-12-30T22:15:00"/>
    <n v="29700"/>
    <x v="0"/>
  </r>
  <r>
    <x v="0"/>
    <s v="Egypt"/>
    <x v="35"/>
    <x v="177"/>
    <x v="177"/>
    <m/>
    <m/>
    <s v="Break 15 Morning"/>
    <d v="1899-12-30T16:45:00"/>
    <d v="1899-12-30T17:00:00"/>
    <n v="0"/>
    <x v="1"/>
  </r>
  <r>
    <x v="0"/>
    <s v="Egypt"/>
    <x v="35"/>
    <x v="177"/>
    <x v="177"/>
    <m/>
    <m/>
    <s v="Break 30 Morning"/>
    <d v="1899-12-30T20:15:00"/>
    <d v="1899-12-30T20:45:00"/>
    <n v="0"/>
    <x v="1"/>
  </r>
  <r>
    <x v="0"/>
    <s v="Egypt"/>
    <x v="35"/>
    <x v="177"/>
    <x v="177"/>
    <d v="2025-06-28T00:00:00"/>
    <m/>
    <s v="Day Off"/>
    <m/>
    <m/>
    <n v="0"/>
    <x v="1"/>
  </r>
  <r>
    <x v="0"/>
    <s v="Egypt"/>
    <x v="35"/>
    <x v="177"/>
    <x v="177"/>
    <d v="2025-06-29T00:00:00"/>
    <m/>
    <s v="Day Off"/>
    <m/>
    <m/>
    <n v="0"/>
    <x v="1"/>
  </r>
  <r>
    <x v="0"/>
    <s v="Egypt"/>
    <x v="35"/>
    <x v="177"/>
    <x v="177"/>
    <d v="2025-06-30T00:00:00"/>
    <d v="1899-12-30T08:15:00"/>
    <s v="Non Telecom Assyot"/>
    <d v="1899-12-30T17:15:00"/>
    <s v="+1:30 AM"/>
    <n v="29700"/>
    <x v="0"/>
  </r>
  <r>
    <x v="0"/>
    <s v="Egypt"/>
    <x v="35"/>
    <x v="177"/>
    <x v="177"/>
    <m/>
    <m/>
    <s v="Break 15 Night"/>
    <d v="1899-12-30T20:45:00"/>
    <d v="1899-12-30T21:00:00"/>
    <n v="0"/>
    <x v="1"/>
  </r>
  <r>
    <x v="0"/>
    <s v="Egypt"/>
    <x v="35"/>
    <x v="177"/>
    <x v="177"/>
    <m/>
    <m/>
    <s v="Break 30 Night"/>
    <s v="+12:00 AM"/>
    <s v="+12:30 AM"/>
    <n v="0"/>
    <x v="1"/>
  </r>
  <r>
    <x v="0"/>
    <s v="Egypt"/>
    <x v="36"/>
    <x v="178"/>
    <x v="178"/>
    <d v="2025-06-01T00:00:00"/>
    <m/>
    <s v="Day Off"/>
    <m/>
    <m/>
    <n v="0"/>
    <x v="1"/>
  </r>
  <r>
    <x v="0"/>
    <s v="Egypt"/>
    <x v="36"/>
    <x v="178"/>
    <x v="178"/>
    <d v="2025-06-02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30:00"/>
    <d v="1899-12-30T10:45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03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45:00"/>
    <d v="1899-12-30T11:00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04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3:00:00"/>
    <d v="1899-12-30T13:15:00"/>
    <n v="0"/>
    <x v="1"/>
  </r>
  <r>
    <x v="0"/>
    <s v="Egypt"/>
    <x v="36"/>
    <x v="178"/>
    <x v="178"/>
    <m/>
    <m/>
    <s v="Break 30 Morning"/>
    <d v="1899-12-30T15:45:00"/>
    <d v="1899-12-30T16:15:00"/>
    <n v="0"/>
    <x v="1"/>
  </r>
  <r>
    <x v="0"/>
    <s v="Egypt"/>
    <x v="36"/>
    <x v="178"/>
    <x v="178"/>
    <d v="2025-06-05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3:00:00"/>
    <d v="1899-12-30T13:15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06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07T00:00:00"/>
    <m/>
    <s v="Day Off"/>
    <m/>
    <m/>
    <n v="0"/>
    <x v="1"/>
  </r>
  <r>
    <x v="0"/>
    <s v="Egypt"/>
    <x v="36"/>
    <x v="178"/>
    <x v="178"/>
    <d v="2025-06-08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30:00"/>
    <d v="1899-12-30T10:45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09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30:00"/>
    <d v="1899-12-30T10:45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10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30:00"/>
    <d v="1899-12-30T10:45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11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30:00"/>
    <d v="1899-12-30T10:45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12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15:00"/>
    <d v="1899-12-30T10:30:00"/>
    <n v="0"/>
    <x v="1"/>
  </r>
  <r>
    <x v="0"/>
    <s v="Egypt"/>
    <x v="36"/>
    <x v="178"/>
    <x v="178"/>
    <m/>
    <m/>
    <s v="Break 30 Morning"/>
    <d v="1899-12-30T13:15:00"/>
    <d v="1899-12-30T13:45:00"/>
    <n v="0"/>
    <x v="1"/>
  </r>
  <r>
    <x v="0"/>
    <s v="Egypt"/>
    <x v="36"/>
    <x v="178"/>
    <x v="178"/>
    <d v="2025-06-13T00:00:00"/>
    <m/>
    <s v="Day Off"/>
    <m/>
    <m/>
    <n v="0"/>
    <x v="1"/>
  </r>
  <r>
    <x v="0"/>
    <s v="Egypt"/>
    <x v="36"/>
    <x v="178"/>
    <x v="178"/>
    <d v="2025-06-14T00:00:00"/>
    <m/>
    <s v="Day Off"/>
    <m/>
    <m/>
    <n v="0"/>
    <x v="1"/>
  </r>
  <r>
    <x v="0"/>
    <s v="Egypt"/>
    <x v="36"/>
    <x v="178"/>
    <x v="178"/>
    <d v="2025-06-15T00:00:00"/>
    <m/>
    <s v="Day Off"/>
    <m/>
    <m/>
    <n v="0"/>
    <x v="1"/>
  </r>
  <r>
    <x v="0"/>
    <s v="Egypt"/>
    <x v="36"/>
    <x v="178"/>
    <x v="178"/>
    <d v="2025-06-16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5:15:00"/>
    <d v="1899-12-30T15:45:00"/>
    <n v="0"/>
    <x v="1"/>
  </r>
  <r>
    <x v="0"/>
    <s v="Egypt"/>
    <x v="36"/>
    <x v="178"/>
    <x v="178"/>
    <d v="2025-06-17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18T00:00:00"/>
    <d v="1899-12-30T08:15:00"/>
    <s v="Annual Exception"/>
    <m/>
    <m/>
    <n v="29700"/>
    <x v="1"/>
  </r>
  <r>
    <x v="0"/>
    <s v="Egypt"/>
    <x v="36"/>
    <x v="178"/>
    <x v="178"/>
    <d v="2025-06-19T00:00:00"/>
    <d v="1899-12-30T08:15:00"/>
    <s v="Annual Exception"/>
    <m/>
    <m/>
    <n v="29700"/>
    <x v="1"/>
  </r>
  <r>
    <x v="0"/>
    <s v="Egypt"/>
    <x v="36"/>
    <x v="178"/>
    <x v="178"/>
    <d v="2025-06-20T00:00:00"/>
    <m/>
    <s v="Day Off"/>
    <m/>
    <m/>
    <n v="0"/>
    <x v="1"/>
  </r>
  <r>
    <x v="0"/>
    <s v="Egypt"/>
    <x v="36"/>
    <x v="178"/>
    <x v="178"/>
    <d v="2025-06-21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45:00"/>
    <d v="1899-12-30T11:00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22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5:45:00"/>
    <d v="1899-12-30T16:15:00"/>
    <n v="0"/>
    <x v="1"/>
  </r>
  <r>
    <x v="0"/>
    <s v="Egypt"/>
    <x v="36"/>
    <x v="178"/>
    <x v="178"/>
    <d v="2025-06-23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45:00"/>
    <d v="1899-12-30T11:00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24T00:00:00"/>
    <d v="1899-12-30T08:15:00"/>
    <s v="Non Telecom Assyot"/>
    <d v="1899-12-30T09:00:00"/>
    <d v="1899-12-30T17:15:00"/>
    <n v="29700"/>
    <x v="0"/>
  </r>
  <r>
    <x v="0"/>
    <s v="Egypt"/>
    <x v="36"/>
    <x v="178"/>
    <x v="178"/>
    <m/>
    <m/>
    <s v="Break 15 Morning"/>
    <d v="1899-12-30T10:45:00"/>
    <d v="1899-12-30T11:00:00"/>
    <n v="0"/>
    <x v="1"/>
  </r>
  <r>
    <x v="0"/>
    <s v="Egypt"/>
    <x v="36"/>
    <x v="178"/>
    <x v="178"/>
    <m/>
    <m/>
    <s v="Break 30 Morning"/>
    <d v="1899-12-30T13:45:00"/>
    <d v="1899-12-30T14:15:00"/>
    <n v="0"/>
    <x v="1"/>
  </r>
  <r>
    <x v="0"/>
    <s v="Egypt"/>
    <x v="36"/>
    <x v="178"/>
    <x v="178"/>
    <d v="2025-06-25T00:00:00"/>
    <m/>
    <s v="Day Off"/>
    <m/>
    <m/>
    <n v="0"/>
    <x v="1"/>
  </r>
  <r>
    <x v="0"/>
    <s v="Egypt"/>
    <x v="36"/>
    <x v="178"/>
    <x v="178"/>
    <d v="2025-06-26T00:00:00"/>
    <m/>
    <s v="Day Off"/>
    <m/>
    <m/>
    <n v="0"/>
    <x v="1"/>
  </r>
  <r>
    <x v="0"/>
    <s v="Egypt"/>
    <x v="36"/>
    <x v="178"/>
    <x v="178"/>
    <d v="2025-06-27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28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29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8"/>
    <x v="178"/>
    <d v="2025-06-30T00:00:00"/>
    <d v="1899-12-30T08:15:00"/>
    <s v="Non Telecom Assyot"/>
    <d v="1899-12-30T11:00:00"/>
    <d v="1899-12-30T19:15:00"/>
    <n v="29700"/>
    <x v="0"/>
  </r>
  <r>
    <x v="0"/>
    <s v="Egypt"/>
    <x v="36"/>
    <x v="178"/>
    <x v="178"/>
    <m/>
    <m/>
    <s v="Break 15 Morning"/>
    <d v="1899-12-30T12:45:00"/>
    <d v="1899-12-30T13:00:00"/>
    <n v="0"/>
    <x v="1"/>
  </r>
  <r>
    <x v="0"/>
    <s v="Egypt"/>
    <x v="36"/>
    <x v="178"/>
    <x v="178"/>
    <m/>
    <m/>
    <s v="Break 30 Morning"/>
    <d v="1899-12-30T16:15:00"/>
    <d v="1899-12-30T16:45:00"/>
    <n v="0"/>
    <x v="1"/>
  </r>
  <r>
    <x v="0"/>
    <s v="Egypt"/>
    <x v="36"/>
    <x v="179"/>
    <x v="179"/>
    <d v="2025-06-05T00:00:00"/>
    <d v="1899-12-30T08:15:00"/>
    <s v="Public holiday"/>
    <m/>
    <m/>
    <n v="29700"/>
    <x v="1"/>
  </r>
  <r>
    <x v="0"/>
    <s v="Egypt"/>
    <x v="36"/>
    <x v="179"/>
    <x v="179"/>
    <d v="2025-06-06T00:00:00"/>
    <m/>
    <s v="Day Off"/>
    <m/>
    <m/>
    <n v="0"/>
    <x v="1"/>
  </r>
  <r>
    <x v="0"/>
    <s v="Egypt"/>
    <x v="36"/>
    <x v="179"/>
    <x v="179"/>
    <d v="2025-06-07T00:00:00"/>
    <m/>
    <s v="Day Off"/>
    <m/>
    <m/>
    <n v="0"/>
    <x v="1"/>
  </r>
  <r>
    <x v="0"/>
    <s v="Egypt"/>
    <x v="36"/>
    <x v="179"/>
    <x v="179"/>
    <d v="2025-06-08T00:00:00"/>
    <d v="1899-12-30T08:15:00"/>
    <s v="Public holiday"/>
    <m/>
    <m/>
    <n v="29700"/>
    <x v="1"/>
  </r>
  <r>
    <x v="0"/>
    <s v="Egypt"/>
    <x v="36"/>
    <x v="179"/>
    <x v="179"/>
    <d v="2025-06-09T00:00:00"/>
    <m/>
    <s v="Day Off"/>
    <m/>
    <m/>
    <n v="0"/>
    <x v="1"/>
  </r>
  <r>
    <x v="0"/>
    <s v="Egypt"/>
    <x v="36"/>
    <x v="179"/>
    <x v="179"/>
    <d v="2025-06-10T00:00:00"/>
    <m/>
    <s v="Day Off"/>
    <m/>
    <m/>
    <n v="0"/>
    <x v="1"/>
  </r>
  <r>
    <x v="0"/>
    <s v="Egypt"/>
    <x v="36"/>
    <x v="179"/>
    <x v="179"/>
    <d v="2025-06-11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0:45:00"/>
    <d v="1899-12-30T11:00:00"/>
    <n v="0"/>
    <x v="1"/>
  </r>
  <r>
    <x v="0"/>
    <s v="Egypt"/>
    <x v="36"/>
    <x v="179"/>
    <x v="179"/>
    <m/>
    <m/>
    <s v="One to One"/>
    <d v="1899-12-30T11:30:00"/>
    <d v="1899-12-30T11:45:00"/>
    <n v="0"/>
    <x v="1"/>
  </r>
  <r>
    <x v="0"/>
    <s v="Egypt"/>
    <x v="36"/>
    <x v="179"/>
    <x v="179"/>
    <m/>
    <m/>
    <s v="Break 30 Morning"/>
    <d v="1899-12-30T13:45:00"/>
    <d v="1899-12-30T14:15:00"/>
    <n v="0"/>
    <x v="1"/>
  </r>
  <r>
    <x v="0"/>
    <s v="Egypt"/>
    <x v="36"/>
    <x v="179"/>
    <x v="179"/>
    <d v="2025-06-12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0:30:00"/>
    <d v="1899-12-30T10:45:00"/>
    <n v="0"/>
    <x v="1"/>
  </r>
  <r>
    <x v="0"/>
    <s v="Egypt"/>
    <x v="36"/>
    <x v="179"/>
    <x v="179"/>
    <m/>
    <m/>
    <s v="One to One"/>
    <d v="1899-12-30T11:30:00"/>
    <d v="1899-12-30T11:45:00"/>
    <n v="0"/>
    <x v="1"/>
  </r>
  <r>
    <x v="0"/>
    <s v="Egypt"/>
    <x v="36"/>
    <x v="179"/>
    <x v="179"/>
    <m/>
    <m/>
    <s v="Break 30 Morning"/>
    <d v="1899-12-30T13:15:00"/>
    <d v="1899-12-30T13:45:00"/>
    <n v="0"/>
    <x v="1"/>
  </r>
  <r>
    <x v="0"/>
    <s v="Egypt"/>
    <x v="36"/>
    <x v="179"/>
    <x v="179"/>
    <d v="2025-06-13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0:30:00"/>
    <d v="1899-12-30T10:45:00"/>
    <n v="0"/>
    <x v="1"/>
  </r>
  <r>
    <x v="0"/>
    <s v="Egypt"/>
    <x v="36"/>
    <x v="179"/>
    <x v="179"/>
    <m/>
    <m/>
    <s v="One to One"/>
    <d v="1899-12-30T11:00:00"/>
    <d v="1899-12-30T11:15:00"/>
    <n v="0"/>
    <x v="1"/>
  </r>
  <r>
    <x v="0"/>
    <s v="Egypt"/>
    <x v="36"/>
    <x v="179"/>
    <x v="179"/>
    <m/>
    <m/>
    <s v="Break 30 Morning"/>
    <d v="1899-12-30T13:30:00"/>
    <d v="1899-12-30T14:00:00"/>
    <n v="0"/>
    <x v="1"/>
  </r>
  <r>
    <x v="0"/>
    <s v="Egypt"/>
    <x v="36"/>
    <x v="179"/>
    <x v="179"/>
    <d v="2025-06-14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1:00:00"/>
    <d v="1899-12-30T11:15:00"/>
    <n v="0"/>
    <x v="1"/>
  </r>
  <r>
    <x v="0"/>
    <s v="Egypt"/>
    <x v="36"/>
    <x v="179"/>
    <x v="179"/>
    <m/>
    <m/>
    <s v="One to One"/>
    <d v="1899-12-30T11:45:00"/>
    <d v="1899-12-30T12:00:00"/>
    <n v="0"/>
    <x v="1"/>
  </r>
  <r>
    <x v="0"/>
    <s v="Egypt"/>
    <x v="36"/>
    <x v="179"/>
    <x v="179"/>
    <m/>
    <m/>
    <s v="Break 30 Morning"/>
    <d v="1899-12-30T13:45:00"/>
    <d v="1899-12-30T14:15:00"/>
    <n v="0"/>
    <x v="1"/>
  </r>
  <r>
    <x v="0"/>
    <s v="Egypt"/>
    <x v="36"/>
    <x v="179"/>
    <x v="179"/>
    <d v="2025-06-15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0:30:00"/>
    <d v="1899-12-30T10:45:00"/>
    <n v="0"/>
    <x v="1"/>
  </r>
  <r>
    <x v="0"/>
    <s v="Egypt"/>
    <x v="36"/>
    <x v="179"/>
    <x v="179"/>
    <m/>
    <m/>
    <s v="Break 30 Morning"/>
    <d v="1899-12-30T13:45:00"/>
    <d v="1899-12-30T14:15:00"/>
    <n v="0"/>
    <x v="1"/>
  </r>
  <r>
    <x v="0"/>
    <s v="Egypt"/>
    <x v="36"/>
    <x v="179"/>
    <x v="179"/>
    <d v="2025-06-16T00:00:00"/>
    <m/>
    <s v="Day Off"/>
    <m/>
    <m/>
    <n v="0"/>
    <x v="1"/>
  </r>
  <r>
    <x v="0"/>
    <s v="Egypt"/>
    <x v="36"/>
    <x v="179"/>
    <x v="179"/>
    <d v="2025-06-17T00:00:00"/>
    <d v="1899-12-30T08:15:00"/>
    <s v="Non Telecom Assyot"/>
    <d v="1899-12-30T11:00:00"/>
    <d v="1899-12-30T19:15:00"/>
    <n v="29700"/>
    <x v="0"/>
  </r>
  <r>
    <x v="0"/>
    <s v="Egypt"/>
    <x v="36"/>
    <x v="179"/>
    <x v="179"/>
    <m/>
    <m/>
    <s v="Break 15 Morning"/>
    <d v="1899-12-30T12:45:00"/>
    <d v="1899-12-30T13:00:00"/>
    <n v="0"/>
    <x v="1"/>
  </r>
  <r>
    <x v="0"/>
    <s v="Egypt"/>
    <x v="36"/>
    <x v="179"/>
    <x v="179"/>
    <m/>
    <m/>
    <s v="Break 30 Morning"/>
    <d v="1899-12-30T16:15:00"/>
    <d v="1899-12-30T16:45:00"/>
    <n v="0"/>
    <x v="1"/>
  </r>
  <r>
    <x v="0"/>
    <s v="Egypt"/>
    <x v="36"/>
    <x v="179"/>
    <x v="179"/>
    <d v="2025-06-18T00:00:00"/>
    <d v="1899-12-30T08:15:00"/>
    <s v="Non Telecom Assyot"/>
    <d v="1899-12-30T11:00:00"/>
    <d v="1899-12-30T19:15:00"/>
    <n v="29700"/>
    <x v="0"/>
  </r>
  <r>
    <x v="0"/>
    <s v="Egypt"/>
    <x v="36"/>
    <x v="179"/>
    <x v="179"/>
    <m/>
    <m/>
    <s v="Break 15 Morning"/>
    <d v="1899-12-30T13:00:00"/>
    <d v="1899-12-30T13:15:00"/>
    <n v="0"/>
    <x v="1"/>
  </r>
  <r>
    <x v="0"/>
    <s v="Egypt"/>
    <x v="36"/>
    <x v="179"/>
    <x v="179"/>
    <m/>
    <m/>
    <s v="Break 30 Morning"/>
    <d v="1899-12-30T15:45:00"/>
    <d v="1899-12-30T16:15:00"/>
    <n v="0"/>
    <x v="1"/>
  </r>
  <r>
    <x v="0"/>
    <s v="Egypt"/>
    <x v="36"/>
    <x v="179"/>
    <x v="179"/>
    <d v="2025-06-19T00:00:00"/>
    <d v="1899-12-30T08:15:00"/>
    <s v="Non Telecom Assyot"/>
    <d v="1899-12-30T11:00:00"/>
    <d v="1899-12-30T19:15:00"/>
    <n v="29700"/>
    <x v="0"/>
  </r>
  <r>
    <x v="0"/>
    <s v="Egypt"/>
    <x v="36"/>
    <x v="179"/>
    <x v="179"/>
    <m/>
    <m/>
    <s v="Break 15 Morning"/>
    <d v="1899-12-30T13:15:00"/>
    <d v="1899-12-30T13:30:00"/>
    <n v="0"/>
    <x v="1"/>
  </r>
  <r>
    <x v="0"/>
    <s v="Egypt"/>
    <x v="36"/>
    <x v="179"/>
    <x v="179"/>
    <m/>
    <m/>
    <s v="Break 30 Morning"/>
    <d v="1899-12-30T16:15:00"/>
    <d v="1899-12-30T16:45:00"/>
    <n v="0"/>
    <x v="1"/>
  </r>
  <r>
    <x v="0"/>
    <s v="Egypt"/>
    <x v="36"/>
    <x v="179"/>
    <x v="179"/>
    <d v="2025-06-20T00:00:00"/>
    <d v="1899-12-30T08:15:00"/>
    <s v="Non Telecom Assyot"/>
    <d v="1899-12-30T11:00:00"/>
    <d v="1899-12-30T19:15:00"/>
    <n v="29700"/>
    <x v="0"/>
  </r>
  <r>
    <x v="0"/>
    <s v="Egypt"/>
    <x v="36"/>
    <x v="179"/>
    <x v="179"/>
    <m/>
    <m/>
    <s v="Break 15 Morning"/>
    <d v="1899-12-30T13:00:00"/>
    <d v="1899-12-30T13:15:00"/>
    <n v="0"/>
    <x v="1"/>
  </r>
  <r>
    <x v="0"/>
    <s v="Egypt"/>
    <x v="36"/>
    <x v="179"/>
    <x v="179"/>
    <m/>
    <m/>
    <s v="Break 30 Morning"/>
    <d v="1899-12-30T15:45:00"/>
    <d v="1899-12-30T16:15:00"/>
    <n v="0"/>
    <x v="1"/>
  </r>
  <r>
    <x v="0"/>
    <s v="Egypt"/>
    <x v="36"/>
    <x v="179"/>
    <x v="179"/>
    <d v="2025-06-21T00:00:00"/>
    <m/>
    <s v="Day Off"/>
    <m/>
    <m/>
    <n v="0"/>
    <x v="1"/>
  </r>
  <r>
    <x v="0"/>
    <s v="Egypt"/>
    <x v="36"/>
    <x v="179"/>
    <x v="179"/>
    <d v="2025-06-22T00:00:00"/>
    <d v="1899-12-30T10:15:00"/>
    <s v="Non Telecom Assyot"/>
    <d v="1899-12-30T09:00:00"/>
    <d v="1899-12-30T19:15:00"/>
    <n v="36900"/>
    <x v="0"/>
  </r>
  <r>
    <x v="0"/>
    <s v="Egypt"/>
    <x v="36"/>
    <x v="179"/>
    <x v="179"/>
    <m/>
    <m/>
    <s v="Shift Move"/>
    <d v="1899-12-30T09:00:00"/>
    <d v="1899-12-30T11:00:00"/>
    <n v="0"/>
    <x v="1"/>
  </r>
  <r>
    <x v="0"/>
    <s v="Egypt"/>
    <x v="36"/>
    <x v="179"/>
    <x v="179"/>
    <m/>
    <m/>
    <s v="Break 15 Morning"/>
    <d v="1899-12-30T14:15:00"/>
    <d v="1899-12-30T14:30:00"/>
    <n v="0"/>
    <x v="1"/>
  </r>
  <r>
    <x v="0"/>
    <s v="Egypt"/>
    <x v="36"/>
    <x v="179"/>
    <x v="179"/>
    <m/>
    <m/>
    <s v="Break 30 Morning"/>
    <d v="1899-12-30T15:15:00"/>
    <d v="1899-12-30T15:45:00"/>
    <n v="0"/>
    <x v="1"/>
  </r>
  <r>
    <x v="0"/>
    <s v="Egypt"/>
    <x v="36"/>
    <x v="179"/>
    <x v="179"/>
    <d v="2025-06-23T00:00:00"/>
    <m/>
    <s v="Day Off"/>
    <m/>
    <m/>
    <n v="0"/>
    <x v="1"/>
  </r>
  <r>
    <x v="0"/>
    <s v="Egypt"/>
    <x v="36"/>
    <x v="179"/>
    <x v="179"/>
    <d v="2025-06-24T00:00:00"/>
    <m/>
    <s v="Day Off"/>
    <m/>
    <m/>
    <n v="0"/>
    <x v="1"/>
  </r>
  <r>
    <x v="0"/>
    <s v="Egypt"/>
    <x v="36"/>
    <x v="179"/>
    <x v="179"/>
    <d v="2025-06-25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1:00:00"/>
    <d v="1899-12-30T11:15:00"/>
    <n v="0"/>
    <x v="1"/>
  </r>
  <r>
    <x v="0"/>
    <s v="Egypt"/>
    <x v="36"/>
    <x v="179"/>
    <x v="179"/>
    <m/>
    <m/>
    <s v="Break 30 Morning"/>
    <d v="1899-12-30T13:45:00"/>
    <d v="1899-12-30T14:15:00"/>
    <n v="0"/>
    <x v="1"/>
  </r>
  <r>
    <x v="0"/>
    <s v="Egypt"/>
    <x v="36"/>
    <x v="179"/>
    <x v="179"/>
    <d v="2025-06-26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1:00:00"/>
    <d v="1899-12-30T11:15:00"/>
    <n v="0"/>
    <x v="1"/>
  </r>
  <r>
    <x v="0"/>
    <s v="Egypt"/>
    <x v="36"/>
    <x v="179"/>
    <x v="179"/>
    <m/>
    <m/>
    <s v="Break 30 Morning"/>
    <d v="1899-12-30T14:15:00"/>
    <d v="1899-12-30T14:45:00"/>
    <n v="0"/>
    <x v="1"/>
  </r>
  <r>
    <x v="0"/>
    <s v="Egypt"/>
    <x v="36"/>
    <x v="179"/>
    <x v="179"/>
    <d v="2025-06-27T00:00:00"/>
    <d v="1899-12-30T08:15:00"/>
    <s v="Non Telecom Assyot"/>
    <d v="1899-12-30T09:00:00"/>
    <d v="1899-12-30T17:15:00"/>
    <n v="29700"/>
    <x v="0"/>
  </r>
  <r>
    <x v="0"/>
    <s v="Egypt"/>
    <x v="36"/>
    <x v="179"/>
    <x v="179"/>
    <m/>
    <m/>
    <s v="Break 15 Morning"/>
    <d v="1899-12-30T11:15:00"/>
    <d v="1899-12-30T11:30:00"/>
    <n v="0"/>
    <x v="1"/>
  </r>
  <r>
    <x v="0"/>
    <s v="Egypt"/>
    <x v="36"/>
    <x v="179"/>
    <x v="179"/>
    <m/>
    <m/>
    <s v="Break 30 Morning"/>
    <d v="1899-12-30T14:45:00"/>
    <d v="1899-12-30T15:15:00"/>
    <n v="0"/>
    <x v="1"/>
  </r>
  <r>
    <x v="0"/>
    <s v="Egypt"/>
    <x v="36"/>
    <x v="179"/>
    <x v="179"/>
    <d v="2025-06-28T00:00:00"/>
    <d v="1899-12-30T10:15:00"/>
    <s v="Non Telecom Assyot"/>
    <d v="1899-12-30T09:00:00"/>
    <d v="1899-12-30T19:15:00"/>
    <n v="36900"/>
    <x v="0"/>
  </r>
  <r>
    <x v="0"/>
    <s v="Egypt"/>
    <x v="36"/>
    <x v="179"/>
    <x v="179"/>
    <m/>
    <m/>
    <s v="Shift Move"/>
    <d v="1899-12-30T09:00:00"/>
    <d v="1899-12-30T11:00:00"/>
    <n v="0"/>
    <x v="1"/>
  </r>
  <r>
    <x v="0"/>
    <s v="Egypt"/>
    <x v="36"/>
    <x v="179"/>
    <x v="179"/>
    <m/>
    <m/>
    <s v="Break 15 Morning"/>
    <d v="1899-12-30T14:30:00"/>
    <d v="1899-12-30T14:45:00"/>
    <n v="0"/>
    <x v="1"/>
  </r>
  <r>
    <x v="0"/>
    <s v="Egypt"/>
    <x v="36"/>
    <x v="179"/>
    <x v="179"/>
    <m/>
    <m/>
    <s v="Break 30 Morning"/>
    <d v="1899-12-30T16:00:00"/>
    <d v="1899-12-30T16:30:00"/>
    <n v="0"/>
    <x v="1"/>
  </r>
  <r>
    <x v="0"/>
    <s v="Egypt"/>
    <x v="36"/>
    <x v="179"/>
    <x v="179"/>
    <d v="2025-06-29T00:00:00"/>
    <m/>
    <s v="Day Off"/>
    <m/>
    <m/>
    <n v="0"/>
    <x v="1"/>
  </r>
  <r>
    <x v="0"/>
    <s v="Egypt"/>
    <x v="36"/>
    <x v="179"/>
    <x v="179"/>
    <d v="2025-06-30T00:00:00"/>
    <m/>
    <s v="Day Off"/>
    <m/>
    <m/>
    <n v="0"/>
    <x v="1"/>
  </r>
  <r>
    <x v="0"/>
    <s v="Egypt"/>
    <x v="36"/>
    <x v="180"/>
    <x v="180"/>
    <d v="2025-06-05T00:00:00"/>
    <d v="1899-12-30T08:15:00"/>
    <s v="Public holiday"/>
    <m/>
    <m/>
    <n v="29700"/>
    <x v="1"/>
  </r>
  <r>
    <x v="0"/>
    <s v="Egypt"/>
    <x v="36"/>
    <x v="180"/>
    <x v="180"/>
    <d v="2025-06-06T00:00:00"/>
    <m/>
    <s v="Day Off"/>
    <m/>
    <m/>
    <n v="0"/>
    <x v="1"/>
  </r>
  <r>
    <x v="0"/>
    <s v="Egypt"/>
    <x v="36"/>
    <x v="180"/>
    <x v="180"/>
    <d v="2025-06-07T00:00:00"/>
    <m/>
    <s v="Day Off"/>
    <m/>
    <m/>
    <n v="0"/>
    <x v="1"/>
  </r>
  <r>
    <x v="0"/>
    <s v="Egypt"/>
    <x v="36"/>
    <x v="180"/>
    <x v="180"/>
    <d v="2025-06-08T00:00:00"/>
    <d v="1899-12-30T08:15:00"/>
    <s v="Public holiday"/>
    <m/>
    <m/>
    <n v="29700"/>
    <x v="1"/>
  </r>
  <r>
    <x v="0"/>
    <s v="Egypt"/>
    <x v="36"/>
    <x v="180"/>
    <x v="180"/>
    <d v="2025-06-09T00:00:00"/>
    <m/>
    <s v="Day Off"/>
    <m/>
    <m/>
    <n v="0"/>
    <x v="1"/>
  </r>
  <r>
    <x v="0"/>
    <s v="Egypt"/>
    <x v="36"/>
    <x v="180"/>
    <x v="180"/>
    <d v="2025-06-10T00:00:00"/>
    <m/>
    <s v="Day Off"/>
    <m/>
    <m/>
    <n v="0"/>
    <x v="1"/>
  </r>
  <r>
    <x v="0"/>
    <s v="Egypt"/>
    <x v="36"/>
    <x v="180"/>
    <x v="180"/>
    <d v="2025-06-11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0:45:00"/>
    <d v="1899-12-30T11:00:00"/>
    <n v="0"/>
    <x v="1"/>
  </r>
  <r>
    <x v="0"/>
    <s v="Egypt"/>
    <x v="36"/>
    <x v="180"/>
    <x v="180"/>
    <m/>
    <m/>
    <s v="One to One"/>
    <d v="1899-12-30T11:45:00"/>
    <d v="1899-12-30T12:00:00"/>
    <n v="0"/>
    <x v="1"/>
  </r>
  <r>
    <x v="0"/>
    <s v="Egypt"/>
    <x v="36"/>
    <x v="180"/>
    <x v="180"/>
    <m/>
    <m/>
    <s v="Break 30 Morning"/>
    <d v="1899-12-30T14:15:00"/>
    <d v="1899-12-30T14:45:00"/>
    <n v="0"/>
    <x v="1"/>
  </r>
  <r>
    <x v="0"/>
    <s v="Egypt"/>
    <x v="36"/>
    <x v="180"/>
    <x v="180"/>
    <d v="2025-06-12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0:30:00"/>
    <d v="1899-12-30T10:45:00"/>
    <n v="0"/>
    <x v="1"/>
  </r>
  <r>
    <x v="0"/>
    <s v="Egypt"/>
    <x v="36"/>
    <x v="180"/>
    <x v="180"/>
    <m/>
    <m/>
    <s v="One to One"/>
    <d v="1899-12-30T11:45:00"/>
    <d v="1899-12-30T12:00:00"/>
    <n v="0"/>
    <x v="1"/>
  </r>
  <r>
    <x v="0"/>
    <s v="Egypt"/>
    <x v="36"/>
    <x v="180"/>
    <x v="180"/>
    <m/>
    <m/>
    <s v="Break 30 Morning"/>
    <d v="1899-12-30T13:45:00"/>
    <d v="1899-12-30T14:15:00"/>
    <n v="0"/>
    <x v="1"/>
  </r>
  <r>
    <x v="0"/>
    <s v="Egypt"/>
    <x v="36"/>
    <x v="180"/>
    <x v="180"/>
    <d v="2025-06-13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0:45:00"/>
    <d v="1899-12-30T11:00:00"/>
    <n v="0"/>
    <x v="1"/>
  </r>
  <r>
    <x v="0"/>
    <s v="Egypt"/>
    <x v="36"/>
    <x v="180"/>
    <x v="180"/>
    <m/>
    <m/>
    <s v="One to One"/>
    <d v="1899-12-30T11:15:00"/>
    <d v="1899-12-30T11:30:00"/>
    <n v="0"/>
    <x v="1"/>
  </r>
  <r>
    <x v="0"/>
    <s v="Egypt"/>
    <x v="36"/>
    <x v="180"/>
    <x v="180"/>
    <m/>
    <m/>
    <s v="Break 30 Morning"/>
    <d v="1899-12-30T13:30:00"/>
    <d v="1899-12-30T14:00:00"/>
    <n v="0"/>
    <x v="1"/>
  </r>
  <r>
    <x v="0"/>
    <s v="Egypt"/>
    <x v="36"/>
    <x v="180"/>
    <x v="180"/>
    <d v="2025-06-14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15:00"/>
    <d v="1899-12-30T11:30:00"/>
    <n v="0"/>
    <x v="1"/>
  </r>
  <r>
    <x v="0"/>
    <s v="Egypt"/>
    <x v="36"/>
    <x v="180"/>
    <x v="180"/>
    <m/>
    <m/>
    <s v="One to One"/>
    <d v="1899-12-30T12:00:00"/>
    <d v="1899-12-30T12:15:00"/>
    <n v="0"/>
    <x v="1"/>
  </r>
  <r>
    <x v="0"/>
    <s v="Egypt"/>
    <x v="36"/>
    <x v="180"/>
    <x v="180"/>
    <m/>
    <m/>
    <s v="Break 30 Morning"/>
    <d v="1899-12-30T14:15:00"/>
    <d v="1899-12-30T14:45:00"/>
    <n v="0"/>
    <x v="1"/>
  </r>
  <r>
    <x v="0"/>
    <s v="Egypt"/>
    <x v="36"/>
    <x v="180"/>
    <x v="180"/>
    <d v="2025-06-15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0:45:00"/>
    <d v="1899-12-30T11:00:00"/>
    <n v="0"/>
    <x v="1"/>
  </r>
  <r>
    <x v="0"/>
    <s v="Egypt"/>
    <x v="36"/>
    <x v="180"/>
    <x v="180"/>
    <m/>
    <m/>
    <s v="Break 30 Morning"/>
    <d v="1899-12-30T13:45:00"/>
    <d v="1899-12-30T14:15:00"/>
    <n v="0"/>
    <x v="1"/>
  </r>
  <r>
    <x v="0"/>
    <s v="Egypt"/>
    <x v="36"/>
    <x v="180"/>
    <x v="180"/>
    <d v="2025-06-16T00:00:00"/>
    <m/>
    <s v="Day Off"/>
    <m/>
    <m/>
    <n v="0"/>
    <x v="1"/>
  </r>
  <r>
    <x v="0"/>
    <s v="Egypt"/>
    <x v="36"/>
    <x v="180"/>
    <x v="180"/>
    <d v="2025-06-17T00:00:00"/>
    <m/>
    <s v="Day Off"/>
    <m/>
    <m/>
    <n v="0"/>
    <x v="1"/>
  </r>
  <r>
    <x v="0"/>
    <s v="Egypt"/>
    <x v="36"/>
    <x v="180"/>
    <x v="180"/>
    <d v="2025-06-18T00:00:00"/>
    <d v="1899-12-30T08:15:00"/>
    <s v="Non Telecom Assyot"/>
    <d v="1899-12-30T11:00:00"/>
    <d v="1899-12-30T19:15:00"/>
    <n v="29700"/>
    <x v="0"/>
  </r>
  <r>
    <x v="0"/>
    <s v="Egypt"/>
    <x v="36"/>
    <x v="180"/>
    <x v="180"/>
    <m/>
    <m/>
    <s v="Break 15 Morning"/>
    <d v="1899-12-30T13:00:00"/>
    <d v="1899-12-30T13:15:00"/>
    <n v="0"/>
    <x v="1"/>
  </r>
  <r>
    <x v="0"/>
    <s v="Egypt"/>
    <x v="36"/>
    <x v="180"/>
    <x v="180"/>
    <m/>
    <m/>
    <s v="Break 30 Morning"/>
    <d v="1899-12-30T15:45:00"/>
    <d v="1899-12-30T16:15:00"/>
    <n v="0"/>
    <x v="1"/>
  </r>
  <r>
    <x v="0"/>
    <s v="Egypt"/>
    <x v="36"/>
    <x v="180"/>
    <x v="180"/>
    <d v="2025-06-19T00:00:00"/>
    <d v="1899-12-30T08:15:00"/>
    <s v="Non Telecom Assyot"/>
    <d v="1899-12-30T11:00:00"/>
    <d v="1899-12-30T19:15:00"/>
    <n v="29700"/>
    <x v="0"/>
  </r>
  <r>
    <x v="0"/>
    <s v="Egypt"/>
    <x v="36"/>
    <x v="180"/>
    <x v="180"/>
    <m/>
    <m/>
    <s v="Break 15 Morning"/>
    <d v="1899-12-30T13:30:00"/>
    <d v="1899-12-30T13:45:00"/>
    <n v="0"/>
    <x v="1"/>
  </r>
  <r>
    <x v="0"/>
    <s v="Egypt"/>
    <x v="36"/>
    <x v="180"/>
    <x v="180"/>
    <m/>
    <m/>
    <s v="Break 30 Morning"/>
    <d v="1899-12-30T16:15:00"/>
    <d v="1899-12-30T16:45:00"/>
    <n v="0"/>
    <x v="1"/>
  </r>
  <r>
    <x v="0"/>
    <s v="Egypt"/>
    <x v="36"/>
    <x v="180"/>
    <x v="180"/>
    <d v="2025-06-20T00:00:00"/>
    <d v="1899-12-30T08:15:00"/>
    <s v="Non Telecom Assyot"/>
    <d v="1899-12-30T11:00:00"/>
    <d v="1899-12-30T19:15:00"/>
    <n v="29700"/>
    <x v="0"/>
  </r>
  <r>
    <x v="0"/>
    <s v="Egypt"/>
    <x v="36"/>
    <x v="180"/>
    <x v="180"/>
    <m/>
    <m/>
    <s v="Break 15 Morning"/>
    <d v="1899-12-30T13:15:00"/>
    <d v="1899-12-30T13:30:00"/>
    <n v="0"/>
    <x v="1"/>
  </r>
  <r>
    <x v="0"/>
    <s v="Egypt"/>
    <x v="36"/>
    <x v="180"/>
    <x v="180"/>
    <m/>
    <m/>
    <s v="Break 30 Morning"/>
    <d v="1899-12-30T15:45:00"/>
    <d v="1899-12-30T16:15:00"/>
    <n v="0"/>
    <x v="1"/>
  </r>
  <r>
    <x v="0"/>
    <s v="Egypt"/>
    <x v="36"/>
    <x v="180"/>
    <x v="180"/>
    <d v="2025-06-21T00:00:00"/>
    <d v="1899-12-30T08:15:00"/>
    <s v="Non Telecom Assyot"/>
    <d v="1899-12-30T11:00:00"/>
    <d v="1899-12-30T19:15:00"/>
    <n v="29700"/>
    <x v="0"/>
  </r>
  <r>
    <x v="0"/>
    <s v="Egypt"/>
    <x v="36"/>
    <x v="180"/>
    <x v="180"/>
    <m/>
    <m/>
    <s v="Break 15 Morning"/>
    <d v="1899-12-30T13:00:00"/>
    <d v="1899-12-30T13:15:00"/>
    <n v="0"/>
    <x v="1"/>
  </r>
  <r>
    <x v="0"/>
    <s v="Egypt"/>
    <x v="36"/>
    <x v="180"/>
    <x v="180"/>
    <m/>
    <m/>
    <s v="Break 30 Morning"/>
    <d v="1899-12-30T15:45:00"/>
    <d v="1899-12-30T16:15:00"/>
    <n v="0"/>
    <x v="1"/>
  </r>
  <r>
    <x v="0"/>
    <s v="Egypt"/>
    <x v="36"/>
    <x v="180"/>
    <x v="180"/>
    <d v="2025-06-22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15:00"/>
    <d v="1899-12-30T11:30:00"/>
    <n v="0"/>
    <x v="1"/>
  </r>
  <r>
    <x v="0"/>
    <s v="Egypt"/>
    <x v="36"/>
    <x v="180"/>
    <x v="180"/>
    <m/>
    <m/>
    <s v="Break 30 Morning"/>
    <d v="1899-12-30T14:15:00"/>
    <d v="1899-12-30T14:45:00"/>
    <n v="0"/>
    <x v="1"/>
  </r>
  <r>
    <x v="0"/>
    <s v="Egypt"/>
    <x v="36"/>
    <x v="180"/>
    <x v="180"/>
    <d v="2025-06-23T00:00:00"/>
    <m/>
    <s v="Day Off"/>
    <m/>
    <m/>
    <n v="0"/>
    <x v="1"/>
  </r>
  <r>
    <x v="0"/>
    <s v="Egypt"/>
    <x v="36"/>
    <x v="180"/>
    <x v="180"/>
    <d v="2025-06-24T00:00:00"/>
    <m/>
    <s v="Day Off"/>
    <m/>
    <m/>
    <n v="0"/>
    <x v="1"/>
  </r>
  <r>
    <x v="0"/>
    <s v="Egypt"/>
    <x v="36"/>
    <x v="180"/>
    <x v="180"/>
    <d v="2025-06-25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15:00"/>
    <d v="1899-12-30T11:30:00"/>
    <n v="0"/>
    <x v="1"/>
  </r>
  <r>
    <x v="0"/>
    <s v="Egypt"/>
    <x v="36"/>
    <x v="180"/>
    <x v="180"/>
    <m/>
    <m/>
    <s v="Break 30 Morning"/>
    <d v="1899-12-30T14:15:00"/>
    <d v="1899-12-30T14:45:00"/>
    <n v="0"/>
    <x v="1"/>
  </r>
  <r>
    <x v="0"/>
    <s v="Egypt"/>
    <x v="36"/>
    <x v="180"/>
    <x v="180"/>
    <d v="2025-06-26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15:00"/>
    <d v="1899-12-30T11:30:00"/>
    <n v="0"/>
    <x v="1"/>
  </r>
  <r>
    <x v="0"/>
    <s v="Egypt"/>
    <x v="36"/>
    <x v="180"/>
    <x v="180"/>
    <m/>
    <m/>
    <s v="Break 30 Morning"/>
    <d v="1899-12-30T14:45:00"/>
    <d v="1899-12-30T15:15:00"/>
    <n v="0"/>
    <x v="1"/>
  </r>
  <r>
    <x v="0"/>
    <s v="Egypt"/>
    <x v="36"/>
    <x v="180"/>
    <x v="180"/>
    <d v="2025-06-27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30:00"/>
    <d v="1899-12-30T11:45:00"/>
    <n v="0"/>
    <x v="1"/>
  </r>
  <r>
    <x v="0"/>
    <s v="Egypt"/>
    <x v="36"/>
    <x v="180"/>
    <x v="180"/>
    <m/>
    <m/>
    <s v="Break 30 Morning"/>
    <d v="1899-12-30T14:45:00"/>
    <d v="1899-12-30T15:15:00"/>
    <n v="0"/>
    <x v="1"/>
  </r>
  <r>
    <x v="0"/>
    <s v="Egypt"/>
    <x v="36"/>
    <x v="180"/>
    <x v="180"/>
    <d v="2025-06-28T00:00:00"/>
    <d v="1899-12-30T08:15:00"/>
    <s v="Non Telecom Assyot"/>
    <d v="1899-12-30T09:00:00"/>
    <d v="1899-12-30T17:15:00"/>
    <n v="29700"/>
    <x v="0"/>
  </r>
  <r>
    <x v="0"/>
    <s v="Egypt"/>
    <x v="36"/>
    <x v="180"/>
    <x v="180"/>
    <m/>
    <m/>
    <s v="Break 15 Morning"/>
    <d v="1899-12-30T11:30:00"/>
    <d v="1899-12-30T11:45:00"/>
    <n v="0"/>
    <x v="1"/>
  </r>
  <r>
    <x v="0"/>
    <s v="Egypt"/>
    <x v="36"/>
    <x v="180"/>
    <x v="180"/>
    <m/>
    <m/>
    <s v="Break 30 Morning"/>
    <d v="1899-12-30T14:15:00"/>
    <d v="1899-12-30T14:45:00"/>
    <n v="0"/>
    <x v="1"/>
  </r>
  <r>
    <x v="0"/>
    <s v="Egypt"/>
    <x v="36"/>
    <x v="180"/>
    <x v="180"/>
    <d v="2025-06-29T00:00:00"/>
    <m/>
    <s v="Day Off"/>
    <m/>
    <m/>
    <n v="0"/>
    <x v="1"/>
  </r>
  <r>
    <x v="0"/>
    <s v="Egypt"/>
    <x v="36"/>
    <x v="180"/>
    <x v="180"/>
    <d v="2025-06-30T00:00:00"/>
    <m/>
    <s v="Day Off"/>
    <m/>
    <m/>
    <n v="0"/>
    <x v="1"/>
  </r>
  <r>
    <x v="0"/>
    <s v="Egypt"/>
    <x v="36"/>
    <x v="181"/>
    <x v="181"/>
    <d v="2025-06-01T00:00:00"/>
    <m/>
    <s v="Day Off"/>
    <m/>
    <m/>
    <n v="0"/>
    <x v="1"/>
  </r>
  <r>
    <x v="0"/>
    <s v="Egypt"/>
    <x v="36"/>
    <x v="181"/>
    <x v="181"/>
    <d v="2025-06-02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15:00"/>
    <d v="1899-12-30T13:30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03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30:00"/>
    <d v="1899-12-30T13:45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04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00:00"/>
    <d v="1899-12-30T13:15:00"/>
    <n v="0"/>
    <x v="1"/>
  </r>
  <r>
    <x v="0"/>
    <s v="Egypt"/>
    <x v="36"/>
    <x v="181"/>
    <x v="181"/>
    <m/>
    <m/>
    <s v="Break 30 Morning"/>
    <d v="1899-12-30T16:15:00"/>
    <d v="1899-12-30T16:45:00"/>
    <n v="0"/>
    <x v="1"/>
  </r>
  <r>
    <x v="0"/>
    <s v="Egypt"/>
    <x v="36"/>
    <x v="181"/>
    <x v="181"/>
    <d v="2025-06-05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15:00"/>
    <d v="1899-12-30T13:30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06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30:00"/>
    <d v="1899-12-30T13:45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07T00:00:00"/>
    <m/>
    <s v="Day Off"/>
    <m/>
    <m/>
    <n v="0"/>
    <x v="1"/>
  </r>
  <r>
    <x v="0"/>
    <s v="Egypt"/>
    <x v="36"/>
    <x v="181"/>
    <x v="181"/>
    <d v="2025-06-08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15:00"/>
    <d v="1899-12-30T11:30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09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00:00"/>
    <d v="1899-12-30T11:15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10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0:45:00"/>
    <d v="1899-12-30T11:00:00"/>
    <n v="0"/>
    <x v="1"/>
  </r>
  <r>
    <x v="0"/>
    <s v="Egypt"/>
    <x v="36"/>
    <x v="181"/>
    <x v="181"/>
    <m/>
    <m/>
    <s v="Break 30 Morning"/>
    <d v="1899-12-30T13:45:00"/>
    <d v="1899-12-30T14:15:00"/>
    <n v="0"/>
    <x v="1"/>
  </r>
  <r>
    <x v="0"/>
    <s v="Egypt"/>
    <x v="36"/>
    <x v="181"/>
    <x v="181"/>
    <d v="2025-06-11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00:00"/>
    <d v="1899-12-30T11:15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12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15:00"/>
    <d v="1899-12-30T11:30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13T00:00:00"/>
    <m/>
    <s v="Day Off"/>
    <m/>
    <m/>
    <n v="0"/>
    <x v="1"/>
  </r>
  <r>
    <x v="0"/>
    <s v="Egypt"/>
    <x v="36"/>
    <x v="181"/>
    <x v="181"/>
    <d v="2025-06-14T00:00:00"/>
    <m/>
    <s v="Day Off"/>
    <m/>
    <m/>
    <n v="0"/>
    <x v="1"/>
  </r>
  <r>
    <x v="0"/>
    <s v="Egypt"/>
    <x v="36"/>
    <x v="181"/>
    <x v="181"/>
    <d v="2025-06-15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00:00"/>
    <d v="1899-12-30T13:15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16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00:00"/>
    <d v="1899-12-30T13:15:00"/>
    <n v="0"/>
    <x v="1"/>
  </r>
  <r>
    <x v="0"/>
    <s v="Egypt"/>
    <x v="36"/>
    <x v="181"/>
    <x v="181"/>
    <m/>
    <m/>
    <s v="Break 30 Morning"/>
    <d v="1899-12-30T15:45:00"/>
    <d v="1899-12-30T16:15:00"/>
    <n v="0"/>
    <x v="1"/>
  </r>
  <r>
    <x v="0"/>
    <s v="Egypt"/>
    <x v="36"/>
    <x v="181"/>
    <x v="181"/>
    <d v="2025-06-17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2:45:00"/>
    <d v="1899-12-30T13:00:00"/>
    <n v="0"/>
    <x v="1"/>
  </r>
  <r>
    <x v="0"/>
    <s v="Egypt"/>
    <x v="36"/>
    <x v="181"/>
    <x v="181"/>
    <m/>
    <m/>
    <s v="Break 30 Morning"/>
    <d v="1899-12-30T16:15:00"/>
    <d v="1899-12-30T16:45:00"/>
    <n v="0"/>
    <x v="1"/>
  </r>
  <r>
    <x v="0"/>
    <s v="Egypt"/>
    <x v="36"/>
    <x v="181"/>
    <x v="181"/>
    <d v="2025-06-18T00:00:00"/>
    <d v="1899-12-30T08:15:00"/>
    <s v="Annual Exception"/>
    <m/>
    <m/>
    <n v="29700"/>
    <x v="1"/>
  </r>
  <r>
    <x v="0"/>
    <s v="Egypt"/>
    <x v="36"/>
    <x v="181"/>
    <x v="181"/>
    <d v="2025-06-19T00:00:00"/>
    <m/>
    <s v="Day Off"/>
    <m/>
    <m/>
    <n v="0"/>
    <x v="1"/>
  </r>
  <r>
    <x v="0"/>
    <s v="Egypt"/>
    <x v="36"/>
    <x v="181"/>
    <x v="181"/>
    <d v="2025-06-20T00:00:00"/>
    <m/>
    <s v="Day Off"/>
    <m/>
    <m/>
    <n v="0"/>
    <x v="1"/>
  </r>
  <r>
    <x v="0"/>
    <s v="Egypt"/>
    <x v="36"/>
    <x v="181"/>
    <x v="181"/>
    <d v="2025-06-21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45:00"/>
    <d v="1899-12-30T12:00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22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00:00"/>
    <d v="1899-12-30T13:15:00"/>
    <n v="0"/>
    <x v="1"/>
  </r>
  <r>
    <x v="0"/>
    <s v="Egypt"/>
    <x v="36"/>
    <x v="181"/>
    <x v="181"/>
    <m/>
    <m/>
    <s v="Break 30 Morning"/>
    <d v="1899-12-30T15:45:00"/>
    <d v="1899-12-30T16:15:00"/>
    <n v="0"/>
    <x v="1"/>
  </r>
  <r>
    <x v="0"/>
    <s v="Egypt"/>
    <x v="36"/>
    <x v="181"/>
    <x v="181"/>
    <d v="2025-06-23T00:00:00"/>
    <m/>
    <s v="Day Off"/>
    <m/>
    <m/>
    <n v="0"/>
    <x v="1"/>
  </r>
  <r>
    <x v="0"/>
    <s v="Egypt"/>
    <x v="36"/>
    <x v="181"/>
    <x v="181"/>
    <d v="2025-06-24T00:00:00"/>
    <d v="1899-12-30T08:15:00"/>
    <s v="Non Telecom Assyot"/>
    <d v="1899-12-30T09:00:00"/>
    <d v="1899-12-30T17:15:00"/>
    <n v="29700"/>
    <x v="0"/>
  </r>
  <r>
    <x v="0"/>
    <s v="Egypt"/>
    <x v="36"/>
    <x v="181"/>
    <x v="181"/>
    <m/>
    <m/>
    <s v="Break 15 Morning"/>
    <d v="1899-12-30T11:30:00"/>
    <d v="1899-12-30T11:45:00"/>
    <n v="0"/>
    <x v="1"/>
  </r>
  <r>
    <x v="0"/>
    <s v="Egypt"/>
    <x v="36"/>
    <x v="181"/>
    <x v="181"/>
    <m/>
    <m/>
    <s v="Break 30 Morning"/>
    <d v="1899-12-30T14:15:00"/>
    <d v="1899-12-30T14:45:00"/>
    <n v="0"/>
    <x v="1"/>
  </r>
  <r>
    <x v="0"/>
    <s v="Egypt"/>
    <x v="36"/>
    <x v="181"/>
    <x v="181"/>
    <d v="2025-06-25T00:00:00"/>
    <m/>
    <s v="Day Off"/>
    <m/>
    <m/>
    <n v="0"/>
    <x v="1"/>
  </r>
  <r>
    <x v="0"/>
    <s v="Egypt"/>
    <x v="36"/>
    <x v="181"/>
    <x v="181"/>
    <d v="2025-06-26T00:00:00"/>
    <d v="1899-12-30T08:15:00"/>
    <s v="Public holiday"/>
    <m/>
    <m/>
    <n v="29700"/>
    <x v="1"/>
  </r>
  <r>
    <x v="0"/>
    <s v="Egypt"/>
    <x v="36"/>
    <x v="181"/>
    <x v="181"/>
    <d v="2025-06-27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30:00"/>
    <d v="1899-12-30T13:45:00"/>
    <n v="0"/>
    <x v="1"/>
  </r>
  <r>
    <x v="0"/>
    <s v="Egypt"/>
    <x v="36"/>
    <x v="181"/>
    <x v="181"/>
    <m/>
    <m/>
    <s v="Break 30 Morning"/>
    <d v="1899-12-30T17:15:00"/>
    <d v="1899-12-30T17:45:00"/>
    <n v="0"/>
    <x v="1"/>
  </r>
  <r>
    <x v="0"/>
    <s v="Egypt"/>
    <x v="36"/>
    <x v="181"/>
    <x v="181"/>
    <d v="2025-06-28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30:00"/>
    <d v="1899-12-30T13:45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1"/>
    <x v="181"/>
    <d v="2025-06-29T00:00:00"/>
    <d v="1899-12-30T08:00:00"/>
    <s v="Non Reserved Annual"/>
    <d v="1899-12-30T09:15:00"/>
    <d v="1899-12-30T17:15:00"/>
    <n v="28800"/>
    <x v="1"/>
  </r>
  <r>
    <x v="0"/>
    <s v="Egypt"/>
    <x v="36"/>
    <x v="181"/>
    <x v="181"/>
    <m/>
    <m/>
    <s v="Non Reserved Annual"/>
    <d v="1899-12-30T09:15:00"/>
    <d v="1899-12-30T17:15:00"/>
    <n v="0"/>
    <x v="1"/>
  </r>
  <r>
    <x v="0"/>
    <s v="Egypt"/>
    <x v="36"/>
    <x v="181"/>
    <x v="181"/>
    <d v="2025-06-30T00:00:00"/>
    <d v="1899-12-30T08:15:00"/>
    <s v="Non Telecom Assyot"/>
    <d v="1899-12-30T11:00:00"/>
    <d v="1899-12-30T19:15:00"/>
    <n v="29700"/>
    <x v="0"/>
  </r>
  <r>
    <x v="0"/>
    <s v="Egypt"/>
    <x v="36"/>
    <x v="181"/>
    <x v="181"/>
    <m/>
    <m/>
    <s v="Break 15 Morning"/>
    <d v="1899-12-30T13:15:00"/>
    <d v="1899-12-30T13:30:00"/>
    <n v="0"/>
    <x v="1"/>
  </r>
  <r>
    <x v="0"/>
    <s v="Egypt"/>
    <x v="36"/>
    <x v="181"/>
    <x v="181"/>
    <m/>
    <m/>
    <s v="Break 30 Morning"/>
    <d v="1899-12-30T16:45:00"/>
    <d v="1899-12-30T17:15:00"/>
    <n v="0"/>
    <x v="1"/>
  </r>
  <r>
    <x v="0"/>
    <s v="Egypt"/>
    <x v="36"/>
    <x v="182"/>
    <x v="182"/>
    <d v="2025-06-01T00:00:00"/>
    <m/>
    <s v="Day Off"/>
    <m/>
    <m/>
    <n v="0"/>
    <x v="1"/>
  </r>
  <r>
    <x v="0"/>
    <s v="Egypt"/>
    <x v="36"/>
    <x v="182"/>
    <x v="182"/>
    <d v="2025-06-02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45:00"/>
    <d v="1899-12-30T14:00:00"/>
    <n v="0"/>
    <x v="1"/>
  </r>
  <r>
    <x v="0"/>
    <s v="Egypt"/>
    <x v="36"/>
    <x v="182"/>
    <x v="182"/>
    <m/>
    <m/>
    <s v="Break 30 Morning"/>
    <d v="1899-12-30T17:15:00"/>
    <d v="1899-12-30T17:45:00"/>
    <n v="0"/>
    <x v="1"/>
  </r>
  <r>
    <x v="0"/>
    <s v="Egypt"/>
    <x v="36"/>
    <x v="182"/>
    <x v="182"/>
    <d v="2025-06-03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4:00:00"/>
    <d v="1899-12-30T14:15:00"/>
    <n v="0"/>
    <x v="1"/>
  </r>
  <r>
    <x v="0"/>
    <s v="Egypt"/>
    <x v="36"/>
    <x v="182"/>
    <x v="182"/>
    <m/>
    <m/>
    <s v="Break 30 Morning"/>
    <d v="1899-12-30T17:15:00"/>
    <d v="1899-12-30T17:45:00"/>
    <n v="0"/>
    <x v="1"/>
  </r>
  <r>
    <x v="0"/>
    <s v="Egypt"/>
    <x v="36"/>
    <x v="182"/>
    <x v="182"/>
    <d v="2025-06-04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30:00"/>
    <d v="1899-12-30T13:45:00"/>
    <n v="0"/>
    <x v="1"/>
  </r>
  <r>
    <x v="0"/>
    <s v="Egypt"/>
    <x v="36"/>
    <x v="182"/>
    <x v="182"/>
    <m/>
    <m/>
    <s v="Break 30 Morning"/>
    <d v="1899-12-30T16:45:00"/>
    <d v="1899-12-30T17:15:00"/>
    <n v="0"/>
    <x v="1"/>
  </r>
  <r>
    <x v="0"/>
    <s v="Egypt"/>
    <x v="36"/>
    <x v="182"/>
    <x v="182"/>
    <d v="2025-06-05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45:00"/>
    <d v="1899-12-30T14:00:00"/>
    <n v="0"/>
    <x v="1"/>
  </r>
  <r>
    <x v="0"/>
    <s v="Egypt"/>
    <x v="36"/>
    <x v="182"/>
    <x v="182"/>
    <m/>
    <m/>
    <s v="Break 30 Morning"/>
    <d v="1899-12-30T17:15:00"/>
    <d v="1899-12-30T17:45:00"/>
    <n v="0"/>
    <x v="1"/>
  </r>
  <r>
    <x v="0"/>
    <s v="Egypt"/>
    <x v="36"/>
    <x v="182"/>
    <x v="182"/>
    <d v="2025-06-06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45:00"/>
    <d v="1899-12-30T14:00:00"/>
    <n v="0"/>
    <x v="1"/>
  </r>
  <r>
    <x v="0"/>
    <s v="Egypt"/>
    <x v="36"/>
    <x v="182"/>
    <x v="182"/>
    <m/>
    <m/>
    <s v="Break 30 Morning"/>
    <d v="1899-12-30T17:00:00"/>
    <d v="1899-12-30T17:30:00"/>
    <n v="0"/>
    <x v="1"/>
  </r>
  <r>
    <x v="0"/>
    <s v="Egypt"/>
    <x v="36"/>
    <x v="182"/>
    <x v="182"/>
    <d v="2025-06-07T00:00:00"/>
    <m/>
    <s v="Day Off"/>
    <m/>
    <m/>
    <n v="0"/>
    <x v="1"/>
  </r>
  <r>
    <x v="0"/>
    <s v="Egypt"/>
    <x v="36"/>
    <x v="182"/>
    <x v="182"/>
    <d v="2025-06-08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2:00:00"/>
    <d v="1899-12-30T12:15:00"/>
    <n v="0"/>
    <x v="1"/>
  </r>
  <r>
    <x v="0"/>
    <s v="Egypt"/>
    <x v="36"/>
    <x v="182"/>
    <x v="182"/>
    <m/>
    <m/>
    <s v="Break 30 Morning"/>
    <d v="1899-12-30T15:15:00"/>
    <d v="1899-12-30T15:45:00"/>
    <n v="0"/>
    <x v="1"/>
  </r>
  <r>
    <x v="0"/>
    <s v="Egypt"/>
    <x v="36"/>
    <x v="182"/>
    <x v="182"/>
    <d v="2025-06-09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4:45:00"/>
    <d v="1899-12-30T15:15:00"/>
    <n v="0"/>
    <x v="1"/>
  </r>
  <r>
    <x v="0"/>
    <s v="Egypt"/>
    <x v="36"/>
    <x v="182"/>
    <x v="182"/>
    <d v="2025-06-10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4:45:00"/>
    <d v="1899-12-30T15:15:00"/>
    <n v="0"/>
    <x v="1"/>
  </r>
  <r>
    <x v="0"/>
    <s v="Egypt"/>
    <x v="36"/>
    <x v="182"/>
    <x v="182"/>
    <d v="2025-06-11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5:15:00"/>
    <d v="1899-12-30T15:45:00"/>
    <n v="0"/>
    <x v="1"/>
  </r>
  <r>
    <x v="0"/>
    <s v="Egypt"/>
    <x v="36"/>
    <x v="182"/>
    <x v="182"/>
    <d v="2025-06-12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4:45:00"/>
    <d v="1899-12-30T15:15:00"/>
    <n v="0"/>
    <x v="1"/>
  </r>
  <r>
    <x v="0"/>
    <s v="Egypt"/>
    <x v="36"/>
    <x v="182"/>
    <x v="182"/>
    <d v="2025-06-13T00:00:00"/>
    <m/>
    <s v="Day Off"/>
    <m/>
    <m/>
    <n v="0"/>
    <x v="1"/>
  </r>
  <r>
    <x v="0"/>
    <s v="Egypt"/>
    <x v="36"/>
    <x v="182"/>
    <x v="182"/>
    <d v="2025-06-14T00:00:00"/>
    <m/>
    <s v="Day Off"/>
    <m/>
    <m/>
    <n v="0"/>
    <x v="1"/>
  </r>
  <r>
    <x v="0"/>
    <s v="Egypt"/>
    <x v="36"/>
    <x v="182"/>
    <x v="182"/>
    <d v="2025-06-15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45:00"/>
    <d v="1899-12-30T14:00:00"/>
    <n v="0"/>
    <x v="1"/>
  </r>
  <r>
    <x v="0"/>
    <s v="Egypt"/>
    <x v="36"/>
    <x v="182"/>
    <x v="182"/>
    <m/>
    <m/>
    <s v="Break 30 Morning"/>
    <d v="1899-12-30T17:15:00"/>
    <d v="1899-12-30T17:45:00"/>
    <n v="0"/>
    <x v="1"/>
  </r>
  <r>
    <x v="0"/>
    <s v="Egypt"/>
    <x v="36"/>
    <x v="182"/>
    <x v="182"/>
    <d v="2025-06-16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30:00"/>
    <d v="1899-12-30T13:45:00"/>
    <n v="0"/>
    <x v="1"/>
  </r>
  <r>
    <x v="0"/>
    <s v="Egypt"/>
    <x v="36"/>
    <x v="182"/>
    <x v="182"/>
    <m/>
    <m/>
    <s v="Break 30 Morning"/>
    <d v="1899-12-30T16:15:00"/>
    <d v="1899-12-30T16:45:00"/>
    <n v="0"/>
    <x v="1"/>
  </r>
  <r>
    <x v="0"/>
    <s v="Egypt"/>
    <x v="36"/>
    <x v="182"/>
    <x v="182"/>
    <d v="2025-06-17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15:00"/>
    <d v="1899-12-30T13:30:00"/>
    <n v="0"/>
    <x v="1"/>
  </r>
  <r>
    <x v="0"/>
    <s v="Egypt"/>
    <x v="36"/>
    <x v="182"/>
    <x v="182"/>
    <m/>
    <m/>
    <s v="Break 30 Morning"/>
    <d v="1899-12-30T16:45:00"/>
    <d v="1899-12-30T17:15:00"/>
    <n v="0"/>
    <x v="1"/>
  </r>
  <r>
    <x v="0"/>
    <s v="Egypt"/>
    <x v="36"/>
    <x v="182"/>
    <x v="182"/>
    <d v="2025-06-18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4:00:00"/>
    <d v="1899-12-30T14:15:00"/>
    <n v="0"/>
    <x v="1"/>
  </r>
  <r>
    <x v="0"/>
    <s v="Egypt"/>
    <x v="36"/>
    <x v="182"/>
    <x v="182"/>
    <m/>
    <m/>
    <s v="Break 30 Morning"/>
    <d v="1899-12-30T16:45:00"/>
    <d v="1899-12-30T17:15:00"/>
    <n v="0"/>
    <x v="1"/>
  </r>
  <r>
    <x v="0"/>
    <s v="Egypt"/>
    <x v="36"/>
    <x v="182"/>
    <x v="182"/>
    <d v="2025-06-19T00:00:00"/>
    <m/>
    <s v="Day Off"/>
    <m/>
    <m/>
    <n v="0"/>
    <x v="1"/>
  </r>
  <r>
    <x v="0"/>
    <s v="Egypt"/>
    <x v="36"/>
    <x v="182"/>
    <x v="182"/>
    <d v="2025-06-20T00:00:00"/>
    <m/>
    <s v="Day Off"/>
    <m/>
    <m/>
    <n v="0"/>
    <x v="1"/>
  </r>
  <r>
    <x v="0"/>
    <s v="Egypt"/>
    <x v="36"/>
    <x v="182"/>
    <x v="182"/>
    <d v="2025-06-21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2:00:00"/>
    <d v="1899-12-30T12:15:00"/>
    <n v="0"/>
    <x v="1"/>
  </r>
  <r>
    <x v="0"/>
    <s v="Egypt"/>
    <x v="36"/>
    <x v="182"/>
    <x v="182"/>
    <m/>
    <m/>
    <s v="Break 30 Morning"/>
    <d v="1899-12-30T14:45:00"/>
    <d v="1899-12-30T15:15:00"/>
    <n v="0"/>
    <x v="1"/>
  </r>
  <r>
    <x v="0"/>
    <s v="Egypt"/>
    <x v="36"/>
    <x v="182"/>
    <x v="182"/>
    <d v="2025-06-22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30:00"/>
    <d v="1899-12-30T13:45:00"/>
    <n v="0"/>
    <x v="1"/>
  </r>
  <r>
    <x v="0"/>
    <s v="Egypt"/>
    <x v="36"/>
    <x v="182"/>
    <x v="182"/>
    <m/>
    <m/>
    <s v="Break 30 Morning"/>
    <d v="1899-12-30T16:15:00"/>
    <d v="1899-12-30T16:45:00"/>
    <n v="0"/>
    <x v="1"/>
  </r>
  <r>
    <x v="0"/>
    <s v="Egypt"/>
    <x v="36"/>
    <x v="182"/>
    <x v="182"/>
    <d v="2025-06-23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4:15:00"/>
    <d v="1899-12-30T14:45:00"/>
    <n v="0"/>
    <x v="1"/>
  </r>
  <r>
    <x v="0"/>
    <s v="Egypt"/>
    <x v="36"/>
    <x v="182"/>
    <x v="182"/>
    <d v="2025-06-24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1:45:00"/>
    <d v="1899-12-30T12:00:00"/>
    <n v="0"/>
    <x v="1"/>
  </r>
  <r>
    <x v="0"/>
    <s v="Egypt"/>
    <x v="36"/>
    <x v="182"/>
    <x v="182"/>
    <m/>
    <m/>
    <s v="Break 30 Morning"/>
    <d v="1899-12-30T15:15:00"/>
    <d v="1899-12-30T15:45:00"/>
    <n v="0"/>
    <x v="1"/>
  </r>
  <r>
    <x v="0"/>
    <s v="Egypt"/>
    <x v="36"/>
    <x v="182"/>
    <x v="182"/>
    <d v="2025-06-25T00:00:00"/>
    <m/>
    <s v="Day Off"/>
    <m/>
    <m/>
    <n v="0"/>
    <x v="1"/>
  </r>
  <r>
    <x v="0"/>
    <s v="Egypt"/>
    <x v="36"/>
    <x v="182"/>
    <x v="182"/>
    <d v="2025-06-26T00:00:00"/>
    <m/>
    <s v="Day Off"/>
    <m/>
    <m/>
    <n v="0"/>
    <x v="1"/>
  </r>
  <r>
    <x v="0"/>
    <s v="Egypt"/>
    <x v="36"/>
    <x v="182"/>
    <x v="182"/>
    <d v="2025-06-27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2:00:00"/>
    <d v="1899-12-30T12:15:00"/>
    <n v="0"/>
    <x v="1"/>
  </r>
  <r>
    <x v="0"/>
    <s v="Egypt"/>
    <x v="36"/>
    <x v="182"/>
    <x v="182"/>
    <m/>
    <m/>
    <s v="Break 30 Morning"/>
    <d v="1899-12-30T15:45:00"/>
    <d v="1899-12-30T16:15:00"/>
    <n v="0"/>
    <x v="1"/>
  </r>
  <r>
    <x v="0"/>
    <s v="Egypt"/>
    <x v="36"/>
    <x v="182"/>
    <x v="182"/>
    <d v="2025-06-28T00:00:00"/>
    <d v="1899-12-30T08:15:00"/>
    <s v="Non Telecom Assyot"/>
    <d v="1899-12-30T09:00:00"/>
    <d v="1899-12-30T17:15:00"/>
    <n v="29700"/>
    <x v="0"/>
  </r>
  <r>
    <x v="0"/>
    <s v="Egypt"/>
    <x v="36"/>
    <x v="182"/>
    <x v="182"/>
    <m/>
    <m/>
    <s v="Break 15 Morning"/>
    <d v="1899-12-30T12:15:00"/>
    <d v="1899-12-30T12:30:00"/>
    <n v="0"/>
    <x v="1"/>
  </r>
  <r>
    <x v="0"/>
    <s v="Egypt"/>
    <x v="36"/>
    <x v="182"/>
    <x v="182"/>
    <m/>
    <m/>
    <s v="Break 30 Morning"/>
    <d v="1899-12-30T15:45:00"/>
    <d v="1899-12-30T16:15:00"/>
    <n v="0"/>
    <x v="1"/>
  </r>
  <r>
    <x v="0"/>
    <s v="Egypt"/>
    <x v="36"/>
    <x v="182"/>
    <x v="182"/>
    <d v="2025-06-29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30:00"/>
    <d v="1899-12-30T13:45:00"/>
    <n v="0"/>
    <x v="1"/>
  </r>
  <r>
    <x v="0"/>
    <s v="Egypt"/>
    <x v="36"/>
    <x v="182"/>
    <x v="182"/>
    <m/>
    <m/>
    <s v="Break 30 Morning"/>
    <d v="1899-12-30T16:45:00"/>
    <d v="1899-12-30T17:15:00"/>
    <n v="0"/>
    <x v="1"/>
  </r>
  <r>
    <x v="0"/>
    <s v="Egypt"/>
    <x v="36"/>
    <x v="182"/>
    <x v="182"/>
    <d v="2025-06-30T00:00:00"/>
    <d v="1899-12-30T08:15:00"/>
    <s v="Non Telecom Assyot"/>
    <d v="1899-12-30T11:00:00"/>
    <d v="1899-12-30T19:15:00"/>
    <n v="29700"/>
    <x v="0"/>
  </r>
  <r>
    <x v="0"/>
    <s v="Egypt"/>
    <x v="36"/>
    <x v="182"/>
    <x v="182"/>
    <m/>
    <m/>
    <s v="Break 15 Morning"/>
    <d v="1899-12-30T13:45:00"/>
    <d v="1899-12-30T14:00:00"/>
    <n v="0"/>
    <x v="1"/>
  </r>
  <r>
    <x v="0"/>
    <s v="Egypt"/>
    <x v="36"/>
    <x v="182"/>
    <x v="182"/>
    <m/>
    <m/>
    <s v="Break 30 Morning"/>
    <d v="1899-12-30T16:45:00"/>
    <d v="1899-12-30T17:15:00"/>
    <n v="0"/>
    <x v="1"/>
  </r>
  <r>
    <x v="0"/>
    <s v="Egypt"/>
    <x v="36"/>
    <x v="183"/>
    <x v="183"/>
    <d v="2025-06-01T00:00:00"/>
    <m/>
    <s v="Day Off"/>
    <m/>
    <m/>
    <n v="0"/>
    <x v="1"/>
  </r>
  <r>
    <x v="0"/>
    <s v="Egypt"/>
    <x v="36"/>
    <x v="183"/>
    <x v="183"/>
    <d v="2025-06-02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4:00:00"/>
    <d v="1899-12-30T14:15:00"/>
    <n v="0"/>
    <x v="1"/>
  </r>
  <r>
    <x v="0"/>
    <s v="Egypt"/>
    <x v="36"/>
    <x v="183"/>
    <x v="183"/>
    <m/>
    <m/>
    <s v="Break 30 Morning"/>
    <d v="1899-12-30T17:15:00"/>
    <d v="1899-12-30T17:45:00"/>
    <n v="0"/>
    <x v="1"/>
  </r>
  <r>
    <x v="0"/>
    <s v="Egypt"/>
    <x v="36"/>
    <x v="183"/>
    <x v="183"/>
    <d v="2025-06-03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4:15:00"/>
    <d v="1899-12-30T14:30:00"/>
    <n v="0"/>
    <x v="1"/>
  </r>
  <r>
    <x v="0"/>
    <s v="Egypt"/>
    <x v="36"/>
    <x v="183"/>
    <x v="183"/>
    <m/>
    <m/>
    <s v="Break 30 Morning"/>
    <d v="1899-12-30T17:15:00"/>
    <d v="1899-12-30T17:45:00"/>
    <n v="0"/>
    <x v="1"/>
  </r>
  <r>
    <x v="0"/>
    <s v="Egypt"/>
    <x v="36"/>
    <x v="183"/>
    <x v="183"/>
    <d v="2025-06-04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0:30:00"/>
    <d v="1899-12-30T10:45:00"/>
    <n v="0"/>
    <x v="1"/>
  </r>
  <r>
    <x v="0"/>
    <s v="Egypt"/>
    <x v="36"/>
    <x v="183"/>
    <x v="183"/>
    <m/>
    <m/>
    <s v="Break 30 Morning"/>
    <d v="1899-12-30T13:45:00"/>
    <d v="1899-12-30T14:15:00"/>
    <n v="0"/>
    <x v="1"/>
  </r>
  <r>
    <x v="0"/>
    <s v="Egypt"/>
    <x v="36"/>
    <x v="183"/>
    <x v="183"/>
    <d v="2025-06-05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1:30:00"/>
    <d v="1899-12-30T11:45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06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1:30:00"/>
    <d v="1899-12-30T11:45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07T00:00:00"/>
    <m/>
    <s v="Day Off"/>
    <m/>
    <m/>
    <n v="0"/>
    <x v="1"/>
  </r>
  <r>
    <x v="0"/>
    <s v="Egypt"/>
    <x v="36"/>
    <x v="183"/>
    <x v="183"/>
    <d v="2025-06-08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15:00"/>
    <d v="1899-12-30T13:30:00"/>
    <n v="0"/>
    <x v="1"/>
  </r>
  <r>
    <x v="0"/>
    <s v="Egypt"/>
    <x v="36"/>
    <x v="183"/>
    <x v="183"/>
    <m/>
    <m/>
    <s v="Break 30 Morning"/>
    <d v="1899-12-30T16:15:00"/>
    <d v="1899-12-30T16:45:00"/>
    <n v="0"/>
    <x v="1"/>
  </r>
  <r>
    <x v="0"/>
    <s v="Egypt"/>
    <x v="36"/>
    <x v="183"/>
    <x v="183"/>
    <d v="2025-06-09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1:45:00"/>
    <d v="1899-12-30T12:00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10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30:00"/>
    <d v="1899-12-30T13:45:00"/>
    <n v="0"/>
    <x v="1"/>
  </r>
  <r>
    <x v="0"/>
    <s v="Egypt"/>
    <x v="36"/>
    <x v="183"/>
    <x v="183"/>
    <m/>
    <m/>
    <s v="Break 30 Morning"/>
    <d v="1899-12-30T16:45:00"/>
    <d v="1899-12-30T17:15:00"/>
    <n v="0"/>
    <x v="1"/>
  </r>
  <r>
    <x v="0"/>
    <s v="Egypt"/>
    <x v="36"/>
    <x v="183"/>
    <x v="183"/>
    <d v="2025-06-11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30:00"/>
    <d v="1899-12-30T13:45:00"/>
    <n v="0"/>
    <x v="1"/>
  </r>
  <r>
    <x v="0"/>
    <s v="Egypt"/>
    <x v="36"/>
    <x v="183"/>
    <x v="183"/>
    <m/>
    <m/>
    <s v="Break 30 Morning"/>
    <d v="1899-12-30T16:45:00"/>
    <d v="1899-12-30T17:15:00"/>
    <n v="0"/>
    <x v="1"/>
  </r>
  <r>
    <x v="0"/>
    <s v="Egypt"/>
    <x v="36"/>
    <x v="183"/>
    <x v="183"/>
    <d v="2025-06-12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00:00"/>
    <d v="1899-12-30T12:15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13T00:00:00"/>
    <m/>
    <s v="Day Off"/>
    <m/>
    <m/>
    <n v="0"/>
    <x v="1"/>
  </r>
  <r>
    <x v="0"/>
    <s v="Egypt"/>
    <x v="36"/>
    <x v="183"/>
    <x v="183"/>
    <d v="2025-06-14T00:00:00"/>
    <m/>
    <s v="Day Off"/>
    <m/>
    <m/>
    <n v="0"/>
    <x v="1"/>
  </r>
  <r>
    <x v="0"/>
    <s v="Egypt"/>
    <x v="36"/>
    <x v="183"/>
    <x v="183"/>
    <d v="2025-06-15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45:00"/>
    <d v="1899-12-30T14:00:00"/>
    <n v="0"/>
    <x v="1"/>
  </r>
  <r>
    <x v="0"/>
    <s v="Egypt"/>
    <x v="36"/>
    <x v="183"/>
    <x v="183"/>
    <m/>
    <m/>
    <s v="Break 30 Morning"/>
    <d v="1899-12-30T17:15:00"/>
    <d v="1899-12-30T17:45:00"/>
    <n v="0"/>
    <x v="1"/>
  </r>
  <r>
    <x v="0"/>
    <s v="Egypt"/>
    <x v="36"/>
    <x v="183"/>
    <x v="183"/>
    <d v="2025-06-16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45:00"/>
    <d v="1899-12-30T14:00:00"/>
    <n v="0"/>
    <x v="1"/>
  </r>
  <r>
    <x v="0"/>
    <s v="Egypt"/>
    <x v="36"/>
    <x v="183"/>
    <x v="183"/>
    <m/>
    <m/>
    <s v="Break 30 Morning"/>
    <d v="1899-12-30T16:30:00"/>
    <d v="1899-12-30T17:00:00"/>
    <n v="0"/>
    <x v="1"/>
  </r>
  <r>
    <x v="0"/>
    <s v="Egypt"/>
    <x v="36"/>
    <x v="183"/>
    <x v="183"/>
    <d v="2025-06-17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30:00"/>
    <d v="1899-12-30T13:45:00"/>
    <n v="0"/>
    <x v="1"/>
  </r>
  <r>
    <x v="0"/>
    <s v="Egypt"/>
    <x v="36"/>
    <x v="183"/>
    <x v="183"/>
    <m/>
    <m/>
    <s v="Break 30 Morning"/>
    <d v="1899-12-30T17:00:00"/>
    <d v="1899-12-30T17:30:00"/>
    <n v="0"/>
    <x v="1"/>
  </r>
  <r>
    <x v="0"/>
    <s v="Egypt"/>
    <x v="36"/>
    <x v="183"/>
    <x v="183"/>
    <d v="2025-06-18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00:00"/>
    <d v="1899-12-30T12:15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19T00:00:00"/>
    <m/>
    <s v="Day Off"/>
    <m/>
    <m/>
    <n v="0"/>
    <x v="1"/>
  </r>
  <r>
    <x v="0"/>
    <s v="Egypt"/>
    <x v="36"/>
    <x v="183"/>
    <x v="183"/>
    <d v="2025-06-20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00:00"/>
    <d v="1899-12-30T12:15:00"/>
    <n v="0"/>
    <x v="1"/>
  </r>
  <r>
    <x v="0"/>
    <s v="Egypt"/>
    <x v="36"/>
    <x v="183"/>
    <x v="183"/>
    <m/>
    <m/>
    <s v="Break 30 Morning"/>
    <d v="1899-12-30T14:45:00"/>
    <d v="1899-12-30T15:15:00"/>
    <n v="0"/>
    <x v="1"/>
  </r>
  <r>
    <x v="0"/>
    <s v="Egypt"/>
    <x v="36"/>
    <x v="183"/>
    <x v="183"/>
    <d v="2025-06-21T00:00:00"/>
    <m/>
    <s v="Day Off"/>
    <m/>
    <m/>
    <n v="0"/>
    <x v="1"/>
  </r>
  <r>
    <x v="0"/>
    <s v="Egypt"/>
    <x v="36"/>
    <x v="183"/>
    <x v="183"/>
    <d v="2025-06-22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45:00"/>
    <d v="1899-12-30T14:00:00"/>
    <n v="0"/>
    <x v="1"/>
  </r>
  <r>
    <x v="0"/>
    <s v="Egypt"/>
    <x v="36"/>
    <x v="183"/>
    <x v="183"/>
    <m/>
    <m/>
    <s v="Break 30 Morning"/>
    <d v="1899-12-30T16:15:00"/>
    <d v="1899-12-30T16:45:00"/>
    <n v="0"/>
    <x v="1"/>
  </r>
  <r>
    <x v="0"/>
    <s v="Egypt"/>
    <x v="36"/>
    <x v="183"/>
    <x v="183"/>
    <d v="2025-06-23T00:00:00"/>
    <d v="1899-12-30T08:15:00"/>
    <s v="Non Telecom Assyot"/>
    <d v="1899-12-30T11:00:00"/>
    <d v="1899-12-30T19:15:00"/>
    <n v="29700"/>
    <x v="0"/>
  </r>
  <r>
    <x v="0"/>
    <s v="Egypt"/>
    <x v="36"/>
    <x v="183"/>
    <x v="183"/>
    <m/>
    <m/>
    <s v="Break 15 Morning"/>
    <d v="1899-12-30T13:45:00"/>
    <d v="1899-12-30T14:00:00"/>
    <n v="0"/>
    <x v="1"/>
  </r>
  <r>
    <x v="0"/>
    <s v="Egypt"/>
    <x v="36"/>
    <x v="183"/>
    <x v="183"/>
    <m/>
    <m/>
    <s v="Break 30 Morning"/>
    <d v="1899-12-30T16:15:00"/>
    <d v="1899-12-30T16:45:00"/>
    <n v="0"/>
    <x v="1"/>
  </r>
  <r>
    <x v="0"/>
    <s v="Egypt"/>
    <x v="36"/>
    <x v="183"/>
    <x v="183"/>
    <d v="2025-06-24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00:00"/>
    <d v="1899-12-30T12:15:00"/>
    <n v="0"/>
    <x v="1"/>
  </r>
  <r>
    <x v="0"/>
    <s v="Egypt"/>
    <x v="36"/>
    <x v="183"/>
    <x v="183"/>
    <m/>
    <m/>
    <s v="Break 30 Morning"/>
    <d v="1899-12-30T15:15:00"/>
    <d v="1899-12-30T15:45:00"/>
    <n v="0"/>
    <x v="1"/>
  </r>
  <r>
    <x v="0"/>
    <s v="Egypt"/>
    <x v="36"/>
    <x v="183"/>
    <x v="183"/>
    <d v="2025-06-25T00:00:00"/>
    <m/>
    <s v="Day Off"/>
    <m/>
    <m/>
    <n v="0"/>
    <x v="1"/>
  </r>
  <r>
    <x v="0"/>
    <s v="Egypt"/>
    <x v="36"/>
    <x v="183"/>
    <x v="183"/>
    <d v="2025-06-26T00:00:00"/>
    <m/>
    <s v="Day Off"/>
    <m/>
    <m/>
    <n v="0"/>
    <x v="1"/>
  </r>
  <r>
    <x v="0"/>
    <s v="Egypt"/>
    <x v="36"/>
    <x v="183"/>
    <x v="183"/>
    <d v="2025-06-27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15:00"/>
    <d v="1899-12-30T12:30:00"/>
    <n v="0"/>
    <x v="1"/>
  </r>
  <r>
    <x v="0"/>
    <s v="Egypt"/>
    <x v="36"/>
    <x v="183"/>
    <x v="183"/>
    <m/>
    <m/>
    <s v="Break 30 Morning"/>
    <d v="1899-12-30T15:45:00"/>
    <d v="1899-12-30T16:15:00"/>
    <n v="0"/>
    <x v="1"/>
  </r>
  <r>
    <x v="0"/>
    <s v="Egypt"/>
    <x v="36"/>
    <x v="183"/>
    <x v="183"/>
    <d v="2025-06-28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15:00"/>
    <d v="1899-12-30T12:30:00"/>
    <n v="0"/>
    <x v="1"/>
  </r>
  <r>
    <x v="0"/>
    <s v="Egypt"/>
    <x v="36"/>
    <x v="183"/>
    <x v="183"/>
    <m/>
    <m/>
    <s v="Break 30 Morning"/>
    <d v="1899-12-30T15:45:00"/>
    <d v="1899-12-30T16:15:00"/>
    <n v="0"/>
    <x v="1"/>
  </r>
  <r>
    <x v="0"/>
    <s v="Egypt"/>
    <x v="36"/>
    <x v="183"/>
    <x v="183"/>
    <d v="2025-06-29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15:00"/>
    <d v="1899-12-30T12:30:00"/>
    <n v="0"/>
    <x v="1"/>
  </r>
  <r>
    <x v="0"/>
    <s v="Egypt"/>
    <x v="36"/>
    <x v="183"/>
    <x v="183"/>
    <m/>
    <m/>
    <s v="Break 30 Morning"/>
    <d v="1899-12-30T15:15:00"/>
    <d v="1899-12-30T15:45:00"/>
    <n v="0"/>
    <x v="1"/>
  </r>
  <r>
    <x v="0"/>
    <s v="Egypt"/>
    <x v="36"/>
    <x v="183"/>
    <x v="183"/>
    <d v="2025-06-30T00:00:00"/>
    <d v="1899-12-30T08:15:00"/>
    <s v="Non Telecom Assyot"/>
    <d v="1899-12-30T09:00:00"/>
    <d v="1899-12-30T17:15:00"/>
    <n v="29700"/>
    <x v="0"/>
  </r>
  <r>
    <x v="0"/>
    <s v="Egypt"/>
    <x v="36"/>
    <x v="183"/>
    <x v="183"/>
    <m/>
    <m/>
    <s v="Break 15 Morning"/>
    <d v="1899-12-30T12:15:00"/>
    <d v="1899-12-30T12:30:00"/>
    <n v="0"/>
    <x v="1"/>
  </r>
  <r>
    <x v="0"/>
    <s v="Egypt"/>
    <x v="36"/>
    <x v="183"/>
    <x v="183"/>
    <m/>
    <m/>
    <s v="Break 30 Morning"/>
    <d v="1899-12-30T15:45:00"/>
    <d v="1899-12-30T16:15:00"/>
    <n v="0"/>
    <x v="1"/>
  </r>
  <r>
    <x v="0"/>
    <s v="Egypt"/>
    <x v="37"/>
    <x v="184"/>
    <x v="184"/>
    <d v="2025-06-01T00:00:00"/>
    <m/>
    <s v="Day Off"/>
    <m/>
    <m/>
    <n v="0"/>
    <x v="1"/>
  </r>
  <r>
    <x v="0"/>
    <s v="Egypt"/>
    <x v="37"/>
    <x v="184"/>
    <x v="184"/>
    <d v="2025-06-02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15:00"/>
    <d v="1899-12-30T15:30:00"/>
    <n v="0"/>
    <x v="1"/>
  </r>
  <r>
    <x v="0"/>
    <s v="Egypt"/>
    <x v="37"/>
    <x v="184"/>
    <x v="184"/>
    <m/>
    <m/>
    <s v="Break 30 Morning"/>
    <d v="1899-12-30T18:45:00"/>
    <d v="1899-12-30T19:15:00"/>
    <n v="0"/>
    <x v="1"/>
  </r>
  <r>
    <x v="0"/>
    <s v="Egypt"/>
    <x v="37"/>
    <x v="184"/>
    <x v="184"/>
    <d v="2025-06-03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30:00"/>
    <d v="1899-12-30T15:45:00"/>
    <n v="0"/>
    <x v="1"/>
  </r>
  <r>
    <x v="0"/>
    <s v="Egypt"/>
    <x v="37"/>
    <x v="184"/>
    <x v="184"/>
    <m/>
    <m/>
    <s v="Break 30 Morning"/>
    <d v="1899-12-30T18:15:00"/>
    <d v="1899-12-30T18:45:00"/>
    <n v="0"/>
    <x v="1"/>
  </r>
  <r>
    <x v="0"/>
    <s v="Egypt"/>
    <x v="37"/>
    <x v="184"/>
    <x v="184"/>
    <d v="2025-06-04T00:00:00"/>
    <m/>
    <s v="Day Off"/>
    <m/>
    <m/>
    <n v="0"/>
    <x v="1"/>
  </r>
  <r>
    <x v="0"/>
    <s v="Egypt"/>
    <x v="37"/>
    <x v="184"/>
    <x v="184"/>
    <d v="2025-06-05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15:00"/>
    <d v="1899-12-30T15:30:00"/>
    <n v="0"/>
    <x v="1"/>
  </r>
  <r>
    <x v="0"/>
    <s v="Egypt"/>
    <x v="37"/>
    <x v="184"/>
    <x v="184"/>
    <m/>
    <m/>
    <s v="Break 30 Morning"/>
    <d v="1899-12-30T18:45:00"/>
    <d v="1899-12-30T19:15:00"/>
    <n v="0"/>
    <x v="1"/>
  </r>
  <r>
    <x v="0"/>
    <s v="Egypt"/>
    <x v="37"/>
    <x v="184"/>
    <x v="184"/>
    <d v="2025-06-06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00:00"/>
    <d v="1899-12-30T15:15:00"/>
    <n v="0"/>
    <x v="1"/>
  </r>
  <r>
    <x v="0"/>
    <s v="Egypt"/>
    <x v="37"/>
    <x v="184"/>
    <x v="184"/>
    <m/>
    <m/>
    <s v="Break 30 Morning"/>
    <d v="1899-12-30T17:45:00"/>
    <d v="1899-12-30T18:15:00"/>
    <n v="0"/>
    <x v="1"/>
  </r>
  <r>
    <x v="0"/>
    <s v="Egypt"/>
    <x v="37"/>
    <x v="184"/>
    <x v="184"/>
    <d v="2025-06-07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8:45:00"/>
    <d v="1899-12-30T19:00:00"/>
    <n v="0"/>
    <x v="1"/>
  </r>
  <r>
    <x v="0"/>
    <s v="Egypt"/>
    <x v="37"/>
    <x v="184"/>
    <x v="184"/>
    <m/>
    <m/>
    <s v="Break 30 Night"/>
    <d v="1899-12-30T21:30:00"/>
    <d v="1899-12-30T22:00:00"/>
    <n v="0"/>
    <x v="1"/>
  </r>
  <r>
    <x v="0"/>
    <s v="Egypt"/>
    <x v="37"/>
    <x v="184"/>
    <x v="184"/>
    <d v="2025-06-08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30:00"/>
    <d v="1899-12-30T15:45:00"/>
    <n v="0"/>
    <x v="1"/>
  </r>
  <r>
    <x v="0"/>
    <s v="Egypt"/>
    <x v="37"/>
    <x v="184"/>
    <x v="184"/>
    <m/>
    <m/>
    <s v="Break 30 Morning"/>
    <d v="1899-12-30T18:15:00"/>
    <d v="1899-12-30T18:45:00"/>
    <n v="0"/>
    <x v="1"/>
  </r>
  <r>
    <x v="0"/>
    <s v="Egypt"/>
    <x v="37"/>
    <x v="184"/>
    <x v="184"/>
    <d v="2025-06-09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00:00"/>
    <d v="1899-12-30T15:15:00"/>
    <n v="0"/>
    <x v="1"/>
  </r>
  <r>
    <x v="0"/>
    <s v="Egypt"/>
    <x v="37"/>
    <x v="184"/>
    <x v="184"/>
    <m/>
    <m/>
    <s v="Break 30 Morning"/>
    <d v="1899-12-30T18:30:00"/>
    <d v="1899-12-30T19:00:00"/>
    <n v="0"/>
    <x v="1"/>
  </r>
  <r>
    <x v="0"/>
    <s v="Egypt"/>
    <x v="37"/>
    <x v="184"/>
    <x v="184"/>
    <d v="2025-06-10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00:00"/>
    <d v="1899-12-30T15:15:00"/>
    <n v="0"/>
    <x v="1"/>
  </r>
  <r>
    <x v="0"/>
    <s v="Egypt"/>
    <x v="37"/>
    <x v="184"/>
    <x v="184"/>
    <m/>
    <m/>
    <s v="Break 30 Morning"/>
    <d v="1899-12-30T18:45:00"/>
    <d v="1899-12-30T19:15:00"/>
    <n v="0"/>
    <x v="1"/>
  </r>
  <r>
    <x v="0"/>
    <s v="Egypt"/>
    <x v="37"/>
    <x v="184"/>
    <x v="184"/>
    <d v="2025-06-11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30:00"/>
    <d v="1899-12-30T15:45:00"/>
    <n v="0"/>
    <x v="1"/>
  </r>
  <r>
    <x v="0"/>
    <s v="Egypt"/>
    <x v="37"/>
    <x v="184"/>
    <x v="184"/>
    <m/>
    <m/>
    <s v="Break 30 Morning"/>
    <d v="1899-12-30T18:45:00"/>
    <d v="1899-12-30T19:15:00"/>
    <n v="0"/>
    <x v="1"/>
  </r>
  <r>
    <x v="0"/>
    <s v="Egypt"/>
    <x v="37"/>
    <x v="184"/>
    <x v="184"/>
    <d v="2025-06-12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30:00"/>
    <d v="1899-12-30T15:45:00"/>
    <n v="0"/>
    <x v="1"/>
  </r>
  <r>
    <x v="0"/>
    <s v="Egypt"/>
    <x v="37"/>
    <x v="184"/>
    <x v="184"/>
    <m/>
    <m/>
    <s v="Break 30 Morning"/>
    <d v="1899-12-30T18:45:00"/>
    <d v="1899-12-30T19:15:00"/>
    <n v="0"/>
    <x v="1"/>
  </r>
  <r>
    <x v="0"/>
    <s v="Egypt"/>
    <x v="37"/>
    <x v="184"/>
    <x v="184"/>
    <d v="2025-06-13T00:00:00"/>
    <m/>
    <s v="Day Off"/>
    <m/>
    <m/>
    <n v="0"/>
    <x v="1"/>
  </r>
  <r>
    <x v="0"/>
    <s v="Egypt"/>
    <x v="37"/>
    <x v="184"/>
    <x v="184"/>
    <d v="2025-06-14T00:00:00"/>
    <m/>
    <s v="Day Off"/>
    <m/>
    <m/>
    <n v="0"/>
    <x v="1"/>
  </r>
  <r>
    <x v="0"/>
    <s v="Egypt"/>
    <x v="37"/>
    <x v="184"/>
    <x v="184"/>
    <d v="2025-06-15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45:00"/>
    <d v="1899-12-30T20:00:00"/>
    <n v="0"/>
    <x v="1"/>
  </r>
  <r>
    <x v="0"/>
    <s v="Egypt"/>
    <x v="37"/>
    <x v="184"/>
    <x v="184"/>
    <m/>
    <m/>
    <s v="Break 30 Night"/>
    <d v="1899-12-30T22:15:00"/>
    <d v="1899-12-30T22:45:00"/>
    <n v="0"/>
    <x v="1"/>
  </r>
  <r>
    <x v="0"/>
    <s v="Egypt"/>
    <x v="37"/>
    <x v="184"/>
    <x v="184"/>
    <d v="2025-06-16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30:00"/>
    <d v="1899-12-30T19:45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17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15:00"/>
    <d v="1899-12-30T19:30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18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00:00"/>
    <d v="1899-12-30T19:15:00"/>
    <n v="0"/>
    <x v="1"/>
  </r>
  <r>
    <x v="0"/>
    <s v="Egypt"/>
    <x v="37"/>
    <x v="184"/>
    <x v="184"/>
    <m/>
    <m/>
    <s v="Break 30 Night"/>
    <d v="1899-12-30T21:45:00"/>
    <d v="1899-12-30T22:15:00"/>
    <n v="0"/>
    <x v="1"/>
  </r>
  <r>
    <x v="0"/>
    <s v="Egypt"/>
    <x v="37"/>
    <x v="184"/>
    <x v="184"/>
    <d v="2025-06-19T00:00:00"/>
    <m/>
    <s v="Day Off"/>
    <m/>
    <m/>
    <n v="0"/>
    <x v="1"/>
  </r>
  <r>
    <x v="0"/>
    <s v="Egypt"/>
    <x v="37"/>
    <x v="184"/>
    <x v="184"/>
    <d v="2025-06-20T00:00:00"/>
    <m/>
    <s v="Day Off"/>
    <m/>
    <m/>
    <n v="0"/>
    <x v="1"/>
  </r>
  <r>
    <x v="0"/>
    <s v="Egypt"/>
    <x v="37"/>
    <x v="184"/>
    <x v="184"/>
    <d v="2025-06-21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00:00"/>
    <d v="1899-12-30T19:15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22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45:00"/>
    <d v="1899-12-30T20:00:00"/>
    <n v="0"/>
    <x v="1"/>
  </r>
  <r>
    <x v="0"/>
    <s v="Egypt"/>
    <x v="37"/>
    <x v="184"/>
    <x v="184"/>
    <m/>
    <m/>
    <s v="Break 30 Night"/>
    <d v="1899-12-30T22:15:00"/>
    <d v="1899-12-30T22:45:00"/>
    <n v="0"/>
    <x v="1"/>
  </r>
  <r>
    <x v="0"/>
    <s v="Egypt"/>
    <x v="37"/>
    <x v="184"/>
    <x v="184"/>
    <d v="2025-06-23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45:00"/>
    <d v="1899-12-30T20:00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24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30:00"/>
    <d v="1899-12-30T19:45:00"/>
    <n v="0"/>
    <x v="1"/>
  </r>
  <r>
    <x v="0"/>
    <s v="Egypt"/>
    <x v="37"/>
    <x v="184"/>
    <x v="184"/>
    <m/>
    <m/>
    <s v="Break 30 Night"/>
    <d v="1899-12-30T21:45:00"/>
    <d v="1899-12-30T22:15:00"/>
    <n v="0"/>
    <x v="1"/>
  </r>
  <r>
    <x v="0"/>
    <s v="Egypt"/>
    <x v="37"/>
    <x v="184"/>
    <x v="184"/>
    <d v="2025-06-25T00:00:00"/>
    <d v="1899-12-30T08:15:00"/>
    <s v="Non Telecom Assyot"/>
    <d v="1899-12-30T14:00:00"/>
    <d v="1899-12-30T22:15:00"/>
    <n v="29700"/>
    <x v="0"/>
  </r>
  <r>
    <x v="0"/>
    <s v="Egypt"/>
    <x v="37"/>
    <x v="184"/>
    <x v="184"/>
    <m/>
    <m/>
    <s v="Break 15 Morning"/>
    <d v="1899-12-30T15:45:00"/>
    <d v="1899-12-30T16:00:00"/>
    <n v="0"/>
    <x v="1"/>
  </r>
  <r>
    <x v="0"/>
    <s v="Egypt"/>
    <x v="37"/>
    <x v="184"/>
    <x v="184"/>
    <m/>
    <m/>
    <s v="Break 30 Morning"/>
    <d v="1899-12-30T18:15:00"/>
    <d v="1899-12-30T18:45:00"/>
    <n v="0"/>
    <x v="1"/>
  </r>
  <r>
    <x v="0"/>
    <s v="Egypt"/>
    <x v="37"/>
    <x v="184"/>
    <x v="184"/>
    <d v="2025-06-26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00:00"/>
    <d v="1899-12-30T19:15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27T00:00:00"/>
    <m/>
    <s v="Day Off"/>
    <m/>
    <m/>
    <n v="0"/>
    <x v="1"/>
  </r>
  <r>
    <x v="0"/>
    <s v="Egypt"/>
    <x v="37"/>
    <x v="184"/>
    <x v="184"/>
    <d v="2025-06-28T00:00:00"/>
    <m/>
    <s v="Day Off"/>
    <m/>
    <m/>
    <n v="0"/>
    <x v="1"/>
  </r>
  <r>
    <x v="0"/>
    <s v="Egypt"/>
    <x v="37"/>
    <x v="184"/>
    <x v="184"/>
    <d v="2025-06-29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15:00"/>
    <d v="1899-12-30T19:30:00"/>
    <n v="0"/>
    <x v="1"/>
  </r>
  <r>
    <x v="0"/>
    <s v="Egypt"/>
    <x v="37"/>
    <x v="184"/>
    <x v="184"/>
    <m/>
    <m/>
    <s v="Break 30 Night"/>
    <d v="1899-12-30T22:00:00"/>
    <d v="1899-12-30T22:30:00"/>
    <n v="0"/>
    <x v="1"/>
  </r>
  <r>
    <x v="0"/>
    <s v="Egypt"/>
    <x v="37"/>
    <x v="184"/>
    <x v="184"/>
    <d v="2025-06-30T00:00:00"/>
    <d v="1899-12-30T08:15:00"/>
    <s v="Non Telecom Assyot"/>
    <d v="1899-12-30T17:15:00"/>
    <s v="+1:30 AM"/>
    <n v="29700"/>
    <x v="0"/>
  </r>
  <r>
    <x v="0"/>
    <s v="Egypt"/>
    <x v="37"/>
    <x v="184"/>
    <x v="184"/>
    <m/>
    <m/>
    <s v="Break 15 Night"/>
    <d v="1899-12-30T19:30:00"/>
    <d v="1899-12-30T19:45:00"/>
    <n v="0"/>
    <x v="1"/>
  </r>
  <r>
    <x v="0"/>
    <s v="Egypt"/>
    <x v="37"/>
    <x v="184"/>
    <x v="184"/>
    <m/>
    <m/>
    <s v="Break 30 Night"/>
    <d v="1899-12-30T22:30:00"/>
    <d v="1899-12-30T23:00:00"/>
    <n v="0"/>
    <x v="1"/>
  </r>
  <r>
    <x v="0"/>
    <s v="Egypt"/>
    <x v="37"/>
    <x v="185"/>
    <x v="185"/>
    <d v="2025-06-01T00:00:00"/>
    <m/>
    <s v="Day Off"/>
    <m/>
    <m/>
    <n v="0"/>
    <x v="1"/>
  </r>
  <r>
    <x v="0"/>
    <s v="Egypt"/>
    <x v="37"/>
    <x v="185"/>
    <x v="185"/>
    <d v="2025-06-02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8:45:00"/>
    <d v="1899-12-30T19:00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03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00:00"/>
    <d v="1899-12-30T19:15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04T00:00:00"/>
    <d v="1899-12-30T08:15:00"/>
    <s v="No show"/>
    <d v="1899-12-30T17:15:00"/>
    <s v="+1:30 AM"/>
    <n v="29700"/>
    <x v="1"/>
  </r>
  <r>
    <x v="0"/>
    <s v="Egypt"/>
    <x v="37"/>
    <x v="185"/>
    <x v="185"/>
    <d v="2025-06-05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8:45:00"/>
    <d v="1899-12-30T19:00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06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8:45:00"/>
    <d v="1899-12-30T19:00:00"/>
    <n v="0"/>
    <x v="1"/>
  </r>
  <r>
    <x v="0"/>
    <s v="Egypt"/>
    <x v="37"/>
    <x v="185"/>
    <x v="185"/>
    <m/>
    <m/>
    <s v="Break 30 Night"/>
    <d v="1899-12-30T22:00:00"/>
    <d v="1899-12-30T22:30:00"/>
    <n v="0"/>
    <x v="1"/>
  </r>
  <r>
    <x v="0"/>
    <s v="Egypt"/>
    <x v="37"/>
    <x v="185"/>
    <x v="185"/>
    <d v="2025-06-07T00:00:00"/>
    <m/>
    <s v="Day Off"/>
    <m/>
    <m/>
    <n v="0"/>
    <x v="1"/>
  </r>
  <r>
    <x v="0"/>
    <s v="Egypt"/>
    <x v="37"/>
    <x v="185"/>
    <x v="185"/>
    <d v="2025-06-08T00:00:00"/>
    <m/>
    <s v="Day Off"/>
    <m/>
    <m/>
    <n v="0"/>
    <x v="1"/>
  </r>
  <r>
    <x v="0"/>
    <s v="Egypt"/>
    <x v="37"/>
    <x v="185"/>
    <x v="185"/>
    <d v="2025-06-09T00:00:00"/>
    <d v="1899-12-30T08:15:00"/>
    <s v="Non Telecom Assyot"/>
    <d v="1899-12-30T14:00:00"/>
    <d v="1899-12-30T22:15:00"/>
    <n v="29700"/>
    <x v="0"/>
  </r>
  <r>
    <x v="0"/>
    <s v="Egypt"/>
    <x v="37"/>
    <x v="185"/>
    <x v="185"/>
    <m/>
    <m/>
    <s v="Break 15 Morning"/>
    <d v="1899-12-30T15:00:00"/>
    <d v="1899-12-30T15:15:00"/>
    <n v="0"/>
    <x v="1"/>
  </r>
  <r>
    <x v="0"/>
    <s v="Egypt"/>
    <x v="37"/>
    <x v="185"/>
    <x v="185"/>
    <m/>
    <m/>
    <s v="Break 30 Morning"/>
    <d v="1899-12-30T18:30:00"/>
    <d v="1899-12-30T19:00:00"/>
    <n v="0"/>
    <x v="1"/>
  </r>
  <r>
    <x v="0"/>
    <s v="Egypt"/>
    <x v="37"/>
    <x v="185"/>
    <x v="185"/>
    <d v="2025-06-10T00:00:00"/>
    <d v="1899-12-30T08:15:00"/>
    <s v="Non Telecom Assyot"/>
    <d v="1899-12-30T14:00:00"/>
    <d v="1899-12-30T22:15:00"/>
    <n v="29700"/>
    <x v="0"/>
  </r>
  <r>
    <x v="0"/>
    <s v="Egypt"/>
    <x v="37"/>
    <x v="185"/>
    <x v="185"/>
    <m/>
    <m/>
    <s v="Break 15 Morning"/>
    <d v="1899-12-30T15:15:00"/>
    <d v="1899-12-30T15:30:00"/>
    <n v="0"/>
    <x v="1"/>
  </r>
  <r>
    <x v="0"/>
    <s v="Egypt"/>
    <x v="37"/>
    <x v="185"/>
    <x v="185"/>
    <m/>
    <m/>
    <s v="Break 30 Morning"/>
    <d v="1899-12-30T19:00:00"/>
    <d v="1899-12-30T19:30:00"/>
    <n v="0"/>
    <x v="1"/>
  </r>
  <r>
    <x v="0"/>
    <s v="Egypt"/>
    <x v="37"/>
    <x v="185"/>
    <x v="185"/>
    <d v="2025-06-11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20:30:00"/>
    <d v="1899-12-30T20:45:00"/>
    <n v="0"/>
    <x v="1"/>
  </r>
  <r>
    <x v="0"/>
    <s v="Egypt"/>
    <x v="37"/>
    <x v="185"/>
    <x v="185"/>
    <m/>
    <m/>
    <s v="Break 30 Night"/>
    <d v="1899-12-30T23:30:00"/>
    <s v="+12:00 AM"/>
    <n v="0"/>
    <x v="1"/>
  </r>
  <r>
    <x v="0"/>
    <s v="Egypt"/>
    <x v="37"/>
    <x v="185"/>
    <x v="185"/>
    <d v="2025-06-12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30:00"/>
    <d v="1899-12-30T19:45:00"/>
    <n v="0"/>
    <x v="1"/>
  </r>
  <r>
    <x v="0"/>
    <s v="Egypt"/>
    <x v="37"/>
    <x v="185"/>
    <x v="185"/>
    <m/>
    <m/>
    <s v="Break 30 Night"/>
    <d v="1899-12-30T22:00:00"/>
    <d v="1899-12-30T22:30:00"/>
    <n v="0"/>
    <x v="1"/>
  </r>
  <r>
    <x v="0"/>
    <s v="Egypt"/>
    <x v="37"/>
    <x v="185"/>
    <x v="185"/>
    <d v="2025-06-13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20:00:00"/>
    <d v="1899-12-30T20:15:00"/>
    <n v="0"/>
    <x v="1"/>
  </r>
  <r>
    <x v="0"/>
    <s v="Egypt"/>
    <x v="37"/>
    <x v="185"/>
    <x v="185"/>
    <m/>
    <m/>
    <s v="Break 30 Night"/>
    <d v="1899-12-30T23:00:00"/>
    <d v="1899-12-30T23:30:00"/>
    <n v="0"/>
    <x v="1"/>
  </r>
  <r>
    <x v="0"/>
    <s v="Egypt"/>
    <x v="37"/>
    <x v="185"/>
    <x v="185"/>
    <d v="2025-06-14T00:00:00"/>
    <m/>
    <s v="Day Off"/>
    <m/>
    <m/>
    <n v="0"/>
    <x v="1"/>
  </r>
  <r>
    <x v="0"/>
    <s v="Egypt"/>
    <x v="37"/>
    <x v="185"/>
    <x v="185"/>
    <d v="2025-06-15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45:00"/>
    <d v="1899-12-30T20:00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16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30:00"/>
    <d v="1899-12-30T19:45:00"/>
    <n v="0"/>
    <x v="1"/>
  </r>
  <r>
    <x v="0"/>
    <s v="Egypt"/>
    <x v="37"/>
    <x v="185"/>
    <x v="185"/>
    <m/>
    <m/>
    <s v="Break 30 Night"/>
    <d v="1899-12-30T22:30:00"/>
    <d v="1899-12-30T23:00:00"/>
    <n v="0"/>
    <x v="1"/>
  </r>
  <r>
    <x v="0"/>
    <s v="Egypt"/>
    <x v="37"/>
    <x v="185"/>
    <x v="185"/>
    <d v="2025-06-17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30:00"/>
    <d v="1899-12-30T19:45:00"/>
    <n v="0"/>
    <x v="1"/>
  </r>
  <r>
    <x v="0"/>
    <s v="Egypt"/>
    <x v="37"/>
    <x v="185"/>
    <x v="185"/>
    <m/>
    <m/>
    <s v="Break 30 Night"/>
    <d v="1899-12-30T22:00:00"/>
    <d v="1899-12-30T22:30:00"/>
    <n v="0"/>
    <x v="1"/>
  </r>
  <r>
    <x v="0"/>
    <s v="Egypt"/>
    <x v="37"/>
    <x v="185"/>
    <x v="185"/>
    <d v="2025-06-18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15:00"/>
    <d v="1899-12-30T19:30:00"/>
    <n v="0"/>
    <x v="1"/>
  </r>
  <r>
    <x v="0"/>
    <s v="Egypt"/>
    <x v="37"/>
    <x v="185"/>
    <x v="185"/>
    <m/>
    <m/>
    <s v="Break 30 Night"/>
    <d v="1899-12-30T21:45:00"/>
    <d v="1899-12-30T22:15:00"/>
    <n v="0"/>
    <x v="1"/>
  </r>
  <r>
    <x v="0"/>
    <s v="Egypt"/>
    <x v="37"/>
    <x v="185"/>
    <x v="185"/>
    <d v="2025-06-19T00:00:00"/>
    <m/>
    <s v="Day Off"/>
    <m/>
    <m/>
    <n v="0"/>
    <x v="1"/>
  </r>
  <r>
    <x v="0"/>
    <s v="Egypt"/>
    <x v="37"/>
    <x v="185"/>
    <x v="185"/>
    <d v="2025-06-20T00:00:00"/>
    <m/>
    <s v="Day Off"/>
    <m/>
    <m/>
    <n v="0"/>
    <x v="1"/>
  </r>
  <r>
    <x v="0"/>
    <s v="Egypt"/>
    <x v="37"/>
    <x v="185"/>
    <x v="185"/>
    <d v="2025-06-21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00:00"/>
    <d v="1899-12-30T19:15:00"/>
    <n v="0"/>
    <x v="1"/>
  </r>
  <r>
    <x v="0"/>
    <s v="Egypt"/>
    <x v="37"/>
    <x v="185"/>
    <x v="185"/>
    <m/>
    <m/>
    <s v="Break 30 Night"/>
    <d v="1899-12-30T22:00:00"/>
    <d v="1899-12-30T22:30:00"/>
    <n v="0"/>
    <x v="1"/>
  </r>
  <r>
    <x v="0"/>
    <s v="Egypt"/>
    <x v="37"/>
    <x v="185"/>
    <x v="185"/>
    <d v="2025-06-22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45:00"/>
    <d v="1899-12-30T20:00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23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45:00"/>
    <d v="1899-12-30T20:00:00"/>
    <n v="0"/>
    <x v="1"/>
  </r>
  <r>
    <x v="0"/>
    <s v="Egypt"/>
    <x v="37"/>
    <x v="185"/>
    <x v="185"/>
    <m/>
    <m/>
    <s v="Break 30 Night"/>
    <d v="1899-12-30T22:15:00"/>
    <d v="1899-12-30T22:45:00"/>
    <n v="0"/>
    <x v="1"/>
  </r>
  <r>
    <x v="0"/>
    <s v="Egypt"/>
    <x v="37"/>
    <x v="185"/>
    <x v="185"/>
    <d v="2025-06-24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45:00"/>
    <d v="1899-12-30T20:00:00"/>
    <n v="0"/>
    <x v="1"/>
  </r>
  <r>
    <x v="0"/>
    <s v="Egypt"/>
    <x v="37"/>
    <x v="185"/>
    <x v="185"/>
    <m/>
    <m/>
    <s v="Break 30 Night"/>
    <d v="1899-12-30T21:45:00"/>
    <d v="1899-12-30T22:15:00"/>
    <n v="0"/>
    <x v="1"/>
  </r>
  <r>
    <x v="0"/>
    <s v="Egypt"/>
    <x v="37"/>
    <x v="185"/>
    <x v="185"/>
    <d v="2025-06-25T00:00:00"/>
    <m/>
    <s v="Day Off"/>
    <m/>
    <m/>
    <n v="0"/>
    <x v="1"/>
  </r>
  <r>
    <x v="0"/>
    <s v="Egypt"/>
    <x v="37"/>
    <x v="185"/>
    <x v="185"/>
    <d v="2025-06-26T00:00:00"/>
    <m/>
    <s v="Day Off"/>
    <m/>
    <m/>
    <n v="0"/>
    <x v="1"/>
  </r>
  <r>
    <x v="0"/>
    <s v="Egypt"/>
    <x v="37"/>
    <x v="185"/>
    <x v="185"/>
    <d v="2025-06-27T00:00:00"/>
    <d v="1899-12-30T08:15:00"/>
    <s v="Annual Exception"/>
    <m/>
    <m/>
    <n v="29700"/>
    <x v="1"/>
  </r>
  <r>
    <x v="0"/>
    <s v="Egypt"/>
    <x v="37"/>
    <x v="185"/>
    <x v="185"/>
    <d v="2025-06-28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30:00"/>
    <d v="1899-12-30T19:45:00"/>
    <n v="0"/>
    <x v="1"/>
  </r>
  <r>
    <x v="0"/>
    <s v="Egypt"/>
    <x v="37"/>
    <x v="185"/>
    <x v="185"/>
    <m/>
    <m/>
    <s v="Break 30 Night"/>
    <d v="1899-12-30T22:30:00"/>
    <d v="1899-12-30T23:00:00"/>
    <n v="0"/>
    <x v="1"/>
  </r>
  <r>
    <x v="0"/>
    <s v="Egypt"/>
    <x v="37"/>
    <x v="185"/>
    <x v="185"/>
    <d v="2025-06-29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30:00"/>
    <d v="1899-12-30T19:45:00"/>
    <n v="0"/>
    <x v="1"/>
  </r>
  <r>
    <x v="0"/>
    <s v="Egypt"/>
    <x v="37"/>
    <x v="185"/>
    <x v="185"/>
    <m/>
    <m/>
    <s v="Break 30 Night"/>
    <d v="1899-12-30T22:30:00"/>
    <d v="1899-12-30T23:00:00"/>
    <n v="0"/>
    <x v="1"/>
  </r>
  <r>
    <x v="0"/>
    <s v="Egypt"/>
    <x v="37"/>
    <x v="185"/>
    <x v="185"/>
    <d v="2025-06-30T00:00:00"/>
    <d v="1899-12-30T08:15:00"/>
    <s v="Non Telecom Assyot"/>
    <d v="1899-12-30T17:15:00"/>
    <s v="+1:30 AM"/>
    <n v="29700"/>
    <x v="0"/>
  </r>
  <r>
    <x v="0"/>
    <s v="Egypt"/>
    <x v="37"/>
    <x v="185"/>
    <x v="185"/>
    <m/>
    <m/>
    <s v="Break 15 Night"/>
    <d v="1899-12-30T19:45:00"/>
    <d v="1899-12-30T20:00:00"/>
    <n v="0"/>
    <x v="1"/>
  </r>
  <r>
    <x v="0"/>
    <s v="Egypt"/>
    <x v="37"/>
    <x v="185"/>
    <x v="185"/>
    <m/>
    <m/>
    <s v="Break 30 Night"/>
    <d v="1899-12-30T23:00:00"/>
    <d v="1899-12-30T23:30:00"/>
    <n v="0"/>
    <x v="1"/>
  </r>
  <r>
    <x v="0"/>
    <s v="Egypt"/>
    <x v="37"/>
    <x v="186"/>
    <x v="186"/>
    <d v="2025-06-01T00:00:00"/>
    <m/>
    <s v="Day Off"/>
    <m/>
    <m/>
    <n v="0"/>
    <x v="1"/>
  </r>
  <r>
    <x v="0"/>
    <s v="Egypt"/>
    <x v="37"/>
    <x v="186"/>
    <x v="186"/>
    <d v="2025-06-02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00:00"/>
    <d v="1899-12-30T19:15:00"/>
    <n v="0"/>
    <x v="1"/>
  </r>
  <r>
    <x v="0"/>
    <s v="Egypt"/>
    <x v="37"/>
    <x v="186"/>
    <x v="186"/>
    <m/>
    <m/>
    <s v="Break 30 Night"/>
    <d v="1899-12-30T22:15:00"/>
    <d v="1899-12-30T22:45:00"/>
    <n v="0"/>
    <x v="1"/>
  </r>
  <r>
    <x v="0"/>
    <s v="Egypt"/>
    <x v="37"/>
    <x v="186"/>
    <x v="186"/>
    <d v="2025-06-03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45:00"/>
    <d v="1899-12-30T20:00:00"/>
    <n v="0"/>
    <x v="1"/>
  </r>
  <r>
    <x v="0"/>
    <s v="Egypt"/>
    <x v="37"/>
    <x v="186"/>
    <x v="186"/>
    <m/>
    <m/>
    <s v="Break 30 Night"/>
    <d v="1899-12-30T22:45:00"/>
    <d v="1899-12-30T23:15:00"/>
    <n v="0"/>
    <x v="1"/>
  </r>
  <r>
    <x v="0"/>
    <s v="Egypt"/>
    <x v="37"/>
    <x v="186"/>
    <x v="186"/>
    <d v="2025-06-04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30:00"/>
    <d v="1899-12-30T19:45:00"/>
    <n v="0"/>
    <x v="1"/>
  </r>
  <r>
    <x v="0"/>
    <s v="Egypt"/>
    <x v="37"/>
    <x v="186"/>
    <x v="186"/>
    <m/>
    <m/>
    <s v="Break 30 Night"/>
    <d v="1899-12-30T22:30:00"/>
    <d v="1899-12-30T23:00:00"/>
    <n v="0"/>
    <x v="1"/>
  </r>
  <r>
    <x v="0"/>
    <s v="Egypt"/>
    <x v="37"/>
    <x v="186"/>
    <x v="186"/>
    <d v="2025-06-05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30:00"/>
    <d v="1899-12-30T19:45:00"/>
    <n v="0"/>
    <x v="1"/>
  </r>
  <r>
    <x v="0"/>
    <s v="Egypt"/>
    <x v="37"/>
    <x v="186"/>
    <x v="186"/>
    <m/>
    <m/>
    <s v="Break 30 Night"/>
    <d v="1899-12-30T22:45:00"/>
    <d v="1899-12-30T23:15:00"/>
    <n v="0"/>
    <x v="1"/>
  </r>
  <r>
    <x v="0"/>
    <s v="Egypt"/>
    <x v="37"/>
    <x v="186"/>
    <x v="186"/>
    <d v="2025-06-06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15:00"/>
    <d v="1899-12-30T19:30:00"/>
    <n v="0"/>
    <x v="1"/>
  </r>
  <r>
    <x v="0"/>
    <s v="Egypt"/>
    <x v="37"/>
    <x v="186"/>
    <x v="186"/>
    <m/>
    <m/>
    <s v="Break 30 Night"/>
    <d v="1899-12-30T22:30:00"/>
    <d v="1899-12-30T23:00:00"/>
    <n v="0"/>
    <x v="1"/>
  </r>
  <r>
    <x v="0"/>
    <s v="Egypt"/>
    <x v="37"/>
    <x v="186"/>
    <x v="186"/>
    <d v="2025-06-07T00:00:00"/>
    <m/>
    <s v="Day Off"/>
    <m/>
    <m/>
    <n v="0"/>
    <x v="1"/>
  </r>
  <r>
    <x v="0"/>
    <s v="Egypt"/>
    <x v="37"/>
    <x v="186"/>
    <x v="186"/>
    <d v="2025-06-08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6:00:00"/>
    <d v="1899-12-30T16:15:00"/>
    <n v="0"/>
    <x v="1"/>
  </r>
  <r>
    <x v="0"/>
    <s v="Egypt"/>
    <x v="37"/>
    <x v="186"/>
    <x v="186"/>
    <m/>
    <m/>
    <s v="Break 30 Morning"/>
    <d v="1899-12-30T19:15:00"/>
    <d v="1899-12-30T19:45:00"/>
    <n v="0"/>
    <x v="1"/>
  </r>
  <r>
    <x v="0"/>
    <s v="Egypt"/>
    <x v="37"/>
    <x v="186"/>
    <x v="186"/>
    <d v="2025-06-09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5:30:00"/>
    <d v="1899-12-30T15:45:00"/>
    <n v="0"/>
    <x v="1"/>
  </r>
  <r>
    <x v="0"/>
    <s v="Egypt"/>
    <x v="37"/>
    <x v="186"/>
    <x v="186"/>
    <m/>
    <m/>
    <s v="Break 30 Morning"/>
    <d v="1899-12-30T19:00:00"/>
    <d v="1899-12-30T19:30:00"/>
    <n v="0"/>
    <x v="1"/>
  </r>
  <r>
    <x v="0"/>
    <s v="Egypt"/>
    <x v="37"/>
    <x v="186"/>
    <x v="186"/>
    <d v="2025-06-10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6:00:00"/>
    <d v="1899-12-30T16:15:00"/>
    <n v="0"/>
    <x v="1"/>
  </r>
  <r>
    <x v="0"/>
    <s v="Egypt"/>
    <x v="37"/>
    <x v="186"/>
    <x v="186"/>
    <m/>
    <m/>
    <s v="Break 30 Morning"/>
    <d v="1899-12-30T19:30:00"/>
    <d v="1899-12-30T20:00:00"/>
    <n v="0"/>
    <x v="1"/>
  </r>
  <r>
    <x v="0"/>
    <s v="Egypt"/>
    <x v="37"/>
    <x v="186"/>
    <x v="186"/>
    <d v="2025-06-11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6:00:00"/>
    <d v="1899-12-30T16:15:00"/>
    <n v="0"/>
    <x v="1"/>
  </r>
  <r>
    <x v="0"/>
    <s v="Egypt"/>
    <x v="37"/>
    <x v="186"/>
    <x v="186"/>
    <m/>
    <m/>
    <s v="Break 30 Morning"/>
    <d v="1899-12-30T19:15:00"/>
    <d v="1899-12-30T19:45:00"/>
    <n v="0"/>
    <x v="1"/>
  </r>
  <r>
    <x v="0"/>
    <s v="Egypt"/>
    <x v="37"/>
    <x v="186"/>
    <x v="186"/>
    <d v="2025-06-12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6:00:00"/>
    <d v="1899-12-30T16:15:00"/>
    <n v="0"/>
    <x v="1"/>
  </r>
  <r>
    <x v="0"/>
    <s v="Egypt"/>
    <x v="37"/>
    <x v="186"/>
    <x v="186"/>
    <m/>
    <m/>
    <s v="Break 30 Morning"/>
    <d v="1899-12-30T19:15:00"/>
    <d v="1899-12-30T19:45:00"/>
    <n v="0"/>
    <x v="1"/>
  </r>
  <r>
    <x v="0"/>
    <s v="Egypt"/>
    <x v="37"/>
    <x v="186"/>
    <x v="186"/>
    <d v="2025-06-13T00:00:00"/>
    <m/>
    <s v="Day Off"/>
    <m/>
    <m/>
    <n v="0"/>
    <x v="1"/>
  </r>
  <r>
    <x v="0"/>
    <s v="Egypt"/>
    <x v="37"/>
    <x v="186"/>
    <x v="186"/>
    <d v="2025-06-14T00:00:00"/>
    <m/>
    <s v="Day Off"/>
    <m/>
    <m/>
    <n v="0"/>
    <x v="1"/>
  </r>
  <r>
    <x v="0"/>
    <s v="Egypt"/>
    <x v="37"/>
    <x v="186"/>
    <x v="186"/>
    <d v="2025-06-15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20:00:00"/>
    <d v="1899-12-30T20:15:00"/>
    <n v="0"/>
    <x v="1"/>
  </r>
  <r>
    <x v="0"/>
    <s v="Egypt"/>
    <x v="37"/>
    <x v="186"/>
    <x v="186"/>
    <m/>
    <m/>
    <s v="Break 30 Night"/>
    <d v="1899-12-30T22:45:00"/>
    <d v="1899-12-30T23:15:00"/>
    <n v="0"/>
    <x v="1"/>
  </r>
  <r>
    <x v="0"/>
    <s v="Egypt"/>
    <x v="37"/>
    <x v="186"/>
    <x v="186"/>
    <d v="2025-06-16T00:00:00"/>
    <d v="1899-12-30T08:15:00"/>
    <s v="Non Telecom Assyot"/>
    <d v="1899-12-30T14:00:00"/>
    <d v="1899-12-30T22:15:00"/>
    <n v="29700"/>
    <x v="0"/>
  </r>
  <r>
    <x v="0"/>
    <s v="Egypt"/>
    <x v="37"/>
    <x v="186"/>
    <x v="186"/>
    <m/>
    <m/>
    <s v="Break 15 Morning"/>
    <d v="1899-12-30T17:00:00"/>
    <d v="1899-12-30T17:15:00"/>
    <n v="0"/>
    <x v="1"/>
  </r>
  <r>
    <x v="0"/>
    <s v="Egypt"/>
    <x v="37"/>
    <x v="186"/>
    <x v="186"/>
    <m/>
    <m/>
    <s v="Break 30 Morning"/>
    <d v="1899-12-30T20:00:00"/>
    <d v="1899-12-30T20:30:00"/>
    <n v="0"/>
    <x v="1"/>
  </r>
  <r>
    <x v="0"/>
    <s v="Egypt"/>
    <x v="37"/>
    <x v="186"/>
    <x v="186"/>
    <d v="2025-06-17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45:00"/>
    <d v="1899-12-30T20:00:00"/>
    <n v="0"/>
    <x v="1"/>
  </r>
  <r>
    <x v="0"/>
    <s v="Egypt"/>
    <x v="37"/>
    <x v="186"/>
    <x v="186"/>
    <m/>
    <m/>
    <s v="Break 30 Night"/>
    <d v="1899-12-30T22:30:00"/>
    <d v="1899-12-30T23:00:00"/>
    <n v="0"/>
    <x v="1"/>
  </r>
  <r>
    <x v="0"/>
    <s v="Egypt"/>
    <x v="37"/>
    <x v="186"/>
    <x v="186"/>
    <d v="2025-06-18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30:00"/>
    <d v="1899-12-30T19:45:00"/>
    <n v="0"/>
    <x v="1"/>
  </r>
  <r>
    <x v="0"/>
    <s v="Egypt"/>
    <x v="37"/>
    <x v="186"/>
    <x v="186"/>
    <m/>
    <m/>
    <s v="Break 30 Night"/>
    <d v="1899-12-30T22:15:00"/>
    <d v="1899-12-30T22:45:00"/>
    <n v="0"/>
    <x v="1"/>
  </r>
  <r>
    <x v="0"/>
    <s v="Egypt"/>
    <x v="37"/>
    <x v="186"/>
    <x v="186"/>
    <d v="2025-06-19T00:00:00"/>
    <m/>
    <s v="Day Off"/>
    <m/>
    <m/>
    <n v="0"/>
    <x v="1"/>
  </r>
  <r>
    <x v="0"/>
    <s v="Egypt"/>
    <x v="37"/>
    <x v="186"/>
    <x v="186"/>
    <d v="2025-06-20T00:00:00"/>
    <m/>
    <s v="Day Off"/>
    <m/>
    <m/>
    <n v="0"/>
    <x v="1"/>
  </r>
  <r>
    <x v="0"/>
    <s v="Egypt"/>
    <x v="37"/>
    <x v="186"/>
    <x v="186"/>
    <d v="2025-06-21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19:45:00"/>
    <d v="1899-12-30T20:00:00"/>
    <n v="0"/>
    <x v="1"/>
  </r>
  <r>
    <x v="0"/>
    <s v="Egypt"/>
    <x v="37"/>
    <x v="186"/>
    <x v="186"/>
    <m/>
    <m/>
    <s v="Break 30 Night"/>
    <d v="1899-12-30T23:00:00"/>
    <d v="1899-12-30T23:30:00"/>
    <n v="0"/>
    <x v="1"/>
  </r>
  <r>
    <x v="0"/>
    <s v="Egypt"/>
    <x v="37"/>
    <x v="186"/>
    <x v="186"/>
    <d v="2025-06-22T00:00:00"/>
    <d v="1899-12-30T08:15:00"/>
    <s v="Annual Exception"/>
    <m/>
    <m/>
    <n v="29700"/>
    <x v="1"/>
  </r>
  <r>
    <x v="0"/>
    <s v="Egypt"/>
    <x v="37"/>
    <x v="186"/>
    <x v="186"/>
    <d v="2025-06-23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20:15:00"/>
    <d v="1899-12-30T20:30:00"/>
    <n v="0"/>
    <x v="1"/>
  </r>
  <r>
    <x v="0"/>
    <s v="Egypt"/>
    <x v="37"/>
    <x v="186"/>
    <x v="186"/>
    <m/>
    <m/>
    <s v="Break 30 Night"/>
    <d v="1899-12-30T22:45:00"/>
    <d v="1899-12-30T23:15:00"/>
    <n v="0"/>
    <x v="1"/>
  </r>
  <r>
    <x v="0"/>
    <s v="Egypt"/>
    <x v="37"/>
    <x v="186"/>
    <x v="186"/>
    <d v="2025-06-24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20:15:00"/>
    <d v="1899-12-30T20:30:00"/>
    <n v="0"/>
    <x v="1"/>
  </r>
  <r>
    <x v="0"/>
    <s v="Egypt"/>
    <x v="37"/>
    <x v="186"/>
    <x v="186"/>
    <m/>
    <m/>
    <s v="Break 30 Night"/>
    <d v="1899-12-30T22:30:00"/>
    <d v="1899-12-30T23:00:00"/>
    <n v="0"/>
    <x v="1"/>
  </r>
  <r>
    <x v="0"/>
    <s v="Egypt"/>
    <x v="37"/>
    <x v="186"/>
    <x v="186"/>
    <d v="2025-06-25T00:00:00"/>
    <m/>
    <s v="Day Off"/>
    <m/>
    <m/>
    <n v="0"/>
    <x v="1"/>
  </r>
  <r>
    <x v="0"/>
    <s v="Egypt"/>
    <x v="37"/>
    <x v="186"/>
    <x v="186"/>
    <d v="2025-06-26T00:00:00"/>
    <m/>
    <s v="Day Off"/>
    <m/>
    <m/>
    <n v="0"/>
    <x v="1"/>
  </r>
  <r>
    <x v="0"/>
    <s v="Egypt"/>
    <x v="37"/>
    <x v="186"/>
    <x v="186"/>
    <d v="2025-06-27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20:15:00"/>
    <d v="1899-12-30T20:30:00"/>
    <n v="0"/>
    <x v="1"/>
  </r>
  <r>
    <x v="0"/>
    <s v="Egypt"/>
    <x v="37"/>
    <x v="186"/>
    <x v="186"/>
    <m/>
    <m/>
    <s v="Break 30 Night"/>
    <d v="1899-12-30T23:15:00"/>
    <d v="1899-12-30T23:45:00"/>
    <n v="0"/>
    <x v="1"/>
  </r>
  <r>
    <x v="0"/>
    <s v="Egypt"/>
    <x v="37"/>
    <x v="186"/>
    <x v="186"/>
    <d v="2025-06-28T00:00:00"/>
    <d v="1899-12-30T08:15:00"/>
    <s v="Annual Exception"/>
    <m/>
    <m/>
    <n v="29700"/>
    <x v="1"/>
  </r>
  <r>
    <x v="0"/>
    <s v="Egypt"/>
    <x v="37"/>
    <x v="186"/>
    <x v="186"/>
    <d v="2025-06-29T00:00:00"/>
    <d v="1899-12-30T08:15:00"/>
    <s v="Non Telecom Assyot"/>
    <d v="1899-12-30T17:15:00"/>
    <s v="+1:30 AM"/>
    <n v="29700"/>
    <x v="0"/>
  </r>
  <r>
    <x v="0"/>
    <s v="Egypt"/>
    <x v="37"/>
    <x v="186"/>
    <x v="186"/>
    <m/>
    <m/>
    <s v="Break 15 Night"/>
    <d v="1899-12-30T20:00:00"/>
    <d v="1899-12-30T20:15:00"/>
    <n v="0"/>
    <x v="1"/>
  </r>
  <r>
    <x v="0"/>
    <s v="Egypt"/>
    <x v="37"/>
    <x v="186"/>
    <x v="186"/>
    <m/>
    <m/>
    <s v="Break 30 Night"/>
    <d v="1899-12-30T23:00:00"/>
    <d v="1899-12-30T23:30:00"/>
    <n v="0"/>
    <x v="1"/>
  </r>
  <r>
    <x v="0"/>
    <s v="Egypt"/>
    <x v="37"/>
    <x v="186"/>
    <x v="186"/>
    <d v="2025-06-30T00:00:00"/>
    <d v="1899-12-30T08:15:00"/>
    <s v="Annual Exception"/>
    <m/>
    <m/>
    <n v="29700"/>
    <x v="1"/>
  </r>
  <r>
    <x v="0"/>
    <s v="Egypt"/>
    <x v="37"/>
    <x v="187"/>
    <x v="187"/>
    <d v="2025-06-01T00:00:00"/>
    <m/>
    <s v="Day Off"/>
    <m/>
    <m/>
    <n v="0"/>
    <x v="1"/>
  </r>
  <r>
    <x v="0"/>
    <s v="Egypt"/>
    <x v="37"/>
    <x v="187"/>
    <x v="187"/>
    <d v="2025-06-02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15:00"/>
    <d v="1899-12-30T19:30:00"/>
    <n v="0"/>
    <x v="1"/>
  </r>
  <r>
    <x v="0"/>
    <s v="Egypt"/>
    <x v="37"/>
    <x v="187"/>
    <x v="187"/>
    <m/>
    <m/>
    <s v="Break 30 Night"/>
    <d v="1899-12-30T22:45:00"/>
    <d v="1899-12-30T23:15:00"/>
    <n v="0"/>
    <x v="1"/>
  </r>
  <r>
    <x v="0"/>
    <s v="Egypt"/>
    <x v="37"/>
    <x v="187"/>
    <x v="187"/>
    <d v="2025-06-03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00:00"/>
    <d v="1899-12-30T20:15:00"/>
    <n v="0"/>
    <x v="1"/>
  </r>
  <r>
    <x v="0"/>
    <s v="Egypt"/>
    <x v="37"/>
    <x v="187"/>
    <x v="187"/>
    <m/>
    <m/>
    <s v="Break 30 Night"/>
    <d v="1899-12-30T22:45:00"/>
    <d v="1899-12-30T23:15:00"/>
    <n v="0"/>
    <x v="1"/>
  </r>
  <r>
    <x v="0"/>
    <s v="Egypt"/>
    <x v="37"/>
    <x v="187"/>
    <x v="187"/>
    <d v="2025-06-04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30:00"/>
    <d v="1899-12-30T19:45:00"/>
    <n v="0"/>
    <x v="1"/>
  </r>
  <r>
    <x v="0"/>
    <s v="Egypt"/>
    <x v="37"/>
    <x v="187"/>
    <x v="187"/>
    <m/>
    <m/>
    <s v="Break 30 Night"/>
    <d v="1899-12-30T22:30:00"/>
    <d v="1899-12-30T23:00:00"/>
    <n v="0"/>
    <x v="1"/>
  </r>
  <r>
    <x v="0"/>
    <s v="Egypt"/>
    <x v="37"/>
    <x v="187"/>
    <x v="187"/>
    <d v="2025-06-05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45:00"/>
    <d v="1899-12-30T20:00:00"/>
    <n v="0"/>
    <x v="1"/>
  </r>
  <r>
    <x v="0"/>
    <s v="Egypt"/>
    <x v="37"/>
    <x v="187"/>
    <x v="187"/>
    <m/>
    <m/>
    <s v="Break 30 Night"/>
    <d v="1899-12-30T23:15:00"/>
    <d v="1899-12-30T23:45:00"/>
    <n v="0"/>
    <x v="1"/>
  </r>
  <r>
    <x v="0"/>
    <s v="Egypt"/>
    <x v="37"/>
    <x v="187"/>
    <x v="187"/>
    <d v="2025-06-06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30:00"/>
    <d v="1899-12-30T19:45:00"/>
    <n v="0"/>
    <x v="1"/>
  </r>
  <r>
    <x v="0"/>
    <s v="Egypt"/>
    <x v="37"/>
    <x v="187"/>
    <x v="187"/>
    <m/>
    <m/>
    <s v="Break 30 Night"/>
    <d v="1899-12-30T22:30:00"/>
    <d v="1899-12-30T23:00:00"/>
    <n v="0"/>
    <x v="1"/>
  </r>
  <r>
    <x v="0"/>
    <s v="Egypt"/>
    <x v="37"/>
    <x v="187"/>
    <x v="187"/>
    <d v="2025-06-07T00:00:00"/>
    <m/>
    <s v="Day Off"/>
    <m/>
    <m/>
    <n v="0"/>
    <x v="1"/>
  </r>
  <r>
    <x v="0"/>
    <s v="Egypt"/>
    <x v="37"/>
    <x v="187"/>
    <x v="187"/>
    <d v="2025-06-08T00:00:00"/>
    <d v="1899-12-30T08:15:00"/>
    <s v="Non Telecom Assyot"/>
    <d v="1899-12-30T14:00:00"/>
    <d v="1899-12-30T22:15:00"/>
    <n v="29700"/>
    <x v="0"/>
  </r>
  <r>
    <x v="0"/>
    <s v="Egypt"/>
    <x v="37"/>
    <x v="187"/>
    <x v="187"/>
    <m/>
    <m/>
    <s v="Break 15 Morning"/>
    <d v="1899-12-30T16:00:00"/>
    <d v="1899-12-30T16:15:00"/>
    <n v="0"/>
    <x v="1"/>
  </r>
  <r>
    <x v="0"/>
    <s v="Egypt"/>
    <x v="37"/>
    <x v="187"/>
    <x v="187"/>
    <m/>
    <m/>
    <s v="Break 30 Morning"/>
    <d v="1899-12-30T19:15:00"/>
    <d v="1899-12-30T19:45:00"/>
    <n v="0"/>
    <x v="1"/>
  </r>
  <r>
    <x v="0"/>
    <s v="Egypt"/>
    <x v="37"/>
    <x v="187"/>
    <x v="187"/>
    <d v="2025-06-09T00:00:00"/>
    <d v="1899-12-30T08:15:00"/>
    <s v="Non Telecom Assyot"/>
    <d v="1899-12-30T14:00:00"/>
    <d v="1899-12-30T22:15:00"/>
    <n v="29700"/>
    <x v="0"/>
  </r>
  <r>
    <x v="0"/>
    <s v="Egypt"/>
    <x v="37"/>
    <x v="187"/>
    <x v="187"/>
    <m/>
    <m/>
    <s v="Break 15 Morning"/>
    <d v="1899-12-30T15:45:00"/>
    <d v="1899-12-30T16:00:00"/>
    <n v="0"/>
    <x v="1"/>
  </r>
  <r>
    <x v="0"/>
    <s v="Egypt"/>
    <x v="37"/>
    <x v="187"/>
    <x v="187"/>
    <m/>
    <m/>
    <s v="Break 30 Morning"/>
    <d v="1899-12-30T19:30:00"/>
    <d v="1899-12-30T20:00:00"/>
    <n v="0"/>
    <x v="1"/>
  </r>
  <r>
    <x v="0"/>
    <s v="Egypt"/>
    <x v="37"/>
    <x v="187"/>
    <x v="187"/>
    <d v="2025-06-10T00:00:00"/>
    <d v="1899-12-30T08:15:00"/>
    <s v="Non Telecom Assyot"/>
    <d v="1899-12-30T14:00:00"/>
    <d v="1899-12-30T22:15:00"/>
    <n v="29700"/>
    <x v="0"/>
  </r>
  <r>
    <x v="0"/>
    <s v="Egypt"/>
    <x v="37"/>
    <x v="187"/>
    <x v="187"/>
    <m/>
    <m/>
    <s v="Break 15 Morning"/>
    <d v="1899-12-30T16:15:00"/>
    <d v="1899-12-30T16:30:00"/>
    <n v="0"/>
    <x v="1"/>
  </r>
  <r>
    <x v="0"/>
    <s v="Egypt"/>
    <x v="37"/>
    <x v="187"/>
    <x v="187"/>
    <m/>
    <m/>
    <s v="Break 30 Morning"/>
    <d v="1899-12-30T19:30:00"/>
    <d v="1899-12-30T20:00:00"/>
    <n v="0"/>
    <x v="1"/>
  </r>
  <r>
    <x v="0"/>
    <s v="Egypt"/>
    <x v="37"/>
    <x v="187"/>
    <x v="187"/>
    <d v="2025-06-11T00:00:00"/>
    <d v="1899-12-30T08:15:00"/>
    <s v="Non Telecom Assyot"/>
    <d v="1899-12-30T14:00:00"/>
    <d v="1899-12-30T22:15:00"/>
    <n v="29700"/>
    <x v="0"/>
  </r>
  <r>
    <x v="0"/>
    <s v="Egypt"/>
    <x v="37"/>
    <x v="187"/>
    <x v="187"/>
    <m/>
    <m/>
    <s v="Break 15 Morning"/>
    <d v="1899-12-30T16:00:00"/>
    <d v="1899-12-30T16:15:00"/>
    <n v="0"/>
    <x v="1"/>
  </r>
  <r>
    <x v="0"/>
    <s v="Egypt"/>
    <x v="37"/>
    <x v="187"/>
    <x v="187"/>
    <m/>
    <m/>
    <s v="Break 30 Morning"/>
    <d v="1899-12-30T19:30:00"/>
    <d v="1899-12-30T20:00:00"/>
    <n v="0"/>
    <x v="1"/>
  </r>
  <r>
    <x v="0"/>
    <s v="Egypt"/>
    <x v="37"/>
    <x v="187"/>
    <x v="187"/>
    <d v="2025-06-12T00:00:00"/>
    <m/>
    <s v="Day Off"/>
    <m/>
    <m/>
    <n v="0"/>
    <x v="1"/>
  </r>
  <r>
    <x v="0"/>
    <s v="Egypt"/>
    <x v="37"/>
    <x v="187"/>
    <x v="187"/>
    <d v="2025-06-13T00:00:00"/>
    <m/>
    <s v="Day Off"/>
    <m/>
    <m/>
    <n v="0"/>
    <x v="1"/>
  </r>
  <r>
    <x v="0"/>
    <s v="Egypt"/>
    <x v="37"/>
    <x v="187"/>
    <x v="187"/>
    <d v="2025-06-14T00:00:00"/>
    <d v="1899-12-30T08:15:00"/>
    <s v="Non Telecom Assyot"/>
    <d v="1899-12-30T14:00:00"/>
    <d v="1899-12-30T22:15:00"/>
    <n v="29700"/>
    <x v="0"/>
  </r>
  <r>
    <x v="0"/>
    <s v="Egypt"/>
    <x v="37"/>
    <x v="187"/>
    <x v="187"/>
    <m/>
    <m/>
    <s v="Break 15 Morning"/>
    <d v="1899-12-30T16:00:00"/>
    <d v="1899-12-30T16:15:00"/>
    <n v="0"/>
    <x v="1"/>
  </r>
  <r>
    <x v="0"/>
    <s v="Egypt"/>
    <x v="37"/>
    <x v="187"/>
    <x v="187"/>
    <m/>
    <m/>
    <s v="Break 30 Morning"/>
    <d v="1899-12-30T19:15:00"/>
    <d v="1899-12-30T19:45:00"/>
    <n v="0"/>
    <x v="1"/>
  </r>
  <r>
    <x v="0"/>
    <s v="Egypt"/>
    <x v="37"/>
    <x v="187"/>
    <x v="187"/>
    <d v="2025-06-15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15:00"/>
    <d v="1899-12-30T20:30:00"/>
    <n v="0"/>
    <x v="1"/>
  </r>
  <r>
    <x v="0"/>
    <s v="Egypt"/>
    <x v="37"/>
    <x v="187"/>
    <x v="187"/>
    <m/>
    <m/>
    <s v="Break 30 Night"/>
    <d v="1899-12-30T22:45:00"/>
    <d v="1899-12-30T23:15:00"/>
    <n v="0"/>
    <x v="1"/>
  </r>
  <r>
    <x v="0"/>
    <s v="Egypt"/>
    <x v="37"/>
    <x v="187"/>
    <x v="187"/>
    <d v="2025-06-16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15:00"/>
    <d v="1899-12-30T20:30:00"/>
    <n v="0"/>
    <x v="1"/>
  </r>
  <r>
    <x v="0"/>
    <s v="Egypt"/>
    <x v="37"/>
    <x v="187"/>
    <x v="187"/>
    <m/>
    <m/>
    <s v="Break 30 Night"/>
    <d v="1899-12-30T22:30:00"/>
    <d v="1899-12-30T23:00:00"/>
    <n v="0"/>
    <x v="1"/>
  </r>
  <r>
    <x v="0"/>
    <s v="Egypt"/>
    <x v="37"/>
    <x v="187"/>
    <x v="187"/>
    <d v="2025-06-17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45:00"/>
    <d v="1899-12-30T20:00:00"/>
    <n v="0"/>
    <x v="1"/>
  </r>
  <r>
    <x v="0"/>
    <s v="Egypt"/>
    <x v="37"/>
    <x v="187"/>
    <x v="187"/>
    <m/>
    <m/>
    <s v="Break 30 Night"/>
    <d v="1899-12-30T22:30:00"/>
    <d v="1899-12-30T23:00:00"/>
    <n v="0"/>
    <x v="1"/>
  </r>
  <r>
    <x v="0"/>
    <s v="Egypt"/>
    <x v="37"/>
    <x v="187"/>
    <x v="187"/>
    <d v="2025-06-18T00:00:00"/>
    <m/>
    <s v="Day Off"/>
    <m/>
    <m/>
    <n v="0"/>
    <x v="1"/>
  </r>
  <r>
    <x v="0"/>
    <s v="Egypt"/>
    <x v="37"/>
    <x v="187"/>
    <x v="187"/>
    <d v="2025-06-19T00:00:00"/>
    <m/>
    <s v="Day Off"/>
    <m/>
    <m/>
    <n v="0"/>
    <x v="1"/>
  </r>
  <r>
    <x v="0"/>
    <s v="Egypt"/>
    <x v="37"/>
    <x v="187"/>
    <x v="187"/>
    <d v="2025-06-20T00:00:00"/>
    <d v="1899-12-30T08:15:00"/>
    <s v="Annual Exception"/>
    <m/>
    <m/>
    <n v="29700"/>
    <x v="1"/>
  </r>
  <r>
    <x v="0"/>
    <s v="Egypt"/>
    <x v="37"/>
    <x v="187"/>
    <x v="187"/>
    <d v="2025-06-21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19:45:00"/>
    <d v="1899-12-30T20:00:00"/>
    <n v="0"/>
    <x v="1"/>
  </r>
  <r>
    <x v="0"/>
    <s v="Egypt"/>
    <x v="37"/>
    <x v="187"/>
    <x v="187"/>
    <m/>
    <m/>
    <s v="Break 30 Night"/>
    <d v="1899-12-30T23:00:00"/>
    <d v="1899-12-30T23:30:00"/>
    <n v="0"/>
    <x v="1"/>
  </r>
  <r>
    <x v="0"/>
    <s v="Egypt"/>
    <x v="37"/>
    <x v="187"/>
    <x v="187"/>
    <d v="2025-06-22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30:00"/>
    <d v="1899-12-30T20:45:00"/>
    <n v="0"/>
    <x v="1"/>
  </r>
  <r>
    <x v="0"/>
    <s v="Egypt"/>
    <x v="37"/>
    <x v="187"/>
    <x v="187"/>
    <m/>
    <m/>
    <s v="Break 30 Night"/>
    <d v="1899-12-30T23:15:00"/>
    <d v="1899-12-30T23:45:00"/>
    <n v="0"/>
    <x v="1"/>
  </r>
  <r>
    <x v="0"/>
    <s v="Egypt"/>
    <x v="37"/>
    <x v="187"/>
    <x v="187"/>
    <d v="2025-06-23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15:00"/>
    <d v="1899-12-30T20:30:00"/>
    <n v="0"/>
    <x v="1"/>
  </r>
  <r>
    <x v="0"/>
    <s v="Egypt"/>
    <x v="37"/>
    <x v="187"/>
    <x v="187"/>
    <m/>
    <m/>
    <s v="Break 30 Night"/>
    <d v="1899-12-30T23:00:00"/>
    <d v="1899-12-30T23:30:00"/>
    <n v="0"/>
    <x v="1"/>
  </r>
  <r>
    <x v="0"/>
    <s v="Egypt"/>
    <x v="37"/>
    <x v="187"/>
    <x v="187"/>
    <d v="2025-06-24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15:00"/>
    <d v="1899-12-30T20:30:00"/>
    <n v="0"/>
    <x v="1"/>
  </r>
  <r>
    <x v="0"/>
    <s v="Egypt"/>
    <x v="37"/>
    <x v="187"/>
    <x v="187"/>
    <m/>
    <m/>
    <s v="Break 30 Night"/>
    <d v="1899-12-30T22:45:00"/>
    <d v="1899-12-30T23:15:00"/>
    <n v="0"/>
    <x v="1"/>
  </r>
  <r>
    <x v="0"/>
    <s v="Egypt"/>
    <x v="37"/>
    <x v="187"/>
    <x v="187"/>
    <d v="2025-06-25T00:00:00"/>
    <m/>
    <s v="Day Off"/>
    <m/>
    <m/>
    <n v="0"/>
    <x v="1"/>
  </r>
  <r>
    <x v="0"/>
    <s v="Egypt"/>
    <x v="37"/>
    <x v="187"/>
    <x v="187"/>
    <d v="2025-06-26T00:00:00"/>
    <m/>
    <s v="Day Off"/>
    <m/>
    <m/>
    <n v="0"/>
    <x v="1"/>
  </r>
  <r>
    <x v="0"/>
    <s v="Egypt"/>
    <x v="37"/>
    <x v="187"/>
    <x v="187"/>
    <d v="2025-06-27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15:00"/>
    <d v="1899-12-30T20:30:00"/>
    <n v="0"/>
    <x v="1"/>
  </r>
  <r>
    <x v="0"/>
    <s v="Egypt"/>
    <x v="37"/>
    <x v="187"/>
    <x v="187"/>
    <m/>
    <m/>
    <s v="Break 30 Night"/>
    <d v="1899-12-30T23:15:00"/>
    <d v="1899-12-30T23:45:00"/>
    <n v="0"/>
    <x v="1"/>
  </r>
  <r>
    <x v="0"/>
    <s v="Egypt"/>
    <x v="37"/>
    <x v="187"/>
    <x v="187"/>
    <d v="2025-06-28T00:00:00"/>
    <d v="1899-12-30T08:15:00"/>
    <s v="Annual Exception"/>
    <m/>
    <m/>
    <n v="29700"/>
    <x v="1"/>
  </r>
  <r>
    <x v="0"/>
    <s v="Egypt"/>
    <x v="37"/>
    <x v="187"/>
    <x v="187"/>
    <d v="2025-06-29T00:00:00"/>
    <d v="1899-12-30T08:15:00"/>
    <s v="Non Telecom Assyot"/>
    <d v="1899-12-30T17:15:00"/>
    <s v="+1:30 AM"/>
    <n v="29700"/>
    <x v="0"/>
  </r>
  <r>
    <x v="0"/>
    <s v="Egypt"/>
    <x v="37"/>
    <x v="187"/>
    <x v="187"/>
    <m/>
    <m/>
    <s v="Break 15 Night"/>
    <d v="1899-12-30T20:00:00"/>
    <d v="1899-12-30T20:15:00"/>
    <n v="0"/>
    <x v="1"/>
  </r>
  <r>
    <x v="0"/>
    <s v="Egypt"/>
    <x v="37"/>
    <x v="187"/>
    <x v="187"/>
    <m/>
    <m/>
    <s v="Break 30 Night"/>
    <d v="1899-12-30T23:00:00"/>
    <d v="1899-12-30T23:30:00"/>
    <n v="0"/>
    <x v="1"/>
  </r>
  <r>
    <x v="0"/>
    <s v="Egypt"/>
    <x v="37"/>
    <x v="187"/>
    <x v="187"/>
    <d v="2025-06-30T00:00:00"/>
    <d v="1899-12-30T08:15:00"/>
    <s v="Annual Exception"/>
    <m/>
    <m/>
    <n v="29700"/>
    <x v="1"/>
  </r>
  <r>
    <x v="0"/>
    <s v="Egypt"/>
    <x v="37"/>
    <x v="188"/>
    <x v="188"/>
    <d v="2025-06-01T00:00:00"/>
    <m/>
    <s v="Day Off"/>
    <m/>
    <m/>
    <n v="0"/>
    <x v="1"/>
  </r>
  <r>
    <x v="0"/>
    <s v="Egypt"/>
    <x v="37"/>
    <x v="188"/>
    <x v="188"/>
    <d v="2025-06-02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19:30:00"/>
    <d v="1899-12-30T19:45:00"/>
    <n v="0"/>
    <x v="1"/>
  </r>
  <r>
    <x v="0"/>
    <s v="Egypt"/>
    <x v="37"/>
    <x v="188"/>
    <x v="188"/>
    <m/>
    <m/>
    <s v="Break 30 Night"/>
    <d v="1899-12-30T22:45:00"/>
    <d v="1899-12-30T23:15:00"/>
    <n v="0"/>
    <x v="1"/>
  </r>
  <r>
    <x v="0"/>
    <s v="Egypt"/>
    <x v="37"/>
    <x v="188"/>
    <x v="188"/>
    <d v="2025-06-03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15:00"/>
    <d v="1899-12-30T20:30:00"/>
    <n v="0"/>
    <x v="1"/>
  </r>
  <r>
    <x v="0"/>
    <s v="Egypt"/>
    <x v="37"/>
    <x v="188"/>
    <x v="188"/>
    <m/>
    <m/>
    <s v="Break 30 Night"/>
    <d v="1899-12-30T23:15:00"/>
    <d v="1899-12-30T23:45:00"/>
    <n v="0"/>
    <x v="1"/>
  </r>
  <r>
    <x v="0"/>
    <s v="Egypt"/>
    <x v="37"/>
    <x v="188"/>
    <x v="188"/>
    <d v="2025-06-04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19:45:00"/>
    <d v="1899-12-30T20:00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05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00:00"/>
    <d v="1899-12-30T16:15:00"/>
    <n v="0"/>
    <x v="1"/>
  </r>
  <r>
    <x v="0"/>
    <s v="Egypt"/>
    <x v="37"/>
    <x v="188"/>
    <x v="188"/>
    <m/>
    <m/>
    <s v="Break 30 Morning"/>
    <d v="1899-12-30T19:15:00"/>
    <d v="1899-12-30T19:45:00"/>
    <n v="0"/>
    <x v="1"/>
  </r>
  <r>
    <x v="0"/>
    <s v="Egypt"/>
    <x v="37"/>
    <x v="188"/>
    <x v="188"/>
    <d v="2025-06-06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19:30:00"/>
    <d v="1899-12-30T19:45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07T00:00:00"/>
    <m/>
    <s v="Day Off"/>
    <m/>
    <m/>
    <n v="0"/>
    <x v="1"/>
  </r>
  <r>
    <x v="0"/>
    <s v="Egypt"/>
    <x v="37"/>
    <x v="188"/>
    <x v="188"/>
    <d v="2025-06-08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15:00"/>
    <d v="1899-12-30T16:30:00"/>
    <n v="0"/>
    <x v="1"/>
  </r>
  <r>
    <x v="0"/>
    <s v="Egypt"/>
    <x v="37"/>
    <x v="188"/>
    <x v="188"/>
    <m/>
    <m/>
    <s v="Break 30 Morning"/>
    <d v="1899-12-30T19:15:00"/>
    <d v="1899-12-30T19:45:00"/>
    <n v="0"/>
    <x v="1"/>
  </r>
  <r>
    <x v="0"/>
    <s v="Egypt"/>
    <x v="37"/>
    <x v="188"/>
    <x v="188"/>
    <d v="2025-06-09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00:00"/>
    <d v="1899-12-30T16:15:00"/>
    <n v="0"/>
    <x v="1"/>
  </r>
  <r>
    <x v="0"/>
    <s v="Egypt"/>
    <x v="37"/>
    <x v="188"/>
    <x v="188"/>
    <m/>
    <m/>
    <s v="Break 30 Morning"/>
    <d v="1899-12-30T19:30:00"/>
    <d v="1899-12-30T20:00:00"/>
    <n v="0"/>
    <x v="1"/>
  </r>
  <r>
    <x v="0"/>
    <s v="Egypt"/>
    <x v="37"/>
    <x v="188"/>
    <x v="188"/>
    <d v="2025-06-10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30:00"/>
    <d v="1899-12-30T16:45:00"/>
    <n v="0"/>
    <x v="1"/>
  </r>
  <r>
    <x v="0"/>
    <s v="Egypt"/>
    <x v="37"/>
    <x v="188"/>
    <x v="188"/>
    <m/>
    <m/>
    <s v="Break 30 Morning"/>
    <d v="1899-12-30T19:45:00"/>
    <d v="1899-12-30T20:15:00"/>
    <n v="0"/>
    <x v="1"/>
  </r>
  <r>
    <x v="0"/>
    <s v="Egypt"/>
    <x v="37"/>
    <x v="188"/>
    <x v="188"/>
    <d v="2025-06-11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15:00"/>
    <d v="1899-12-30T16:30:00"/>
    <n v="0"/>
    <x v="1"/>
  </r>
  <r>
    <x v="0"/>
    <s v="Egypt"/>
    <x v="37"/>
    <x v="188"/>
    <x v="188"/>
    <m/>
    <m/>
    <s v="Break 30 Morning"/>
    <d v="1899-12-30T19:30:00"/>
    <d v="1899-12-30T20:00:00"/>
    <n v="0"/>
    <x v="1"/>
  </r>
  <r>
    <x v="0"/>
    <s v="Egypt"/>
    <x v="37"/>
    <x v="188"/>
    <x v="188"/>
    <d v="2025-06-12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15:00"/>
    <d v="1899-12-30T16:30:00"/>
    <n v="0"/>
    <x v="1"/>
  </r>
  <r>
    <x v="0"/>
    <s v="Egypt"/>
    <x v="37"/>
    <x v="188"/>
    <x v="188"/>
    <m/>
    <m/>
    <s v="Break 30 Morning"/>
    <d v="1899-12-30T19:15:00"/>
    <d v="1899-12-30T19:45:00"/>
    <n v="0"/>
    <x v="1"/>
  </r>
  <r>
    <x v="0"/>
    <s v="Egypt"/>
    <x v="37"/>
    <x v="188"/>
    <x v="188"/>
    <d v="2025-06-13T00:00:00"/>
    <m/>
    <s v="Day Off"/>
    <m/>
    <m/>
    <n v="0"/>
    <x v="1"/>
  </r>
  <r>
    <x v="0"/>
    <s v="Egypt"/>
    <x v="37"/>
    <x v="188"/>
    <x v="188"/>
    <d v="2025-06-14T00:00:00"/>
    <m/>
    <s v="Day Off"/>
    <m/>
    <m/>
    <n v="0"/>
    <x v="1"/>
  </r>
  <r>
    <x v="0"/>
    <s v="Egypt"/>
    <x v="37"/>
    <x v="188"/>
    <x v="188"/>
    <d v="2025-06-15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15:00"/>
    <d v="1899-12-30T20:30:00"/>
    <n v="0"/>
    <x v="1"/>
  </r>
  <r>
    <x v="0"/>
    <s v="Egypt"/>
    <x v="37"/>
    <x v="188"/>
    <x v="188"/>
    <m/>
    <m/>
    <s v="Break 30 Night"/>
    <d v="1899-12-30T23:15:00"/>
    <d v="1899-12-30T23:45:00"/>
    <n v="0"/>
    <x v="1"/>
  </r>
  <r>
    <x v="0"/>
    <s v="Egypt"/>
    <x v="37"/>
    <x v="188"/>
    <x v="188"/>
    <d v="2025-06-16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15:00"/>
    <d v="1899-12-30T20:30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17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00:00"/>
    <d v="1899-12-30T20:15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18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19:45:00"/>
    <d v="1899-12-30T20:00:00"/>
    <n v="0"/>
    <x v="1"/>
  </r>
  <r>
    <x v="0"/>
    <s v="Egypt"/>
    <x v="37"/>
    <x v="188"/>
    <x v="188"/>
    <m/>
    <m/>
    <s v="Break 30 Night"/>
    <d v="1899-12-30T22:45:00"/>
    <d v="1899-12-30T23:15:00"/>
    <n v="0"/>
    <x v="1"/>
  </r>
  <r>
    <x v="0"/>
    <s v="Egypt"/>
    <x v="37"/>
    <x v="188"/>
    <x v="188"/>
    <d v="2025-06-19T00:00:00"/>
    <m/>
    <s v="Day Off"/>
    <m/>
    <m/>
    <n v="0"/>
    <x v="1"/>
  </r>
  <r>
    <x v="0"/>
    <s v="Egypt"/>
    <x v="37"/>
    <x v="188"/>
    <x v="188"/>
    <d v="2025-06-20T00:00:00"/>
    <m/>
    <s v="Day Off"/>
    <m/>
    <m/>
    <n v="0"/>
    <x v="1"/>
  </r>
  <r>
    <x v="0"/>
    <s v="Egypt"/>
    <x v="37"/>
    <x v="188"/>
    <x v="188"/>
    <d v="2025-06-21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00:00"/>
    <d v="1899-12-30T20:15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22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45:00"/>
    <d v="1899-12-30T17:00:00"/>
    <n v="0"/>
    <x v="1"/>
  </r>
  <r>
    <x v="0"/>
    <s v="Egypt"/>
    <x v="37"/>
    <x v="188"/>
    <x v="188"/>
    <m/>
    <m/>
    <s v="Break 30 Morning"/>
    <d v="1899-12-30T19:15:00"/>
    <d v="1899-12-30T19:45:00"/>
    <n v="0"/>
    <x v="1"/>
  </r>
  <r>
    <x v="0"/>
    <s v="Egypt"/>
    <x v="37"/>
    <x v="188"/>
    <x v="188"/>
    <d v="2025-06-23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30:00"/>
    <d v="1899-12-30T16:45:00"/>
    <n v="0"/>
    <x v="1"/>
  </r>
  <r>
    <x v="0"/>
    <s v="Egypt"/>
    <x v="37"/>
    <x v="188"/>
    <x v="188"/>
    <m/>
    <m/>
    <s v="Break 30 Morning"/>
    <d v="1899-12-30T18:45:00"/>
    <d v="1899-12-30T19:15:00"/>
    <n v="0"/>
    <x v="1"/>
  </r>
  <r>
    <x v="0"/>
    <s v="Egypt"/>
    <x v="37"/>
    <x v="188"/>
    <x v="188"/>
    <d v="2025-06-24T00:00:00"/>
    <d v="1899-12-30T08:15:00"/>
    <s v="Non Telecom Assyot"/>
    <d v="1899-12-30T14:00:00"/>
    <d v="1899-12-30T22:15:00"/>
    <n v="29700"/>
    <x v="0"/>
  </r>
  <r>
    <x v="0"/>
    <s v="Egypt"/>
    <x v="37"/>
    <x v="188"/>
    <x v="188"/>
    <m/>
    <m/>
    <s v="Break 15 Morning"/>
    <d v="1899-12-30T16:30:00"/>
    <d v="1899-12-30T16:45:00"/>
    <n v="0"/>
    <x v="1"/>
  </r>
  <r>
    <x v="0"/>
    <s v="Egypt"/>
    <x v="37"/>
    <x v="188"/>
    <x v="188"/>
    <m/>
    <m/>
    <s v="Break 30 Morning"/>
    <d v="1899-12-30T19:15:00"/>
    <d v="1899-12-30T19:45:00"/>
    <n v="0"/>
    <x v="1"/>
  </r>
  <r>
    <x v="0"/>
    <s v="Egypt"/>
    <x v="37"/>
    <x v="188"/>
    <x v="188"/>
    <d v="2025-06-25T00:00:00"/>
    <m/>
    <s v="Day Off"/>
    <m/>
    <m/>
    <n v="0"/>
    <x v="1"/>
  </r>
  <r>
    <x v="0"/>
    <s v="Egypt"/>
    <x v="37"/>
    <x v="188"/>
    <x v="188"/>
    <d v="2025-06-26T00:00:00"/>
    <m/>
    <s v="Day Off"/>
    <m/>
    <m/>
    <n v="0"/>
    <x v="1"/>
  </r>
  <r>
    <x v="0"/>
    <s v="Egypt"/>
    <x v="37"/>
    <x v="188"/>
    <x v="188"/>
    <d v="2025-06-27T00:00:00"/>
    <d v="1899-12-30T08:15:00"/>
    <s v="Annual"/>
    <m/>
    <m/>
    <n v="29700"/>
    <x v="1"/>
  </r>
  <r>
    <x v="0"/>
    <s v="Egypt"/>
    <x v="37"/>
    <x v="188"/>
    <x v="188"/>
    <d v="2025-06-28T00:00:00"/>
    <d v="1899-12-30T08:15:00"/>
    <s v="Annual"/>
    <m/>
    <m/>
    <n v="29700"/>
    <x v="1"/>
  </r>
  <r>
    <x v="0"/>
    <s v="Egypt"/>
    <x v="37"/>
    <x v="188"/>
    <x v="188"/>
    <d v="2025-06-29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15:00"/>
    <d v="1899-12-30T20:30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8"/>
    <x v="188"/>
    <d v="2025-06-30T00:00:00"/>
    <d v="1899-12-30T08:15:00"/>
    <s v="Non Telecom Assyot"/>
    <d v="1899-12-30T17:15:00"/>
    <s v="+1:30 AM"/>
    <n v="29700"/>
    <x v="0"/>
  </r>
  <r>
    <x v="0"/>
    <s v="Egypt"/>
    <x v="37"/>
    <x v="188"/>
    <x v="188"/>
    <m/>
    <m/>
    <s v="Break 15 Night"/>
    <d v="1899-12-30T20:00:00"/>
    <d v="1899-12-30T20:15:00"/>
    <n v="0"/>
    <x v="1"/>
  </r>
  <r>
    <x v="0"/>
    <s v="Egypt"/>
    <x v="37"/>
    <x v="188"/>
    <x v="188"/>
    <m/>
    <m/>
    <s v="Break 30 Night"/>
    <d v="1899-12-30T23:00:00"/>
    <d v="1899-12-30T23:30:00"/>
    <n v="0"/>
    <x v="1"/>
  </r>
  <r>
    <x v="0"/>
    <s v="Egypt"/>
    <x v="37"/>
    <x v="189"/>
    <x v="189"/>
    <d v="2025-06-05T00:00:00"/>
    <d v="1899-12-30T08:15:00"/>
    <s v="Public holiday"/>
    <m/>
    <m/>
    <n v="29700"/>
    <x v="1"/>
  </r>
  <r>
    <x v="0"/>
    <s v="Egypt"/>
    <x v="37"/>
    <x v="189"/>
    <x v="189"/>
    <d v="2025-06-06T00:00:00"/>
    <m/>
    <s v="Day Off"/>
    <m/>
    <m/>
    <n v="0"/>
    <x v="1"/>
  </r>
  <r>
    <x v="0"/>
    <s v="Egypt"/>
    <x v="37"/>
    <x v="189"/>
    <x v="189"/>
    <d v="2025-06-07T00:00:00"/>
    <m/>
    <s v="Day Off"/>
    <m/>
    <m/>
    <n v="0"/>
    <x v="1"/>
  </r>
  <r>
    <x v="0"/>
    <s v="Egypt"/>
    <x v="37"/>
    <x v="189"/>
    <x v="189"/>
    <d v="2025-06-08T00:00:00"/>
    <d v="1899-12-30T08:15:00"/>
    <s v="Public holiday"/>
    <m/>
    <m/>
    <n v="29700"/>
    <x v="1"/>
  </r>
  <r>
    <x v="0"/>
    <s v="Egypt"/>
    <x v="37"/>
    <x v="189"/>
    <x v="189"/>
    <d v="2025-06-09T00:00:00"/>
    <m/>
    <s v="Day Off"/>
    <m/>
    <m/>
    <n v="0"/>
    <x v="1"/>
  </r>
  <r>
    <x v="0"/>
    <s v="Egypt"/>
    <x v="37"/>
    <x v="189"/>
    <x v="189"/>
    <d v="2025-06-10T00:00:00"/>
    <m/>
    <s v="Day Off"/>
    <m/>
    <m/>
    <n v="0"/>
    <x v="1"/>
  </r>
  <r>
    <x v="0"/>
    <s v="Egypt"/>
    <x v="37"/>
    <x v="189"/>
    <x v="189"/>
    <d v="2025-06-11T00:00:00"/>
    <d v="1899-12-30T08:15:00"/>
    <s v="Non Telecom Assyot"/>
    <d v="1899-12-30T11:00:00"/>
    <d v="1899-12-30T19:15:00"/>
    <n v="29700"/>
    <x v="0"/>
  </r>
  <r>
    <x v="0"/>
    <s v="Egypt"/>
    <x v="37"/>
    <x v="189"/>
    <x v="189"/>
    <m/>
    <m/>
    <s v="Break 15 Morning"/>
    <d v="1899-12-30T13:45:00"/>
    <d v="1899-12-30T14:00:00"/>
    <n v="0"/>
    <x v="1"/>
  </r>
  <r>
    <x v="0"/>
    <s v="Egypt"/>
    <x v="37"/>
    <x v="189"/>
    <x v="189"/>
    <m/>
    <m/>
    <s v="One to One"/>
    <d v="1899-12-30T15:45:00"/>
    <d v="1899-12-30T16:00:00"/>
    <n v="0"/>
    <x v="1"/>
  </r>
  <r>
    <x v="0"/>
    <s v="Egypt"/>
    <x v="37"/>
    <x v="189"/>
    <x v="189"/>
    <m/>
    <m/>
    <s v="Break 30 Morning"/>
    <d v="1899-12-30T16:45:00"/>
    <d v="1899-12-30T17:15:00"/>
    <n v="0"/>
    <x v="1"/>
  </r>
  <r>
    <x v="0"/>
    <s v="Egypt"/>
    <x v="37"/>
    <x v="189"/>
    <x v="189"/>
    <d v="2025-06-12T00:00:00"/>
    <d v="1899-12-30T08:15:00"/>
    <s v="Non Telecom Assyot"/>
    <d v="1899-12-30T11:00:00"/>
    <d v="1899-12-30T19:15:00"/>
    <n v="29700"/>
    <x v="0"/>
  </r>
  <r>
    <x v="0"/>
    <s v="Egypt"/>
    <x v="37"/>
    <x v="189"/>
    <x v="189"/>
    <m/>
    <m/>
    <s v="Break 15 Morning"/>
    <d v="1899-12-30T13:30:00"/>
    <d v="1899-12-30T13:45:00"/>
    <n v="0"/>
    <x v="1"/>
  </r>
  <r>
    <x v="0"/>
    <s v="Egypt"/>
    <x v="37"/>
    <x v="189"/>
    <x v="189"/>
    <m/>
    <m/>
    <s v="One to One"/>
    <d v="1899-12-30T15:45:00"/>
    <d v="1899-12-30T16:00:00"/>
    <n v="0"/>
    <x v="1"/>
  </r>
  <r>
    <x v="0"/>
    <s v="Egypt"/>
    <x v="37"/>
    <x v="189"/>
    <x v="189"/>
    <m/>
    <m/>
    <s v="Break 30 Morning"/>
    <d v="1899-12-30T16:45:00"/>
    <d v="1899-12-30T17:15:00"/>
    <n v="0"/>
    <x v="1"/>
  </r>
  <r>
    <x v="0"/>
    <s v="Egypt"/>
    <x v="37"/>
    <x v="189"/>
    <x v="189"/>
    <d v="2025-06-13T00:00:00"/>
    <d v="1899-12-30T08:15:00"/>
    <s v="Non Telecom Assyot"/>
    <d v="1899-12-30T11:00:00"/>
    <d v="1899-12-30T19:15:00"/>
    <n v="29700"/>
    <x v="0"/>
  </r>
  <r>
    <x v="0"/>
    <s v="Egypt"/>
    <x v="37"/>
    <x v="189"/>
    <x v="189"/>
    <m/>
    <m/>
    <s v="Friday Pray"/>
    <d v="1899-12-30T12:55:00"/>
    <d v="1899-12-30T13:50:00"/>
    <n v="0"/>
    <x v="1"/>
  </r>
  <r>
    <x v="0"/>
    <s v="Egypt"/>
    <x v="37"/>
    <x v="189"/>
    <x v="189"/>
    <m/>
    <m/>
    <s v="Break 15 Morning"/>
    <d v="1899-12-30T14:00:00"/>
    <d v="1899-12-30T14:15:00"/>
    <n v="0"/>
    <x v="1"/>
  </r>
  <r>
    <x v="0"/>
    <s v="Egypt"/>
    <x v="37"/>
    <x v="189"/>
    <x v="189"/>
    <m/>
    <m/>
    <s v="One to One"/>
    <d v="1899-12-30T15:15:00"/>
    <d v="1899-12-30T15:30:00"/>
    <n v="0"/>
    <x v="1"/>
  </r>
  <r>
    <x v="0"/>
    <s v="Egypt"/>
    <x v="37"/>
    <x v="189"/>
    <x v="189"/>
    <m/>
    <m/>
    <s v="Break 30 Morning"/>
    <d v="1899-12-30T16:30:00"/>
    <d v="1899-12-30T17:00:00"/>
    <n v="0"/>
    <x v="1"/>
  </r>
  <r>
    <x v="0"/>
    <s v="Egypt"/>
    <x v="37"/>
    <x v="189"/>
    <x v="189"/>
    <d v="2025-06-14T00:00:00"/>
    <d v="1899-12-30T08:15:00"/>
    <s v="Non Telecom Assyot"/>
    <d v="1899-12-30T11:00:00"/>
    <d v="1899-12-30T19:15:00"/>
    <n v="29700"/>
    <x v="0"/>
  </r>
  <r>
    <x v="0"/>
    <s v="Egypt"/>
    <x v="37"/>
    <x v="189"/>
    <x v="189"/>
    <m/>
    <m/>
    <s v="Break 15 Morning"/>
    <d v="1899-12-30T13:45:00"/>
    <d v="1899-12-30T14:00:00"/>
    <n v="0"/>
    <x v="1"/>
  </r>
  <r>
    <x v="0"/>
    <s v="Egypt"/>
    <x v="37"/>
    <x v="189"/>
    <x v="189"/>
    <m/>
    <m/>
    <s v="One to One"/>
    <d v="1899-12-30T16:00:00"/>
    <d v="1899-12-30T16:15:00"/>
    <n v="0"/>
    <x v="1"/>
  </r>
  <r>
    <x v="0"/>
    <s v="Egypt"/>
    <x v="37"/>
    <x v="189"/>
    <x v="189"/>
    <m/>
    <m/>
    <s v="Break 30 Morning"/>
    <d v="1899-12-30T16:45:00"/>
    <d v="1899-12-30T17:15:00"/>
    <n v="0"/>
    <x v="1"/>
  </r>
  <r>
    <x v="0"/>
    <s v="Egypt"/>
    <x v="37"/>
    <x v="189"/>
    <x v="189"/>
    <d v="2025-06-15T00:00:00"/>
    <d v="1899-12-30T08:15:00"/>
    <s v="Non Telecom Assyot"/>
    <d v="1899-12-30T11:00:00"/>
    <d v="1899-12-30T19:15:00"/>
    <n v="29700"/>
    <x v="0"/>
  </r>
  <r>
    <x v="0"/>
    <s v="Egypt"/>
    <x v="37"/>
    <x v="189"/>
    <x v="189"/>
    <m/>
    <m/>
    <s v="Break 15 Morning"/>
    <d v="1899-12-30T13:15:00"/>
    <d v="1899-12-30T13:30:00"/>
    <n v="0"/>
    <x v="1"/>
  </r>
  <r>
    <x v="0"/>
    <s v="Egypt"/>
    <x v="37"/>
    <x v="189"/>
    <x v="189"/>
    <m/>
    <m/>
    <s v="Break 30 Morning"/>
    <d v="1899-12-30T16:45:00"/>
    <d v="1899-12-30T17:15:00"/>
    <n v="0"/>
    <x v="1"/>
  </r>
  <r>
    <x v="0"/>
    <s v="Egypt"/>
    <x v="37"/>
    <x v="189"/>
    <x v="189"/>
    <d v="2025-06-16T00:00:00"/>
    <m/>
    <s v="Day Off"/>
    <m/>
    <m/>
    <n v="0"/>
    <x v="1"/>
  </r>
  <r>
    <x v="0"/>
    <s v="Egypt"/>
    <x v="37"/>
    <x v="189"/>
    <x v="189"/>
    <d v="2025-06-17T00:00:00"/>
    <m/>
    <s v="Day Off"/>
    <m/>
    <m/>
    <n v="0"/>
    <x v="1"/>
  </r>
  <r>
    <x v="0"/>
    <s v="Egypt"/>
    <x v="37"/>
    <x v="189"/>
    <x v="189"/>
    <d v="2025-06-18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00:00"/>
    <d v="1899-12-30T20:15:00"/>
    <n v="0"/>
    <x v="1"/>
  </r>
  <r>
    <x v="0"/>
    <s v="Egypt"/>
    <x v="37"/>
    <x v="189"/>
    <x v="189"/>
    <m/>
    <m/>
    <s v="Break 30 Night"/>
    <d v="1899-12-30T22:45:00"/>
    <d v="1899-12-30T23:15:00"/>
    <n v="0"/>
    <x v="1"/>
  </r>
  <r>
    <x v="0"/>
    <s v="Egypt"/>
    <x v="37"/>
    <x v="189"/>
    <x v="189"/>
    <d v="2025-06-19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00:00"/>
    <d v="1899-12-30T20:15:00"/>
    <n v="0"/>
    <x v="1"/>
  </r>
  <r>
    <x v="0"/>
    <s v="Egypt"/>
    <x v="37"/>
    <x v="189"/>
    <x v="189"/>
    <m/>
    <m/>
    <s v="Break 30 Night"/>
    <d v="1899-12-30T23:00:00"/>
    <d v="1899-12-30T23:30:00"/>
    <n v="0"/>
    <x v="1"/>
  </r>
  <r>
    <x v="0"/>
    <s v="Egypt"/>
    <x v="37"/>
    <x v="189"/>
    <x v="189"/>
    <d v="2025-06-20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15:00"/>
    <d v="1899-12-30T20:30:00"/>
    <n v="0"/>
    <x v="1"/>
  </r>
  <r>
    <x v="0"/>
    <s v="Egypt"/>
    <x v="37"/>
    <x v="189"/>
    <x v="189"/>
    <m/>
    <m/>
    <s v="Break 30 Night"/>
    <d v="1899-12-30T23:15:00"/>
    <d v="1899-12-30T23:45:00"/>
    <n v="0"/>
    <x v="1"/>
  </r>
  <r>
    <x v="0"/>
    <s v="Egypt"/>
    <x v="37"/>
    <x v="189"/>
    <x v="189"/>
    <d v="2025-06-21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15:00"/>
    <d v="1899-12-30T20:30:00"/>
    <n v="0"/>
    <x v="1"/>
  </r>
  <r>
    <x v="0"/>
    <s v="Egypt"/>
    <x v="37"/>
    <x v="189"/>
    <x v="189"/>
    <m/>
    <m/>
    <s v="Break 30 Night"/>
    <d v="1899-12-30T23:30:00"/>
    <s v="+12:00 AM"/>
    <n v="0"/>
    <x v="1"/>
  </r>
  <r>
    <x v="0"/>
    <s v="Egypt"/>
    <x v="37"/>
    <x v="189"/>
    <x v="189"/>
    <d v="2025-06-22T00:00:00"/>
    <m/>
    <s v="Day Off"/>
    <m/>
    <m/>
    <n v="0"/>
    <x v="1"/>
  </r>
  <r>
    <x v="0"/>
    <s v="Egypt"/>
    <x v="37"/>
    <x v="189"/>
    <x v="189"/>
    <d v="2025-06-23T00:00:00"/>
    <d v="1899-12-30T08:15:00"/>
    <s v="No show"/>
    <d v="1899-12-30T14:00:00"/>
    <d v="1899-12-30T22:15:00"/>
    <n v="29700"/>
    <x v="1"/>
  </r>
  <r>
    <x v="0"/>
    <s v="Egypt"/>
    <x v="37"/>
    <x v="189"/>
    <x v="189"/>
    <d v="2025-06-24T00:00:00"/>
    <d v="1899-12-30T08:15:00"/>
    <s v="Non Telecom Assyot"/>
    <d v="1899-12-30T14:00:00"/>
    <d v="1899-12-30T22:15:00"/>
    <n v="29700"/>
    <x v="0"/>
  </r>
  <r>
    <x v="0"/>
    <s v="Egypt"/>
    <x v="37"/>
    <x v="189"/>
    <x v="189"/>
    <m/>
    <m/>
    <s v="Break 15 Morning"/>
    <d v="1899-12-30T16:45:00"/>
    <d v="1899-12-30T17:00:00"/>
    <n v="0"/>
    <x v="1"/>
  </r>
  <r>
    <x v="0"/>
    <s v="Egypt"/>
    <x v="37"/>
    <x v="189"/>
    <x v="189"/>
    <m/>
    <m/>
    <s v="Break 30 Morning"/>
    <d v="1899-12-30T19:15:00"/>
    <d v="1899-12-30T19:45:00"/>
    <n v="0"/>
    <x v="1"/>
  </r>
  <r>
    <x v="0"/>
    <s v="Egypt"/>
    <x v="37"/>
    <x v="189"/>
    <x v="189"/>
    <d v="2025-06-25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15:00"/>
    <d v="1899-12-30T20:30:00"/>
    <n v="0"/>
    <x v="1"/>
  </r>
  <r>
    <x v="0"/>
    <s v="Egypt"/>
    <x v="37"/>
    <x v="189"/>
    <x v="189"/>
    <m/>
    <m/>
    <s v="Break 30 Night"/>
    <d v="1899-12-30T23:00:00"/>
    <d v="1899-12-30T23:30:00"/>
    <n v="0"/>
    <x v="1"/>
  </r>
  <r>
    <x v="0"/>
    <s v="Egypt"/>
    <x v="37"/>
    <x v="189"/>
    <x v="189"/>
    <d v="2025-06-26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15:00"/>
    <d v="1899-12-30T20:30:00"/>
    <n v="0"/>
    <x v="1"/>
  </r>
  <r>
    <x v="0"/>
    <s v="Egypt"/>
    <x v="37"/>
    <x v="189"/>
    <x v="189"/>
    <m/>
    <m/>
    <s v="Break 30 Night"/>
    <d v="1899-12-30T23:30:00"/>
    <s v="+12:00 AM"/>
    <n v="0"/>
    <x v="1"/>
  </r>
  <r>
    <x v="0"/>
    <s v="Egypt"/>
    <x v="37"/>
    <x v="189"/>
    <x v="189"/>
    <d v="2025-06-27T00:00:00"/>
    <d v="1899-12-30T08:15:00"/>
    <s v="No show"/>
    <d v="1899-12-30T14:00:00"/>
    <d v="1899-12-30T22:15:00"/>
    <n v="29700"/>
    <x v="1"/>
  </r>
  <r>
    <x v="0"/>
    <s v="Egypt"/>
    <x v="37"/>
    <x v="189"/>
    <x v="189"/>
    <d v="2025-06-28T00:00:00"/>
    <m/>
    <s v="Day Off"/>
    <m/>
    <m/>
    <n v="0"/>
    <x v="1"/>
  </r>
  <r>
    <x v="0"/>
    <s v="Egypt"/>
    <x v="37"/>
    <x v="189"/>
    <x v="189"/>
    <d v="2025-06-29T00:00:00"/>
    <d v="1899-12-30T08:15:00"/>
    <s v="Non Telecom Assyot"/>
    <d v="1899-12-30T14:00:00"/>
    <d v="1899-12-30T22:15:00"/>
    <n v="29700"/>
    <x v="0"/>
  </r>
  <r>
    <x v="0"/>
    <s v="Egypt"/>
    <x v="37"/>
    <x v="189"/>
    <x v="189"/>
    <m/>
    <m/>
    <s v="Break 15 Morning"/>
    <d v="1899-12-30T15:45:00"/>
    <d v="1899-12-30T16:00:00"/>
    <n v="0"/>
    <x v="1"/>
  </r>
  <r>
    <x v="0"/>
    <s v="Egypt"/>
    <x v="37"/>
    <x v="189"/>
    <x v="189"/>
    <m/>
    <m/>
    <s v="Break 30 Morning"/>
    <d v="1899-12-30T19:15:00"/>
    <d v="1899-12-30T19:45:00"/>
    <n v="0"/>
    <x v="1"/>
  </r>
  <r>
    <x v="0"/>
    <s v="Egypt"/>
    <x v="37"/>
    <x v="189"/>
    <x v="189"/>
    <d v="2025-06-30T00:00:00"/>
    <d v="1899-12-30T08:15:00"/>
    <s v="Non Telecom Assyot"/>
    <d v="1899-12-30T17:15:00"/>
    <s v="+1:30 AM"/>
    <n v="29700"/>
    <x v="0"/>
  </r>
  <r>
    <x v="0"/>
    <s v="Egypt"/>
    <x v="37"/>
    <x v="189"/>
    <x v="189"/>
    <m/>
    <m/>
    <s v="Break 15 Night"/>
    <d v="1899-12-30T20:30:00"/>
    <d v="1899-12-30T20:45:00"/>
    <n v="0"/>
    <x v="1"/>
  </r>
  <r>
    <x v="0"/>
    <s v="Egypt"/>
    <x v="37"/>
    <x v="189"/>
    <x v="189"/>
    <m/>
    <m/>
    <s v="Break 30 Night"/>
    <s v="+12:00 AM"/>
    <s v="+12:30 AM"/>
    <n v="0"/>
    <x v="1"/>
  </r>
  <r>
    <x v="0"/>
    <s v="Egypt"/>
    <x v="37"/>
    <x v="190"/>
    <x v="190"/>
    <d v="2025-06-05T00:00:00"/>
    <d v="1899-12-30T08:15:00"/>
    <s v="Public holiday"/>
    <m/>
    <m/>
    <n v="29700"/>
    <x v="1"/>
  </r>
  <r>
    <x v="0"/>
    <s v="Egypt"/>
    <x v="37"/>
    <x v="190"/>
    <x v="190"/>
    <d v="2025-06-06T00:00:00"/>
    <m/>
    <s v="Day Off"/>
    <m/>
    <m/>
    <n v="0"/>
    <x v="1"/>
  </r>
  <r>
    <x v="0"/>
    <s v="Egypt"/>
    <x v="37"/>
    <x v="190"/>
    <x v="190"/>
    <d v="2025-06-07T00:00:00"/>
    <m/>
    <s v="Day Off"/>
    <m/>
    <m/>
    <n v="0"/>
    <x v="1"/>
  </r>
  <r>
    <x v="0"/>
    <s v="Egypt"/>
    <x v="37"/>
    <x v="190"/>
    <x v="190"/>
    <d v="2025-06-08T00:00:00"/>
    <d v="1899-12-30T08:15:00"/>
    <s v="Public holiday"/>
    <m/>
    <m/>
    <n v="29700"/>
    <x v="1"/>
  </r>
  <r>
    <x v="0"/>
    <s v="Egypt"/>
    <x v="37"/>
    <x v="190"/>
    <x v="190"/>
    <d v="2025-06-09T00:00:00"/>
    <m/>
    <s v="Day Off"/>
    <m/>
    <m/>
    <n v="0"/>
    <x v="1"/>
  </r>
  <r>
    <x v="0"/>
    <s v="Egypt"/>
    <x v="37"/>
    <x v="190"/>
    <x v="190"/>
    <d v="2025-06-10T00:00:00"/>
    <m/>
    <s v="Day Off"/>
    <m/>
    <m/>
    <n v="0"/>
    <x v="1"/>
  </r>
  <r>
    <x v="0"/>
    <s v="Egypt"/>
    <x v="37"/>
    <x v="190"/>
    <x v="190"/>
    <d v="2025-06-11T00:00:00"/>
    <d v="1899-12-30T08:15:00"/>
    <s v="Non Telecom Assyot"/>
    <d v="1899-12-30T11:00:00"/>
    <d v="1899-12-30T19:15:00"/>
    <n v="29700"/>
    <x v="0"/>
  </r>
  <r>
    <x v="0"/>
    <s v="Egypt"/>
    <x v="37"/>
    <x v="190"/>
    <x v="190"/>
    <m/>
    <m/>
    <s v="Break 15 Morning"/>
    <d v="1899-12-30T14:30:00"/>
    <d v="1899-12-30T14:45:00"/>
    <n v="0"/>
    <x v="1"/>
  </r>
  <r>
    <x v="0"/>
    <s v="Egypt"/>
    <x v="37"/>
    <x v="190"/>
    <x v="190"/>
    <m/>
    <m/>
    <s v="One to One"/>
    <d v="1899-12-30T17:30:00"/>
    <d v="1899-12-30T17:45:00"/>
    <n v="0"/>
    <x v="1"/>
  </r>
  <r>
    <x v="0"/>
    <s v="Egypt"/>
    <x v="37"/>
    <x v="190"/>
    <x v="190"/>
    <m/>
    <m/>
    <s v="Break 30 Morning"/>
    <d v="1899-12-30T17:45:00"/>
    <d v="1899-12-30T18:15:00"/>
    <n v="0"/>
    <x v="1"/>
  </r>
  <r>
    <x v="0"/>
    <s v="Egypt"/>
    <x v="37"/>
    <x v="190"/>
    <x v="190"/>
    <d v="2025-06-12T00:00:00"/>
    <d v="1899-12-30T08:15:00"/>
    <s v="Non Telecom Assyot"/>
    <d v="1899-12-30T11:00:00"/>
    <d v="1899-12-30T19:15:00"/>
    <n v="29700"/>
    <x v="0"/>
  </r>
  <r>
    <x v="0"/>
    <s v="Egypt"/>
    <x v="37"/>
    <x v="190"/>
    <x v="190"/>
    <m/>
    <m/>
    <s v="Break 15 Morning"/>
    <d v="1899-12-30T14:30:00"/>
    <d v="1899-12-30T14:45:00"/>
    <n v="0"/>
    <x v="1"/>
  </r>
  <r>
    <x v="0"/>
    <s v="Egypt"/>
    <x v="37"/>
    <x v="190"/>
    <x v="190"/>
    <m/>
    <m/>
    <s v="One to One"/>
    <d v="1899-12-30T17:30:00"/>
    <d v="1899-12-30T17:45:00"/>
    <n v="0"/>
    <x v="1"/>
  </r>
  <r>
    <x v="0"/>
    <s v="Egypt"/>
    <x v="37"/>
    <x v="190"/>
    <x v="190"/>
    <m/>
    <m/>
    <s v="Break 30 Morning"/>
    <d v="1899-12-30T17:45:00"/>
    <d v="1899-12-30T18:15:00"/>
    <n v="0"/>
    <x v="1"/>
  </r>
  <r>
    <x v="0"/>
    <s v="Egypt"/>
    <x v="37"/>
    <x v="190"/>
    <x v="190"/>
    <d v="2025-06-13T00:00:00"/>
    <d v="1899-12-30T08:15:00"/>
    <s v="Non Telecom Assyot"/>
    <d v="1899-12-30T11:00:00"/>
    <d v="1899-12-30T19:15:00"/>
    <n v="29700"/>
    <x v="0"/>
  </r>
  <r>
    <x v="0"/>
    <s v="Egypt"/>
    <x v="37"/>
    <x v="190"/>
    <x v="190"/>
    <m/>
    <m/>
    <s v="Friday Pray"/>
    <d v="1899-12-30T12:55:00"/>
    <d v="1899-12-30T13:50:00"/>
    <n v="0"/>
    <x v="1"/>
  </r>
  <r>
    <x v="0"/>
    <s v="Egypt"/>
    <x v="37"/>
    <x v="190"/>
    <x v="190"/>
    <m/>
    <m/>
    <s v="Break 15 Morning"/>
    <d v="1899-12-30T14:30:00"/>
    <d v="1899-12-30T14:45:00"/>
    <n v="0"/>
    <x v="1"/>
  </r>
  <r>
    <x v="0"/>
    <s v="Egypt"/>
    <x v="37"/>
    <x v="190"/>
    <x v="190"/>
    <m/>
    <m/>
    <s v="One to One"/>
    <d v="1899-12-30T17:00:00"/>
    <d v="1899-12-30T17:15:00"/>
    <n v="0"/>
    <x v="1"/>
  </r>
  <r>
    <x v="0"/>
    <s v="Egypt"/>
    <x v="37"/>
    <x v="190"/>
    <x v="190"/>
    <m/>
    <m/>
    <s v="Break 30 Morning"/>
    <d v="1899-12-30T17:45:00"/>
    <d v="1899-12-30T18:15:00"/>
    <n v="0"/>
    <x v="1"/>
  </r>
  <r>
    <x v="0"/>
    <s v="Egypt"/>
    <x v="37"/>
    <x v="190"/>
    <x v="190"/>
    <d v="2025-06-14T00:00:00"/>
    <d v="1899-12-30T08:15:00"/>
    <s v="Non Telecom Assyot"/>
    <d v="1899-12-30T11:00:00"/>
    <d v="1899-12-30T19:15:00"/>
    <n v="29700"/>
    <x v="0"/>
  </r>
  <r>
    <x v="0"/>
    <s v="Egypt"/>
    <x v="37"/>
    <x v="190"/>
    <x v="190"/>
    <m/>
    <m/>
    <s v="Break 15 Morning"/>
    <d v="1899-12-30T14:30:00"/>
    <d v="1899-12-30T14:45:00"/>
    <n v="0"/>
    <x v="1"/>
  </r>
  <r>
    <x v="0"/>
    <s v="Egypt"/>
    <x v="37"/>
    <x v="190"/>
    <x v="190"/>
    <m/>
    <m/>
    <s v="Break 30 Morning"/>
    <d v="1899-12-30T17:45:00"/>
    <d v="1899-12-30T18:15:00"/>
    <n v="0"/>
    <x v="1"/>
  </r>
  <r>
    <x v="0"/>
    <s v="Egypt"/>
    <x v="37"/>
    <x v="190"/>
    <x v="190"/>
    <m/>
    <m/>
    <s v="One to One"/>
    <d v="1899-12-30T18:15:00"/>
    <d v="1899-12-30T18:30:00"/>
    <n v="0"/>
    <x v="1"/>
  </r>
  <r>
    <x v="0"/>
    <s v="Egypt"/>
    <x v="37"/>
    <x v="190"/>
    <x v="190"/>
    <d v="2025-06-15T00:00:00"/>
    <d v="1899-12-30T08:15:00"/>
    <s v="Non Telecom Assyot"/>
    <d v="1899-12-30T11:00:00"/>
    <d v="1899-12-30T19:15:00"/>
    <n v="29700"/>
    <x v="0"/>
  </r>
  <r>
    <x v="0"/>
    <s v="Egypt"/>
    <x v="37"/>
    <x v="190"/>
    <x v="190"/>
    <m/>
    <m/>
    <s v="Break 15 Morning"/>
    <d v="1899-12-30T14:30:00"/>
    <d v="1899-12-30T14:45:00"/>
    <n v="0"/>
    <x v="1"/>
  </r>
  <r>
    <x v="0"/>
    <s v="Egypt"/>
    <x v="37"/>
    <x v="190"/>
    <x v="190"/>
    <m/>
    <m/>
    <s v="Break 30 Morning"/>
    <d v="1899-12-30T17:45:00"/>
    <d v="1899-12-30T18:15:00"/>
    <n v="0"/>
    <x v="1"/>
  </r>
  <r>
    <x v="0"/>
    <s v="Egypt"/>
    <x v="37"/>
    <x v="190"/>
    <x v="190"/>
    <d v="2025-06-16T00:00:00"/>
    <m/>
    <s v="Day Off"/>
    <m/>
    <m/>
    <n v="0"/>
    <x v="1"/>
  </r>
  <r>
    <x v="0"/>
    <s v="Egypt"/>
    <x v="37"/>
    <x v="190"/>
    <x v="190"/>
    <d v="2025-06-17T00:00:00"/>
    <m/>
    <s v="Day Off"/>
    <m/>
    <m/>
    <n v="0"/>
    <x v="1"/>
  </r>
  <r>
    <x v="0"/>
    <s v="Egypt"/>
    <x v="37"/>
    <x v="190"/>
    <x v="190"/>
    <d v="2025-06-18T00:00:00"/>
    <d v="1899-12-30T08:15:00"/>
    <s v="Non Telecom Assyot"/>
    <d v="1899-12-30T17:15:00"/>
    <s v="+1:30 AM"/>
    <n v="29700"/>
    <x v="0"/>
  </r>
  <r>
    <x v="0"/>
    <s v="Egypt"/>
    <x v="37"/>
    <x v="190"/>
    <x v="190"/>
    <m/>
    <m/>
    <s v="Break 15 Night"/>
    <d v="1899-12-30T20:45:00"/>
    <d v="1899-12-30T21:00:00"/>
    <n v="0"/>
    <x v="1"/>
  </r>
  <r>
    <x v="0"/>
    <s v="Egypt"/>
    <x v="37"/>
    <x v="190"/>
    <x v="190"/>
    <m/>
    <m/>
    <s v="Break 30 Night"/>
    <d v="1899-12-30T23:45:00"/>
    <s v="+12:15 AM"/>
    <n v="0"/>
    <x v="1"/>
  </r>
  <r>
    <x v="0"/>
    <s v="Egypt"/>
    <x v="37"/>
    <x v="190"/>
    <x v="190"/>
    <d v="2025-06-19T00:00:00"/>
    <d v="1899-12-30T08:15:00"/>
    <s v="Non Telecom Assyot"/>
    <d v="1899-12-30T17:15:00"/>
    <s v="+1:30 AM"/>
    <n v="29700"/>
    <x v="0"/>
  </r>
  <r>
    <x v="0"/>
    <s v="Egypt"/>
    <x v="37"/>
    <x v="190"/>
    <x v="190"/>
    <m/>
    <m/>
    <s v="Break 15 Night"/>
    <d v="1899-12-30T20:45:00"/>
    <d v="1899-12-30T21:00:00"/>
    <n v="0"/>
    <x v="1"/>
  </r>
  <r>
    <x v="0"/>
    <s v="Egypt"/>
    <x v="37"/>
    <x v="190"/>
    <x v="190"/>
    <m/>
    <m/>
    <s v="Break 30 Night"/>
    <d v="1899-12-30T23:45:00"/>
    <s v="+12:15 AM"/>
    <n v="0"/>
    <x v="1"/>
  </r>
  <r>
    <x v="0"/>
    <s v="Egypt"/>
    <x v="37"/>
    <x v="190"/>
    <x v="190"/>
    <d v="2025-06-20T00:00:00"/>
    <d v="1899-12-30T08:15:00"/>
    <s v="Non Telecom Assyot"/>
    <d v="1899-12-30T17:15:00"/>
    <s v="+1:30 AM"/>
    <n v="29700"/>
    <x v="0"/>
  </r>
  <r>
    <x v="0"/>
    <s v="Egypt"/>
    <x v="37"/>
    <x v="190"/>
    <x v="190"/>
    <m/>
    <m/>
    <s v="Break 15 Night"/>
    <d v="1899-12-30T20:45:00"/>
    <d v="1899-12-30T21:00:00"/>
    <n v="0"/>
    <x v="1"/>
  </r>
  <r>
    <x v="0"/>
    <s v="Egypt"/>
    <x v="37"/>
    <x v="190"/>
    <x v="190"/>
    <m/>
    <m/>
    <s v="Break 30 Night"/>
    <d v="1899-12-30T23:45:00"/>
    <s v="+12:15 AM"/>
    <n v="0"/>
    <x v="1"/>
  </r>
  <r>
    <x v="0"/>
    <s v="Egypt"/>
    <x v="37"/>
    <x v="190"/>
    <x v="190"/>
    <d v="2025-06-21T00:00:00"/>
    <d v="1899-12-30T08:15:00"/>
    <s v="Non Telecom Assyot"/>
    <d v="1899-12-30T17:15:00"/>
    <s v="+1:30 AM"/>
    <n v="29700"/>
    <x v="0"/>
  </r>
  <r>
    <x v="0"/>
    <s v="Egypt"/>
    <x v="37"/>
    <x v="190"/>
    <x v="190"/>
    <m/>
    <m/>
    <s v="Break 15 Night"/>
    <d v="1899-12-30T20:45:00"/>
    <d v="1899-12-30T21:00:00"/>
    <n v="0"/>
    <x v="1"/>
  </r>
  <r>
    <x v="0"/>
    <s v="Egypt"/>
    <x v="37"/>
    <x v="190"/>
    <x v="190"/>
    <m/>
    <m/>
    <s v="Break 30 Night"/>
    <s v="+12:00 AM"/>
    <s v="+12:30 AM"/>
    <n v="0"/>
    <x v="1"/>
  </r>
  <r>
    <x v="0"/>
    <s v="Egypt"/>
    <x v="37"/>
    <x v="190"/>
    <x v="190"/>
    <d v="2025-06-22T00:00:00"/>
    <m/>
    <s v="Day Off"/>
    <m/>
    <m/>
    <n v="0"/>
    <x v="1"/>
  </r>
  <r>
    <x v="0"/>
    <s v="Egypt"/>
    <x v="37"/>
    <x v="190"/>
    <x v="190"/>
    <d v="2025-06-23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7:15:00"/>
    <d v="1899-12-30T17:30:00"/>
    <n v="0"/>
    <x v="1"/>
  </r>
  <r>
    <x v="0"/>
    <s v="Egypt"/>
    <x v="37"/>
    <x v="190"/>
    <x v="190"/>
    <m/>
    <m/>
    <s v="Break 30 Morning"/>
    <d v="1899-12-30T19:30:00"/>
    <d v="1899-12-30T20:00:00"/>
    <n v="0"/>
    <x v="1"/>
  </r>
  <r>
    <x v="0"/>
    <s v="Egypt"/>
    <x v="37"/>
    <x v="190"/>
    <x v="190"/>
    <d v="2025-06-24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7:45:00"/>
    <d v="1899-12-30T18:00:00"/>
    <n v="0"/>
    <x v="1"/>
  </r>
  <r>
    <x v="0"/>
    <s v="Egypt"/>
    <x v="37"/>
    <x v="190"/>
    <x v="190"/>
    <m/>
    <m/>
    <s v="Break 30 Morning"/>
    <d v="1899-12-30T20:15:00"/>
    <d v="1899-12-30T20:45:00"/>
    <n v="0"/>
    <x v="1"/>
  </r>
  <r>
    <x v="0"/>
    <s v="Egypt"/>
    <x v="37"/>
    <x v="190"/>
    <x v="190"/>
    <d v="2025-06-25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7:15:00"/>
    <d v="1899-12-30T17:30:00"/>
    <n v="0"/>
    <x v="1"/>
  </r>
  <r>
    <x v="0"/>
    <s v="Egypt"/>
    <x v="37"/>
    <x v="190"/>
    <x v="190"/>
    <m/>
    <m/>
    <s v="Break 30 Morning"/>
    <d v="1899-12-30T20:00:00"/>
    <d v="1899-12-30T20:30:00"/>
    <n v="0"/>
    <x v="1"/>
  </r>
  <r>
    <x v="0"/>
    <s v="Egypt"/>
    <x v="37"/>
    <x v="190"/>
    <x v="190"/>
    <d v="2025-06-26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6:45:00"/>
    <d v="1899-12-30T17:00:00"/>
    <n v="0"/>
    <x v="1"/>
  </r>
  <r>
    <x v="0"/>
    <s v="Egypt"/>
    <x v="37"/>
    <x v="190"/>
    <x v="190"/>
    <m/>
    <m/>
    <s v="Break 30 Morning"/>
    <d v="1899-12-30T20:00:00"/>
    <d v="1899-12-30T20:30:00"/>
    <n v="0"/>
    <x v="1"/>
  </r>
  <r>
    <x v="0"/>
    <s v="Egypt"/>
    <x v="37"/>
    <x v="190"/>
    <x v="190"/>
    <d v="2025-06-27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7:00:00"/>
    <d v="1899-12-30T17:15:00"/>
    <n v="0"/>
    <x v="1"/>
  </r>
  <r>
    <x v="0"/>
    <s v="Egypt"/>
    <x v="37"/>
    <x v="190"/>
    <x v="190"/>
    <m/>
    <m/>
    <s v="Break 30 Morning"/>
    <d v="1899-12-30T20:15:00"/>
    <d v="1899-12-30T20:45:00"/>
    <n v="0"/>
    <x v="1"/>
  </r>
  <r>
    <x v="0"/>
    <s v="Egypt"/>
    <x v="37"/>
    <x v="190"/>
    <x v="190"/>
    <d v="2025-06-28T00:00:00"/>
    <m/>
    <s v="Day Off"/>
    <m/>
    <m/>
    <n v="0"/>
    <x v="1"/>
  </r>
  <r>
    <x v="0"/>
    <s v="Egypt"/>
    <x v="37"/>
    <x v="190"/>
    <x v="190"/>
    <d v="2025-06-29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6:45:00"/>
    <d v="1899-12-30T17:00:00"/>
    <n v="0"/>
    <x v="1"/>
  </r>
  <r>
    <x v="0"/>
    <s v="Egypt"/>
    <x v="37"/>
    <x v="190"/>
    <x v="190"/>
    <m/>
    <m/>
    <s v="Break 30 Morning"/>
    <d v="1899-12-30T20:00:00"/>
    <d v="1899-12-30T20:30:00"/>
    <n v="0"/>
    <x v="1"/>
  </r>
  <r>
    <x v="0"/>
    <s v="Egypt"/>
    <x v="37"/>
    <x v="190"/>
    <x v="190"/>
    <d v="2025-06-30T00:00:00"/>
    <d v="1899-12-30T08:15:00"/>
    <s v="Non Telecom Assyot"/>
    <d v="1899-12-30T14:00:00"/>
    <d v="1899-12-30T22:15:00"/>
    <n v="29700"/>
    <x v="0"/>
  </r>
  <r>
    <x v="0"/>
    <s v="Egypt"/>
    <x v="37"/>
    <x v="190"/>
    <x v="190"/>
    <m/>
    <m/>
    <s v="Break 15 Morning"/>
    <d v="1899-12-30T17:30:00"/>
    <d v="1899-12-30T17:45:00"/>
    <n v="0"/>
    <x v="1"/>
  </r>
  <r>
    <x v="0"/>
    <s v="Egypt"/>
    <x v="37"/>
    <x v="190"/>
    <x v="190"/>
    <m/>
    <m/>
    <s v="Break 30 Morning"/>
    <d v="1899-12-30T20:30:00"/>
    <d v="1899-12-30T21:00:00"/>
    <n v="0"/>
    <x v="1"/>
  </r>
  <r>
    <x v="0"/>
    <s v="Egypt"/>
    <x v="38"/>
    <x v="191"/>
    <x v="191"/>
    <d v="2025-06-01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30:00"/>
    <d v="1899-12-30T13:45:00"/>
    <n v="0"/>
    <x v="1"/>
  </r>
  <r>
    <x v="0"/>
    <s v="Egypt"/>
    <x v="38"/>
    <x v="191"/>
    <x v="191"/>
    <m/>
    <m/>
    <s v="Break 30 Morning"/>
    <d v="1899-12-30T17:00:00"/>
    <d v="1899-12-30T17:30:00"/>
    <n v="0"/>
    <x v="1"/>
  </r>
  <r>
    <x v="0"/>
    <s v="Egypt"/>
    <x v="38"/>
    <x v="191"/>
    <x v="191"/>
    <d v="2025-06-02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15:00"/>
    <d v="1899-12-30T13:30:00"/>
    <n v="0"/>
    <x v="1"/>
  </r>
  <r>
    <x v="0"/>
    <s v="Egypt"/>
    <x v="38"/>
    <x v="191"/>
    <x v="191"/>
    <m/>
    <m/>
    <s v="Break 30 Morning"/>
    <d v="1899-12-30T16:45:00"/>
    <d v="1899-12-30T17:15:00"/>
    <n v="0"/>
    <x v="1"/>
  </r>
  <r>
    <x v="0"/>
    <s v="Egypt"/>
    <x v="38"/>
    <x v="191"/>
    <x v="191"/>
    <d v="2025-06-03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45:00"/>
    <d v="1899-12-30T14:00:00"/>
    <n v="0"/>
    <x v="1"/>
  </r>
  <r>
    <x v="0"/>
    <s v="Egypt"/>
    <x v="38"/>
    <x v="191"/>
    <x v="191"/>
    <m/>
    <m/>
    <s v="Break 30 Morning"/>
    <d v="1899-12-30T16:45:00"/>
    <d v="1899-12-30T17:15:00"/>
    <n v="0"/>
    <x v="1"/>
  </r>
  <r>
    <x v="0"/>
    <s v="Egypt"/>
    <x v="38"/>
    <x v="191"/>
    <x v="191"/>
    <d v="2025-06-04T00:00:00"/>
    <m/>
    <s v="Day Off"/>
    <m/>
    <m/>
    <n v="0"/>
    <x v="1"/>
  </r>
  <r>
    <x v="0"/>
    <s v="Egypt"/>
    <x v="38"/>
    <x v="191"/>
    <x v="191"/>
    <d v="2025-06-05T00:00:00"/>
    <m/>
    <s v="Day Off"/>
    <m/>
    <m/>
    <n v="0"/>
    <x v="1"/>
  </r>
  <r>
    <x v="0"/>
    <s v="Egypt"/>
    <x v="38"/>
    <x v="191"/>
    <x v="191"/>
    <d v="2025-06-06T00:00:00"/>
    <d v="1899-12-30T08:15:00"/>
    <s v="No show"/>
    <d v="1899-12-30T09:00:00"/>
    <d v="1899-12-30T17:15:00"/>
    <n v="29700"/>
    <x v="1"/>
  </r>
  <r>
    <x v="0"/>
    <s v="Egypt"/>
    <x v="38"/>
    <x v="191"/>
    <x v="191"/>
    <d v="2025-06-07T00:00:00"/>
    <d v="1899-12-30T08:15:00"/>
    <s v="No show"/>
    <d v="1899-12-30T11:00:00"/>
    <d v="1899-12-30T19:15:00"/>
    <n v="29700"/>
    <x v="1"/>
  </r>
  <r>
    <x v="0"/>
    <s v="Egypt"/>
    <x v="38"/>
    <x v="191"/>
    <x v="191"/>
    <d v="2025-06-08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30:00"/>
    <d v="1899-12-30T13:45:00"/>
    <n v="0"/>
    <x v="1"/>
  </r>
  <r>
    <x v="0"/>
    <s v="Egypt"/>
    <x v="38"/>
    <x v="191"/>
    <x v="191"/>
    <m/>
    <m/>
    <s v="Break 30 Morning"/>
    <d v="1899-12-30T16:45:00"/>
    <d v="1899-12-30T17:15:00"/>
    <n v="0"/>
    <x v="1"/>
  </r>
  <r>
    <x v="0"/>
    <s v="Egypt"/>
    <x v="38"/>
    <x v="191"/>
    <x v="191"/>
    <d v="2025-06-09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0:45:00"/>
    <d v="1899-12-30T11:00:00"/>
    <n v="0"/>
    <x v="1"/>
  </r>
  <r>
    <x v="0"/>
    <s v="Egypt"/>
    <x v="38"/>
    <x v="191"/>
    <x v="191"/>
    <m/>
    <m/>
    <s v="Break 30 Morning"/>
    <d v="1899-12-30T13:45:00"/>
    <d v="1899-12-30T14:15:00"/>
    <n v="0"/>
    <x v="1"/>
  </r>
  <r>
    <x v="0"/>
    <s v="Egypt"/>
    <x v="38"/>
    <x v="191"/>
    <x v="191"/>
    <d v="2025-06-10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00:00"/>
    <d v="1899-12-30T11:15:00"/>
    <n v="0"/>
    <x v="1"/>
  </r>
  <r>
    <x v="0"/>
    <s v="Egypt"/>
    <x v="38"/>
    <x v="191"/>
    <x v="191"/>
    <m/>
    <m/>
    <s v="Break 30 Morning"/>
    <d v="1899-12-30T14:15:00"/>
    <d v="1899-12-30T14:45:00"/>
    <n v="0"/>
    <x v="1"/>
  </r>
  <r>
    <x v="0"/>
    <s v="Egypt"/>
    <x v="38"/>
    <x v="191"/>
    <x v="191"/>
    <d v="2025-06-11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15:00"/>
    <d v="1899-12-30T11:30:00"/>
    <n v="0"/>
    <x v="1"/>
  </r>
  <r>
    <x v="0"/>
    <s v="Egypt"/>
    <x v="38"/>
    <x v="191"/>
    <x v="191"/>
    <m/>
    <m/>
    <s v="Break 30 Morning"/>
    <d v="1899-12-30T14:15:00"/>
    <d v="1899-12-30T14:45:00"/>
    <n v="0"/>
    <x v="1"/>
  </r>
  <r>
    <x v="0"/>
    <s v="Egypt"/>
    <x v="38"/>
    <x v="191"/>
    <x v="191"/>
    <d v="2025-06-12T00:00:00"/>
    <m/>
    <s v="Day Off"/>
    <m/>
    <m/>
    <n v="0"/>
    <x v="1"/>
  </r>
  <r>
    <x v="0"/>
    <s v="Egypt"/>
    <x v="38"/>
    <x v="191"/>
    <x v="191"/>
    <d v="2025-06-13T00:00:00"/>
    <m/>
    <s v="Day Off"/>
    <m/>
    <m/>
    <n v="0"/>
    <x v="1"/>
  </r>
  <r>
    <x v="0"/>
    <s v="Egypt"/>
    <x v="38"/>
    <x v="191"/>
    <x v="191"/>
    <d v="2025-06-14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30:00"/>
    <d v="1899-12-30T13:45:00"/>
    <n v="0"/>
    <x v="1"/>
  </r>
  <r>
    <x v="0"/>
    <s v="Egypt"/>
    <x v="38"/>
    <x v="191"/>
    <x v="191"/>
    <m/>
    <m/>
    <s v="Break 30 Morning"/>
    <d v="1899-12-30T16:45:00"/>
    <d v="1899-12-30T17:15:00"/>
    <n v="0"/>
    <x v="1"/>
  </r>
  <r>
    <x v="0"/>
    <s v="Egypt"/>
    <x v="38"/>
    <x v="191"/>
    <x v="191"/>
    <d v="2025-06-15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0:45:00"/>
    <d v="1899-12-30T11:00:00"/>
    <n v="0"/>
    <x v="1"/>
  </r>
  <r>
    <x v="0"/>
    <s v="Egypt"/>
    <x v="38"/>
    <x v="191"/>
    <x v="191"/>
    <m/>
    <m/>
    <s v="Break 30 Morning"/>
    <d v="1899-12-30T13:45:00"/>
    <d v="1899-12-30T14:15:00"/>
    <n v="0"/>
    <x v="1"/>
  </r>
  <r>
    <x v="0"/>
    <s v="Egypt"/>
    <x v="38"/>
    <x v="191"/>
    <x v="191"/>
    <d v="2025-06-16T00:00:00"/>
    <d v="1899-12-30T08:15:00"/>
    <s v="No show"/>
    <d v="1899-12-30T11:00:00"/>
    <d v="1899-12-30T19:15:00"/>
    <n v="29700"/>
    <x v="1"/>
  </r>
  <r>
    <x v="0"/>
    <s v="Egypt"/>
    <x v="38"/>
    <x v="191"/>
    <x v="191"/>
    <d v="2025-06-17T00:00:00"/>
    <m/>
    <s v="Day Off"/>
    <m/>
    <m/>
    <n v="0"/>
    <x v="1"/>
  </r>
  <r>
    <x v="0"/>
    <s v="Egypt"/>
    <x v="38"/>
    <x v="191"/>
    <x v="191"/>
    <d v="2025-06-18T00:00:00"/>
    <m/>
    <s v="Day Off"/>
    <m/>
    <m/>
    <n v="0"/>
    <x v="1"/>
  </r>
  <r>
    <x v="0"/>
    <s v="Egypt"/>
    <x v="38"/>
    <x v="191"/>
    <x v="191"/>
    <d v="2025-06-19T00:00:00"/>
    <m/>
    <s v="Day Off"/>
    <m/>
    <m/>
    <n v="0"/>
    <x v="1"/>
  </r>
  <r>
    <x v="0"/>
    <s v="Egypt"/>
    <x v="38"/>
    <x v="191"/>
    <x v="191"/>
    <d v="2025-06-20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4:00:00"/>
    <d v="1899-12-30T14:15:00"/>
    <n v="0"/>
    <x v="1"/>
  </r>
  <r>
    <x v="0"/>
    <s v="Egypt"/>
    <x v="38"/>
    <x v="191"/>
    <x v="191"/>
    <m/>
    <m/>
    <s v="Break 30 Morning"/>
    <d v="1899-12-30T16:45:00"/>
    <d v="1899-12-30T17:15:00"/>
    <n v="0"/>
    <x v="1"/>
  </r>
  <r>
    <x v="0"/>
    <s v="Egypt"/>
    <x v="38"/>
    <x v="191"/>
    <x v="191"/>
    <d v="2025-06-21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45:00"/>
    <d v="1899-12-30T14:00:00"/>
    <n v="0"/>
    <x v="1"/>
  </r>
  <r>
    <x v="0"/>
    <s v="Egypt"/>
    <x v="38"/>
    <x v="191"/>
    <x v="191"/>
    <m/>
    <m/>
    <s v="Break 30 Morning"/>
    <d v="1899-12-30T16:15:00"/>
    <d v="1899-12-30T16:45:00"/>
    <n v="0"/>
    <x v="1"/>
  </r>
  <r>
    <x v="0"/>
    <s v="Egypt"/>
    <x v="38"/>
    <x v="191"/>
    <x v="191"/>
    <d v="2025-06-22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45:00"/>
    <d v="1899-12-30T12:00:00"/>
    <n v="0"/>
    <x v="1"/>
  </r>
  <r>
    <x v="0"/>
    <s v="Egypt"/>
    <x v="38"/>
    <x v="191"/>
    <x v="191"/>
    <m/>
    <m/>
    <s v="Break 30 Morning"/>
    <d v="1899-12-30T14:45:00"/>
    <d v="1899-12-30T15:15:00"/>
    <n v="0"/>
    <x v="1"/>
  </r>
  <r>
    <x v="0"/>
    <s v="Egypt"/>
    <x v="38"/>
    <x v="191"/>
    <x v="191"/>
    <d v="2025-06-23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15:00"/>
    <d v="1899-12-30T11:30:00"/>
    <n v="0"/>
    <x v="1"/>
  </r>
  <r>
    <x v="0"/>
    <s v="Egypt"/>
    <x v="38"/>
    <x v="191"/>
    <x v="191"/>
    <m/>
    <m/>
    <s v="Break 30 Morning"/>
    <d v="1899-12-30T13:45:00"/>
    <d v="1899-12-30T14:15:00"/>
    <n v="0"/>
    <x v="1"/>
  </r>
  <r>
    <x v="0"/>
    <s v="Egypt"/>
    <x v="38"/>
    <x v="191"/>
    <x v="191"/>
    <d v="2025-06-24T00:00:00"/>
    <m/>
    <s v="Day Off"/>
    <m/>
    <m/>
    <n v="0"/>
    <x v="1"/>
  </r>
  <r>
    <x v="0"/>
    <s v="Egypt"/>
    <x v="38"/>
    <x v="191"/>
    <x v="191"/>
    <d v="2025-06-25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2:45:00"/>
    <d v="1899-12-30T13:00:00"/>
    <n v="0"/>
    <x v="1"/>
  </r>
  <r>
    <x v="0"/>
    <s v="Egypt"/>
    <x v="38"/>
    <x v="191"/>
    <x v="191"/>
    <m/>
    <m/>
    <s v="Break 30 Morning"/>
    <d v="1899-12-30T15:45:00"/>
    <d v="1899-12-30T16:15:00"/>
    <n v="0"/>
    <x v="1"/>
  </r>
  <r>
    <x v="0"/>
    <s v="Egypt"/>
    <x v="38"/>
    <x v="191"/>
    <x v="191"/>
    <d v="2025-06-26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45:00"/>
    <d v="1899-12-30T12:00:00"/>
    <n v="0"/>
    <x v="1"/>
  </r>
  <r>
    <x v="0"/>
    <s v="Egypt"/>
    <x v="38"/>
    <x v="191"/>
    <x v="191"/>
    <m/>
    <m/>
    <s v="Break 30 Morning"/>
    <d v="1899-12-30T15:15:00"/>
    <d v="1899-12-30T15:45:00"/>
    <n v="0"/>
    <x v="1"/>
  </r>
  <r>
    <x v="0"/>
    <s v="Egypt"/>
    <x v="38"/>
    <x v="191"/>
    <x v="191"/>
    <d v="2025-06-27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45:00"/>
    <d v="1899-12-30T12:00:00"/>
    <n v="0"/>
    <x v="1"/>
  </r>
  <r>
    <x v="0"/>
    <s v="Egypt"/>
    <x v="38"/>
    <x v="191"/>
    <x v="191"/>
    <m/>
    <m/>
    <s v="Break 30 Morning"/>
    <d v="1899-12-30T15:15:00"/>
    <d v="1899-12-30T15:45:00"/>
    <n v="0"/>
    <x v="1"/>
  </r>
  <r>
    <x v="0"/>
    <s v="Egypt"/>
    <x v="38"/>
    <x v="191"/>
    <x v="191"/>
    <d v="2025-06-28T00:00:00"/>
    <d v="1899-12-30T08:15:00"/>
    <s v="Non Telecom Assyot"/>
    <d v="1899-12-30T09:00:00"/>
    <d v="1899-12-30T17:15:00"/>
    <n v="29700"/>
    <x v="0"/>
  </r>
  <r>
    <x v="0"/>
    <s v="Egypt"/>
    <x v="38"/>
    <x v="191"/>
    <x v="191"/>
    <m/>
    <m/>
    <s v="Break 15 Morning"/>
    <d v="1899-12-30T11:45:00"/>
    <d v="1899-12-30T12:00:00"/>
    <n v="0"/>
    <x v="1"/>
  </r>
  <r>
    <x v="0"/>
    <s v="Egypt"/>
    <x v="38"/>
    <x v="191"/>
    <x v="191"/>
    <m/>
    <m/>
    <s v="Break 30 Morning"/>
    <d v="1899-12-30T14:45:00"/>
    <d v="1899-12-30T15:15:00"/>
    <n v="0"/>
    <x v="1"/>
  </r>
  <r>
    <x v="0"/>
    <s v="Egypt"/>
    <x v="38"/>
    <x v="191"/>
    <x v="191"/>
    <d v="2025-06-29T00:00:00"/>
    <d v="1899-12-30T08:15:00"/>
    <s v="Non Telecom Assyot"/>
    <d v="1899-12-30T11:00:00"/>
    <d v="1899-12-30T19:15:00"/>
    <n v="29700"/>
    <x v="0"/>
  </r>
  <r>
    <x v="0"/>
    <s v="Egypt"/>
    <x v="38"/>
    <x v="191"/>
    <x v="191"/>
    <m/>
    <m/>
    <s v="Break 15 Morning"/>
    <d v="1899-12-30T13:00:00"/>
    <d v="1899-12-30T13:15:00"/>
    <n v="0"/>
    <x v="1"/>
  </r>
  <r>
    <x v="0"/>
    <s v="Egypt"/>
    <x v="38"/>
    <x v="191"/>
    <x v="191"/>
    <m/>
    <m/>
    <s v="Break 30 Morning"/>
    <d v="1899-12-30T16:15:00"/>
    <d v="1899-12-30T16:45:00"/>
    <n v="0"/>
    <x v="1"/>
  </r>
  <r>
    <x v="0"/>
    <s v="Egypt"/>
    <x v="38"/>
    <x v="191"/>
    <x v="191"/>
    <d v="2025-06-30T00:00:00"/>
    <m/>
    <s v="Day Off"/>
    <m/>
    <m/>
    <n v="0"/>
    <x v="1"/>
  </r>
  <r>
    <x v="0"/>
    <s v="Egypt"/>
    <x v="38"/>
    <x v="192"/>
    <x v="192"/>
    <d v="2025-06-05T00:00:00"/>
    <d v="1899-12-30T08:15:00"/>
    <s v="Public holiday"/>
    <m/>
    <m/>
    <n v="29700"/>
    <x v="1"/>
  </r>
  <r>
    <x v="0"/>
    <s v="Egypt"/>
    <x v="38"/>
    <x v="192"/>
    <x v="192"/>
    <d v="2025-06-06T00:00:00"/>
    <m/>
    <s v="Day Off"/>
    <m/>
    <m/>
    <n v="0"/>
    <x v="1"/>
  </r>
  <r>
    <x v="0"/>
    <s v="Egypt"/>
    <x v="38"/>
    <x v="192"/>
    <x v="192"/>
    <d v="2025-06-07T00:00:00"/>
    <m/>
    <s v="Day Off"/>
    <m/>
    <m/>
    <n v="0"/>
    <x v="1"/>
  </r>
  <r>
    <x v="0"/>
    <s v="Egypt"/>
    <x v="38"/>
    <x v="192"/>
    <x v="192"/>
    <d v="2025-06-08T00:00:00"/>
    <d v="1899-12-30T08:15:00"/>
    <s v="Public holiday"/>
    <m/>
    <m/>
    <n v="29700"/>
    <x v="1"/>
  </r>
  <r>
    <x v="0"/>
    <s v="Egypt"/>
    <x v="38"/>
    <x v="192"/>
    <x v="192"/>
    <d v="2025-06-09T00:00:00"/>
    <m/>
    <s v="Day Off"/>
    <m/>
    <m/>
    <n v="0"/>
    <x v="1"/>
  </r>
  <r>
    <x v="0"/>
    <s v="Egypt"/>
    <x v="38"/>
    <x v="192"/>
    <x v="192"/>
    <d v="2025-06-10T00:00:00"/>
    <m/>
    <s v="Day Off"/>
    <m/>
    <m/>
    <n v="0"/>
    <x v="1"/>
  </r>
  <r>
    <x v="0"/>
    <s v="Egypt"/>
    <x v="38"/>
    <x v="192"/>
    <x v="192"/>
    <d v="2025-06-11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1:15:00"/>
    <d v="1899-12-30T11:30:00"/>
    <n v="0"/>
    <x v="1"/>
  </r>
  <r>
    <x v="0"/>
    <s v="Egypt"/>
    <x v="38"/>
    <x v="192"/>
    <x v="192"/>
    <m/>
    <m/>
    <s v="One to One"/>
    <d v="1899-12-30T12:30:00"/>
    <d v="1899-12-30T12:45:00"/>
    <n v="0"/>
    <x v="1"/>
  </r>
  <r>
    <x v="0"/>
    <s v="Egypt"/>
    <x v="38"/>
    <x v="192"/>
    <x v="192"/>
    <m/>
    <m/>
    <s v="Break 30 Morning"/>
    <d v="1899-12-30T14:45:00"/>
    <d v="1899-12-30T15:15:00"/>
    <n v="0"/>
    <x v="1"/>
  </r>
  <r>
    <x v="0"/>
    <s v="Egypt"/>
    <x v="38"/>
    <x v="192"/>
    <x v="192"/>
    <d v="2025-06-12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1:15:00"/>
    <d v="1899-12-30T11:30:00"/>
    <n v="0"/>
    <x v="1"/>
  </r>
  <r>
    <x v="0"/>
    <s v="Egypt"/>
    <x v="38"/>
    <x v="192"/>
    <x v="192"/>
    <m/>
    <m/>
    <s v="One to One"/>
    <d v="1899-12-30T12:30:00"/>
    <d v="1899-12-30T12:45:00"/>
    <n v="0"/>
    <x v="1"/>
  </r>
  <r>
    <x v="0"/>
    <s v="Egypt"/>
    <x v="38"/>
    <x v="192"/>
    <x v="192"/>
    <m/>
    <m/>
    <s v="Break 30 Morning"/>
    <d v="1899-12-30T14:15:00"/>
    <d v="1899-12-30T14:45:00"/>
    <n v="0"/>
    <x v="1"/>
  </r>
  <r>
    <x v="0"/>
    <s v="Egypt"/>
    <x v="38"/>
    <x v="192"/>
    <x v="192"/>
    <d v="2025-06-13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1:00:00"/>
    <d v="1899-12-30T11:15:00"/>
    <n v="0"/>
    <x v="1"/>
  </r>
  <r>
    <x v="0"/>
    <s v="Egypt"/>
    <x v="38"/>
    <x v="192"/>
    <x v="192"/>
    <m/>
    <m/>
    <s v="One to One"/>
    <d v="1899-12-30T12:00:00"/>
    <d v="1899-12-30T12:15:00"/>
    <n v="0"/>
    <x v="1"/>
  </r>
  <r>
    <x v="0"/>
    <s v="Egypt"/>
    <x v="38"/>
    <x v="192"/>
    <x v="192"/>
    <m/>
    <m/>
    <s v="Break 30 Morning"/>
    <d v="1899-12-30T14:30:00"/>
    <d v="1899-12-30T15:00:00"/>
    <n v="0"/>
    <x v="1"/>
  </r>
  <r>
    <x v="0"/>
    <s v="Egypt"/>
    <x v="38"/>
    <x v="192"/>
    <x v="192"/>
    <d v="2025-06-14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One to One"/>
    <d v="1899-12-30T12:45:00"/>
    <d v="1899-12-30T13:00:00"/>
    <n v="0"/>
    <x v="1"/>
  </r>
  <r>
    <x v="0"/>
    <s v="Egypt"/>
    <x v="38"/>
    <x v="192"/>
    <x v="192"/>
    <m/>
    <m/>
    <s v="Break 30 Morning"/>
    <d v="1899-12-30T15:15:00"/>
    <d v="1899-12-30T15:45:00"/>
    <n v="0"/>
    <x v="1"/>
  </r>
  <r>
    <x v="0"/>
    <s v="Egypt"/>
    <x v="38"/>
    <x v="192"/>
    <x v="192"/>
    <d v="2025-06-15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1:45:00"/>
    <d v="1899-12-30T12:00:00"/>
    <n v="0"/>
    <x v="1"/>
  </r>
  <r>
    <x v="0"/>
    <s v="Egypt"/>
    <x v="38"/>
    <x v="192"/>
    <x v="192"/>
    <m/>
    <m/>
    <s v="Break 30 Morning"/>
    <d v="1899-12-30T15:15:00"/>
    <d v="1899-12-30T15:45:00"/>
    <n v="0"/>
    <x v="1"/>
  </r>
  <r>
    <x v="0"/>
    <s v="Egypt"/>
    <x v="38"/>
    <x v="192"/>
    <x v="192"/>
    <d v="2025-06-16T00:00:00"/>
    <m/>
    <s v="Day Off"/>
    <m/>
    <m/>
    <n v="0"/>
    <x v="1"/>
  </r>
  <r>
    <x v="0"/>
    <s v="Egypt"/>
    <x v="38"/>
    <x v="192"/>
    <x v="192"/>
    <d v="2025-06-17T00:00:00"/>
    <m/>
    <s v="Day Off"/>
    <m/>
    <m/>
    <n v="0"/>
    <x v="1"/>
  </r>
  <r>
    <x v="0"/>
    <s v="Egypt"/>
    <x v="38"/>
    <x v="192"/>
    <x v="192"/>
    <d v="2025-06-18T00:00:00"/>
    <d v="1899-12-30T08:15:00"/>
    <s v="Non Telecom Assyot"/>
    <d v="1899-12-30T11:00:00"/>
    <d v="1899-12-30T19:15:00"/>
    <n v="29700"/>
    <x v="0"/>
  </r>
  <r>
    <x v="0"/>
    <s v="Egypt"/>
    <x v="38"/>
    <x v="192"/>
    <x v="192"/>
    <m/>
    <m/>
    <s v="Break 15 Morning"/>
    <d v="1899-12-30T14:00:00"/>
    <d v="1899-12-30T14:15:00"/>
    <n v="0"/>
    <x v="1"/>
  </r>
  <r>
    <x v="0"/>
    <s v="Egypt"/>
    <x v="38"/>
    <x v="192"/>
    <x v="192"/>
    <m/>
    <m/>
    <s v="Break 30 Morning"/>
    <d v="1899-12-30T16:45:00"/>
    <d v="1899-12-30T17:15:00"/>
    <n v="0"/>
    <x v="1"/>
  </r>
  <r>
    <x v="0"/>
    <s v="Egypt"/>
    <x v="38"/>
    <x v="192"/>
    <x v="192"/>
    <d v="2025-06-19T00:00:00"/>
    <d v="1899-12-30T08:15:00"/>
    <s v="Non Telecom Assyot"/>
    <d v="1899-12-30T11:00:00"/>
    <d v="1899-12-30T19:15:00"/>
    <n v="29700"/>
    <x v="0"/>
  </r>
  <r>
    <x v="0"/>
    <s v="Egypt"/>
    <x v="38"/>
    <x v="192"/>
    <x v="192"/>
    <m/>
    <m/>
    <s v="Break 15 Morning"/>
    <d v="1899-12-30T14:15:00"/>
    <d v="1899-12-30T14:30:00"/>
    <n v="0"/>
    <x v="1"/>
  </r>
  <r>
    <x v="0"/>
    <s v="Egypt"/>
    <x v="38"/>
    <x v="192"/>
    <x v="192"/>
    <m/>
    <m/>
    <s v="Break 30 Morning"/>
    <d v="1899-12-30T17:15:00"/>
    <d v="1899-12-30T17:45:00"/>
    <n v="0"/>
    <x v="1"/>
  </r>
  <r>
    <x v="0"/>
    <s v="Egypt"/>
    <x v="38"/>
    <x v="192"/>
    <x v="192"/>
    <d v="2025-06-20T00:00:00"/>
    <d v="1899-12-30T08:15:00"/>
    <s v="Non Telecom Assyot"/>
    <d v="1899-12-30T11:00:00"/>
    <d v="1899-12-30T19:15:00"/>
    <n v="29700"/>
    <x v="0"/>
  </r>
  <r>
    <x v="0"/>
    <s v="Egypt"/>
    <x v="38"/>
    <x v="192"/>
    <x v="192"/>
    <m/>
    <m/>
    <s v="Break 15 Morning"/>
    <d v="1899-12-30T14:00:00"/>
    <d v="1899-12-30T14:15:00"/>
    <n v="0"/>
    <x v="1"/>
  </r>
  <r>
    <x v="0"/>
    <s v="Egypt"/>
    <x v="38"/>
    <x v="192"/>
    <x v="192"/>
    <m/>
    <m/>
    <s v="Break 30 Morning"/>
    <d v="1899-12-30T17:15:00"/>
    <d v="1899-12-30T17:45:00"/>
    <n v="0"/>
    <x v="1"/>
  </r>
  <r>
    <x v="0"/>
    <s v="Egypt"/>
    <x v="38"/>
    <x v="192"/>
    <x v="192"/>
    <d v="2025-06-21T00:00:00"/>
    <d v="1899-12-30T08:15:00"/>
    <s v="Non Telecom Assyot"/>
    <d v="1899-12-30T11:00:00"/>
    <d v="1899-12-30T19:15:00"/>
    <n v="29700"/>
    <x v="0"/>
  </r>
  <r>
    <x v="0"/>
    <s v="Egypt"/>
    <x v="38"/>
    <x v="192"/>
    <x v="192"/>
    <m/>
    <m/>
    <s v="Break 15 Morning"/>
    <d v="1899-12-30T14:00:00"/>
    <d v="1899-12-30T14:15:00"/>
    <n v="0"/>
    <x v="1"/>
  </r>
  <r>
    <x v="0"/>
    <s v="Egypt"/>
    <x v="38"/>
    <x v="192"/>
    <x v="192"/>
    <m/>
    <m/>
    <s v="Break 30 Morning"/>
    <d v="1899-12-30T16:45:00"/>
    <d v="1899-12-30T17:15:00"/>
    <n v="0"/>
    <x v="1"/>
  </r>
  <r>
    <x v="0"/>
    <s v="Egypt"/>
    <x v="38"/>
    <x v="192"/>
    <x v="192"/>
    <d v="2025-06-22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Break 30 Morning"/>
    <d v="1899-12-30T14:45:00"/>
    <d v="1899-12-30T15:15:00"/>
    <n v="0"/>
    <x v="1"/>
  </r>
  <r>
    <x v="0"/>
    <s v="Egypt"/>
    <x v="38"/>
    <x v="192"/>
    <x v="192"/>
    <d v="2025-06-23T00:00:00"/>
    <m/>
    <s v="Day Off"/>
    <m/>
    <m/>
    <n v="0"/>
    <x v="1"/>
  </r>
  <r>
    <x v="0"/>
    <s v="Egypt"/>
    <x v="38"/>
    <x v="192"/>
    <x v="192"/>
    <d v="2025-06-24T00:00:00"/>
    <m/>
    <s v="Day Off"/>
    <m/>
    <m/>
    <n v="0"/>
    <x v="1"/>
  </r>
  <r>
    <x v="0"/>
    <s v="Egypt"/>
    <x v="38"/>
    <x v="192"/>
    <x v="192"/>
    <d v="2025-06-25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Break 30 Morning"/>
    <d v="1899-12-30T14:45:00"/>
    <d v="1899-12-30T15:15:00"/>
    <n v="0"/>
    <x v="1"/>
  </r>
  <r>
    <x v="0"/>
    <s v="Egypt"/>
    <x v="38"/>
    <x v="192"/>
    <x v="192"/>
    <d v="2025-06-26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Break 30 Morning"/>
    <d v="1899-12-30T15:45:00"/>
    <d v="1899-12-30T16:15:00"/>
    <n v="0"/>
    <x v="1"/>
  </r>
  <r>
    <x v="0"/>
    <s v="Egypt"/>
    <x v="38"/>
    <x v="192"/>
    <x v="192"/>
    <d v="2025-06-27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Break 30 Morning"/>
    <d v="1899-12-30T15:45:00"/>
    <d v="1899-12-30T16:15:00"/>
    <n v="0"/>
    <x v="1"/>
  </r>
  <r>
    <x v="0"/>
    <s v="Egypt"/>
    <x v="38"/>
    <x v="192"/>
    <x v="192"/>
    <d v="2025-06-28T00:00:00"/>
    <d v="1899-12-30T08:15:00"/>
    <s v="Non Telecom Assyot"/>
    <d v="1899-12-30T09:00:00"/>
    <d v="1899-12-30T17:15:00"/>
    <n v="29700"/>
    <x v="0"/>
  </r>
  <r>
    <x v="0"/>
    <s v="Egypt"/>
    <x v="38"/>
    <x v="192"/>
    <x v="192"/>
    <m/>
    <m/>
    <s v="Break 15 Morning"/>
    <d v="1899-12-30T12:00:00"/>
    <d v="1899-12-30T12:15:00"/>
    <n v="0"/>
    <x v="1"/>
  </r>
  <r>
    <x v="0"/>
    <s v="Egypt"/>
    <x v="38"/>
    <x v="192"/>
    <x v="192"/>
    <m/>
    <m/>
    <s v="Break 30 Morning"/>
    <d v="1899-12-30T15:15:00"/>
    <d v="1899-12-30T15:45:00"/>
    <n v="0"/>
    <x v="1"/>
  </r>
  <r>
    <x v="0"/>
    <s v="Egypt"/>
    <x v="38"/>
    <x v="192"/>
    <x v="192"/>
    <d v="2025-06-29T00:00:00"/>
    <m/>
    <s v="Day Off"/>
    <m/>
    <m/>
    <n v="0"/>
    <x v="1"/>
  </r>
  <r>
    <x v="0"/>
    <s v="Egypt"/>
    <x v="38"/>
    <x v="192"/>
    <x v="192"/>
    <d v="2025-06-30T00:00:00"/>
    <m/>
    <s v="Day Off"/>
    <m/>
    <m/>
    <n v="0"/>
    <x v="1"/>
  </r>
  <r>
    <x v="0"/>
    <s v="Egypt"/>
    <x v="38"/>
    <x v="193"/>
    <x v="193"/>
    <d v="2025-06-01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45:00"/>
    <d v="1899-12-30T14:00:00"/>
    <n v="0"/>
    <x v="1"/>
  </r>
  <r>
    <x v="0"/>
    <s v="Egypt"/>
    <x v="38"/>
    <x v="193"/>
    <x v="193"/>
    <m/>
    <m/>
    <s v="Break 30 Morning"/>
    <d v="1899-12-30T17:30:00"/>
    <d v="1899-12-30T18:00:00"/>
    <n v="0"/>
    <x v="1"/>
  </r>
  <r>
    <x v="0"/>
    <s v="Egypt"/>
    <x v="38"/>
    <x v="193"/>
    <x v="193"/>
    <d v="2025-06-02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03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45:00"/>
    <d v="1899-12-30T14:00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04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15:00"/>
    <d v="1899-12-30T13:30:00"/>
    <n v="0"/>
    <x v="1"/>
  </r>
  <r>
    <x v="0"/>
    <s v="Egypt"/>
    <x v="38"/>
    <x v="193"/>
    <x v="193"/>
    <m/>
    <m/>
    <s v="Break 30 Morning"/>
    <d v="1899-12-30T16:15:00"/>
    <d v="1899-12-30T16:45:00"/>
    <n v="0"/>
    <x v="1"/>
  </r>
  <r>
    <x v="0"/>
    <s v="Egypt"/>
    <x v="38"/>
    <x v="193"/>
    <x v="193"/>
    <d v="2025-06-05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06T00:00:00"/>
    <m/>
    <s v="Day Off"/>
    <m/>
    <m/>
    <n v="0"/>
    <x v="1"/>
  </r>
  <r>
    <x v="0"/>
    <s v="Egypt"/>
    <x v="38"/>
    <x v="193"/>
    <x v="193"/>
    <d v="2025-06-07T00:00:00"/>
    <m/>
    <s v="Day Off"/>
    <m/>
    <m/>
    <n v="0"/>
    <x v="1"/>
  </r>
  <r>
    <x v="0"/>
    <s v="Egypt"/>
    <x v="38"/>
    <x v="193"/>
    <x v="193"/>
    <d v="2025-06-08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45:00"/>
    <d v="1899-12-30T14:00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09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7:00:00"/>
    <d v="1899-12-30T17:30:00"/>
    <n v="0"/>
    <x v="1"/>
  </r>
  <r>
    <x v="0"/>
    <s v="Egypt"/>
    <x v="38"/>
    <x v="193"/>
    <x v="193"/>
    <d v="2025-06-10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1:00:00"/>
    <d v="1899-12-30T11:15:00"/>
    <n v="0"/>
    <x v="1"/>
  </r>
  <r>
    <x v="0"/>
    <s v="Egypt"/>
    <x v="38"/>
    <x v="193"/>
    <x v="193"/>
    <m/>
    <m/>
    <s v="Break 30 Morning"/>
    <d v="1899-12-30T14:15:00"/>
    <d v="1899-12-30T14:45:00"/>
    <n v="0"/>
    <x v="1"/>
  </r>
  <r>
    <x v="0"/>
    <s v="Egypt"/>
    <x v="38"/>
    <x v="193"/>
    <x v="193"/>
    <d v="2025-06-11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1:30:00"/>
    <d v="1899-12-30T11:45:00"/>
    <n v="0"/>
    <x v="1"/>
  </r>
  <r>
    <x v="0"/>
    <s v="Egypt"/>
    <x v="38"/>
    <x v="193"/>
    <x v="193"/>
    <m/>
    <m/>
    <s v="Break 30 Morning"/>
    <d v="1899-12-30T14:45:00"/>
    <d v="1899-12-30T15:15:00"/>
    <n v="0"/>
    <x v="1"/>
  </r>
  <r>
    <x v="0"/>
    <s v="Egypt"/>
    <x v="38"/>
    <x v="193"/>
    <x v="193"/>
    <d v="2025-06-12T00:00:00"/>
    <m/>
    <s v="Day Off"/>
    <m/>
    <m/>
    <n v="0"/>
    <x v="1"/>
  </r>
  <r>
    <x v="0"/>
    <s v="Egypt"/>
    <x v="38"/>
    <x v="193"/>
    <x v="193"/>
    <d v="2025-06-13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00:00"/>
    <d v="1899-12-30T13:15:00"/>
    <n v="0"/>
    <x v="1"/>
  </r>
  <r>
    <x v="0"/>
    <s v="Egypt"/>
    <x v="38"/>
    <x v="193"/>
    <x v="193"/>
    <m/>
    <m/>
    <s v="Break 30 Morning"/>
    <d v="1899-12-30T16:00:00"/>
    <d v="1899-12-30T16:30:00"/>
    <n v="0"/>
    <x v="1"/>
  </r>
  <r>
    <x v="0"/>
    <s v="Egypt"/>
    <x v="38"/>
    <x v="193"/>
    <x v="193"/>
    <d v="2025-06-14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45:00"/>
    <d v="1899-12-30T14:00:00"/>
    <n v="0"/>
    <x v="1"/>
  </r>
  <r>
    <x v="0"/>
    <s v="Egypt"/>
    <x v="38"/>
    <x v="193"/>
    <x v="193"/>
    <m/>
    <m/>
    <s v="Break 30 Morning"/>
    <d v="1899-12-30T17:15:00"/>
    <d v="1899-12-30T17:45:00"/>
    <n v="0"/>
    <x v="1"/>
  </r>
  <r>
    <x v="0"/>
    <s v="Egypt"/>
    <x v="38"/>
    <x v="193"/>
    <x v="193"/>
    <d v="2025-06-15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7:15:00"/>
    <d v="1899-12-30T17:45:00"/>
    <n v="0"/>
    <x v="1"/>
  </r>
  <r>
    <x v="0"/>
    <s v="Egypt"/>
    <x v="38"/>
    <x v="193"/>
    <x v="193"/>
    <d v="2025-06-16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6:15:00"/>
    <d v="1899-12-30T16:45:00"/>
    <n v="0"/>
    <x v="1"/>
  </r>
  <r>
    <x v="0"/>
    <s v="Egypt"/>
    <x v="38"/>
    <x v="193"/>
    <x v="193"/>
    <d v="2025-06-17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15:00"/>
    <d v="1899-12-30T13:30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18T00:00:00"/>
    <m/>
    <s v="Day Off"/>
    <m/>
    <m/>
    <n v="0"/>
    <x v="1"/>
  </r>
  <r>
    <x v="0"/>
    <s v="Egypt"/>
    <x v="38"/>
    <x v="193"/>
    <x v="193"/>
    <d v="2025-06-19T00:00:00"/>
    <m/>
    <s v="Day Off"/>
    <m/>
    <m/>
    <n v="0"/>
    <x v="1"/>
  </r>
  <r>
    <x v="0"/>
    <s v="Egypt"/>
    <x v="38"/>
    <x v="193"/>
    <x v="193"/>
    <d v="2025-06-20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4:15:00"/>
    <d v="1899-12-30T14:30:00"/>
    <n v="0"/>
    <x v="1"/>
  </r>
  <r>
    <x v="0"/>
    <s v="Egypt"/>
    <x v="38"/>
    <x v="193"/>
    <x v="193"/>
    <m/>
    <m/>
    <s v="Break 30 Morning"/>
    <d v="1899-12-30T17:15:00"/>
    <d v="1899-12-30T17:45:00"/>
    <n v="0"/>
    <x v="1"/>
  </r>
  <r>
    <x v="0"/>
    <s v="Egypt"/>
    <x v="38"/>
    <x v="193"/>
    <x v="193"/>
    <d v="2025-06-21T00:00:00"/>
    <d v="1899-12-30T08:15:00"/>
    <s v="Annual Exception"/>
    <m/>
    <m/>
    <n v="29700"/>
    <x v="1"/>
  </r>
  <r>
    <x v="0"/>
    <s v="Egypt"/>
    <x v="38"/>
    <x v="193"/>
    <x v="193"/>
    <d v="2025-06-22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Shift Swap"/>
    <d v="1899-12-30T09:00:00"/>
    <d v="1899-12-30T09:15:00"/>
    <n v="0"/>
    <x v="1"/>
  </r>
  <r>
    <x v="0"/>
    <s v="Egypt"/>
    <x v="38"/>
    <x v="193"/>
    <x v="193"/>
    <m/>
    <m/>
    <s v="Break 15 Morning"/>
    <d v="1899-12-30T10:00:00"/>
    <d v="1899-12-30T10:15:00"/>
    <n v="0"/>
    <x v="1"/>
  </r>
  <r>
    <x v="0"/>
    <s v="Egypt"/>
    <x v="38"/>
    <x v="193"/>
    <x v="193"/>
    <m/>
    <m/>
    <s v="Break 30 Morning"/>
    <d v="1899-12-30T12:30:00"/>
    <d v="1899-12-30T13:00:00"/>
    <n v="0"/>
    <x v="1"/>
  </r>
  <r>
    <x v="0"/>
    <s v="Egypt"/>
    <x v="38"/>
    <x v="193"/>
    <x v="193"/>
    <d v="2025-06-23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1:30:00"/>
    <d v="1899-12-30T11:45:00"/>
    <n v="0"/>
    <x v="1"/>
  </r>
  <r>
    <x v="0"/>
    <s v="Egypt"/>
    <x v="38"/>
    <x v="193"/>
    <x v="193"/>
    <m/>
    <m/>
    <s v="Break 30 Morning"/>
    <d v="1899-12-30T14:15:00"/>
    <d v="1899-12-30T14:45:00"/>
    <n v="0"/>
    <x v="1"/>
  </r>
  <r>
    <x v="0"/>
    <s v="Egypt"/>
    <x v="38"/>
    <x v="193"/>
    <x v="193"/>
    <d v="2025-06-24T00:00:00"/>
    <m/>
    <s v="Day Off"/>
    <m/>
    <m/>
    <n v="0"/>
    <x v="1"/>
  </r>
  <r>
    <x v="0"/>
    <s v="Egypt"/>
    <x v="38"/>
    <x v="193"/>
    <x v="193"/>
    <d v="2025-06-25T00:00:00"/>
    <d v="1899-12-30T08:15:00"/>
    <s v="Annual Exception"/>
    <m/>
    <m/>
    <n v="29700"/>
    <x v="1"/>
  </r>
  <r>
    <x v="0"/>
    <s v="Egypt"/>
    <x v="38"/>
    <x v="193"/>
    <x v="193"/>
    <d v="2025-06-26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Shift Swap"/>
    <d v="1899-12-30T11:00:00"/>
    <d v="1899-12-30T11:15:00"/>
    <n v="0"/>
    <x v="1"/>
  </r>
  <r>
    <x v="0"/>
    <s v="Egypt"/>
    <x v="38"/>
    <x v="193"/>
    <x v="193"/>
    <m/>
    <m/>
    <s v="Break 15 Morning"/>
    <d v="1899-12-30T13:30:00"/>
    <d v="1899-12-30T13:45:00"/>
    <n v="0"/>
    <x v="1"/>
  </r>
  <r>
    <x v="0"/>
    <s v="Egypt"/>
    <x v="38"/>
    <x v="193"/>
    <x v="193"/>
    <m/>
    <m/>
    <s v="Break 30 Morning"/>
    <d v="1899-12-30T17:15:00"/>
    <d v="1899-12-30T17:45:00"/>
    <n v="0"/>
    <x v="1"/>
  </r>
  <r>
    <x v="0"/>
    <s v="Egypt"/>
    <x v="38"/>
    <x v="193"/>
    <x v="193"/>
    <d v="2025-06-27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2:00:00"/>
    <d v="1899-12-30T12:15:00"/>
    <n v="0"/>
    <x v="1"/>
  </r>
  <r>
    <x v="0"/>
    <s v="Egypt"/>
    <x v="38"/>
    <x v="193"/>
    <x v="193"/>
    <m/>
    <m/>
    <s v="Break 30 Morning"/>
    <d v="1899-12-30T15:45:00"/>
    <d v="1899-12-30T16:15:00"/>
    <n v="0"/>
    <x v="1"/>
  </r>
  <r>
    <x v="0"/>
    <s v="Egypt"/>
    <x v="38"/>
    <x v="193"/>
    <x v="193"/>
    <d v="2025-06-28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2:00:00"/>
    <d v="1899-12-30T12:15:00"/>
    <n v="0"/>
    <x v="1"/>
  </r>
  <r>
    <x v="0"/>
    <s v="Egypt"/>
    <x v="38"/>
    <x v="193"/>
    <x v="193"/>
    <m/>
    <m/>
    <s v="Break 30 Morning"/>
    <d v="1899-12-30T15:15:00"/>
    <d v="1899-12-30T15:45:00"/>
    <n v="0"/>
    <x v="1"/>
  </r>
  <r>
    <x v="0"/>
    <s v="Egypt"/>
    <x v="38"/>
    <x v="193"/>
    <x v="193"/>
    <d v="2025-06-29T00:00:00"/>
    <d v="1899-12-30T08:15:00"/>
    <s v="Non Telecom Assyot"/>
    <d v="1899-12-30T11:00:00"/>
    <d v="1899-12-30T19:15:00"/>
    <n v="29700"/>
    <x v="0"/>
  </r>
  <r>
    <x v="0"/>
    <s v="Egypt"/>
    <x v="38"/>
    <x v="193"/>
    <x v="193"/>
    <m/>
    <m/>
    <s v="Break 15 Morning"/>
    <d v="1899-12-30T13:15:00"/>
    <d v="1899-12-30T13:30:00"/>
    <n v="0"/>
    <x v="1"/>
  </r>
  <r>
    <x v="0"/>
    <s v="Egypt"/>
    <x v="38"/>
    <x v="193"/>
    <x v="193"/>
    <m/>
    <m/>
    <s v="Break 30 Morning"/>
    <d v="1899-12-30T16:45:00"/>
    <d v="1899-12-30T17:15:00"/>
    <n v="0"/>
    <x v="1"/>
  </r>
  <r>
    <x v="0"/>
    <s v="Egypt"/>
    <x v="38"/>
    <x v="193"/>
    <x v="193"/>
    <d v="2025-06-30T00:00:00"/>
    <d v="1899-12-30T08:15:00"/>
    <s v="Non Telecom Assyot"/>
    <d v="1899-12-30T09:00:00"/>
    <d v="1899-12-30T17:15:00"/>
    <n v="29700"/>
    <x v="0"/>
  </r>
  <r>
    <x v="0"/>
    <s v="Egypt"/>
    <x v="38"/>
    <x v="193"/>
    <x v="193"/>
    <m/>
    <m/>
    <s v="Break 15 Morning"/>
    <d v="1899-12-30T10:00:00"/>
    <d v="1899-12-30T10:15:00"/>
    <n v="0"/>
    <x v="1"/>
  </r>
  <r>
    <x v="0"/>
    <s v="Egypt"/>
    <x v="38"/>
    <x v="193"/>
    <x v="193"/>
    <m/>
    <m/>
    <s v="Break 30 Morning"/>
    <d v="1899-12-30T12:30:00"/>
    <d v="1899-12-30T13:00:00"/>
    <n v="0"/>
    <x v="1"/>
  </r>
  <r>
    <x v="0"/>
    <s v="Egypt"/>
    <x v="38"/>
    <x v="194"/>
    <x v="194"/>
    <d v="2025-06-05T00:00:00"/>
    <d v="1899-12-30T08:15:00"/>
    <s v="Public holiday"/>
    <m/>
    <m/>
    <n v="29700"/>
    <x v="1"/>
  </r>
  <r>
    <x v="0"/>
    <s v="Egypt"/>
    <x v="38"/>
    <x v="194"/>
    <x v="194"/>
    <d v="2025-06-06T00:00:00"/>
    <m/>
    <s v="Day Off"/>
    <m/>
    <m/>
    <n v="0"/>
    <x v="1"/>
  </r>
  <r>
    <x v="0"/>
    <s v="Egypt"/>
    <x v="38"/>
    <x v="194"/>
    <x v="194"/>
    <d v="2025-06-07T00:00:00"/>
    <m/>
    <s v="Day Off"/>
    <m/>
    <m/>
    <n v="0"/>
    <x v="1"/>
  </r>
  <r>
    <x v="0"/>
    <s v="Egypt"/>
    <x v="38"/>
    <x v="194"/>
    <x v="194"/>
    <d v="2025-06-08T00:00:00"/>
    <d v="1899-12-30T08:15:00"/>
    <s v="Public holiday"/>
    <m/>
    <m/>
    <n v="29700"/>
    <x v="1"/>
  </r>
  <r>
    <x v="0"/>
    <s v="Egypt"/>
    <x v="38"/>
    <x v="194"/>
    <x v="194"/>
    <d v="2025-06-09T00:00:00"/>
    <m/>
    <s v="Day Off"/>
    <m/>
    <m/>
    <n v="0"/>
    <x v="1"/>
  </r>
  <r>
    <x v="0"/>
    <s v="Egypt"/>
    <x v="38"/>
    <x v="194"/>
    <x v="194"/>
    <d v="2025-06-10T00:00:00"/>
    <m/>
    <s v="Day Off"/>
    <m/>
    <m/>
    <n v="0"/>
    <x v="1"/>
  </r>
  <r>
    <x v="0"/>
    <s v="Egypt"/>
    <x v="38"/>
    <x v="194"/>
    <x v="194"/>
    <d v="2025-06-11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One to One"/>
    <d v="1899-12-30T13:15:00"/>
    <d v="1899-12-30T13:30:00"/>
    <n v="0"/>
    <x v="1"/>
  </r>
  <r>
    <x v="0"/>
    <s v="Egypt"/>
    <x v="38"/>
    <x v="194"/>
    <x v="194"/>
    <m/>
    <m/>
    <s v="Break 30 Morning"/>
    <d v="1899-12-30T15:15:00"/>
    <d v="1899-12-30T15:45:00"/>
    <n v="0"/>
    <x v="1"/>
  </r>
  <r>
    <x v="0"/>
    <s v="Egypt"/>
    <x v="38"/>
    <x v="194"/>
    <x v="194"/>
    <d v="2025-06-12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One to One"/>
    <d v="1899-12-30T13:15:00"/>
    <d v="1899-12-30T13:30:00"/>
    <n v="0"/>
    <x v="1"/>
  </r>
  <r>
    <x v="0"/>
    <s v="Egypt"/>
    <x v="38"/>
    <x v="194"/>
    <x v="194"/>
    <m/>
    <m/>
    <s v="Break 30 Morning"/>
    <d v="1899-12-30T14:45:00"/>
    <d v="1899-12-30T15:15:00"/>
    <n v="0"/>
    <x v="1"/>
  </r>
  <r>
    <x v="0"/>
    <s v="Egypt"/>
    <x v="38"/>
    <x v="194"/>
    <x v="194"/>
    <d v="2025-06-13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00:00"/>
    <d v="1899-12-30T12:15:00"/>
    <n v="0"/>
    <x v="1"/>
  </r>
  <r>
    <x v="0"/>
    <s v="Egypt"/>
    <x v="38"/>
    <x v="194"/>
    <x v="194"/>
    <m/>
    <m/>
    <s v="One to One"/>
    <d v="1899-12-30T12:45:00"/>
    <d v="1899-12-30T13:00:00"/>
    <n v="0"/>
    <x v="1"/>
  </r>
  <r>
    <x v="0"/>
    <s v="Egypt"/>
    <x v="38"/>
    <x v="194"/>
    <x v="194"/>
    <m/>
    <m/>
    <s v="Break 30 Morning"/>
    <d v="1899-12-30T15:00:00"/>
    <d v="1899-12-30T15:30:00"/>
    <n v="0"/>
    <x v="1"/>
  </r>
  <r>
    <x v="0"/>
    <s v="Egypt"/>
    <x v="38"/>
    <x v="194"/>
    <x v="194"/>
    <d v="2025-06-14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One to One"/>
    <d v="1899-12-30T13:30:00"/>
    <d v="1899-12-30T13:45:00"/>
    <n v="0"/>
    <x v="1"/>
  </r>
  <r>
    <x v="0"/>
    <s v="Egypt"/>
    <x v="38"/>
    <x v="194"/>
    <x v="194"/>
    <m/>
    <m/>
    <s v="Break 30 Morning"/>
    <d v="1899-12-30T15:15:00"/>
    <d v="1899-12-30T15:45:00"/>
    <n v="0"/>
    <x v="1"/>
  </r>
  <r>
    <x v="0"/>
    <s v="Egypt"/>
    <x v="38"/>
    <x v="194"/>
    <x v="194"/>
    <d v="2025-06-15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Break 30 Morning"/>
    <d v="1899-12-30T15:45:00"/>
    <d v="1899-12-30T16:15:00"/>
    <n v="0"/>
    <x v="1"/>
  </r>
  <r>
    <x v="0"/>
    <s v="Egypt"/>
    <x v="38"/>
    <x v="194"/>
    <x v="194"/>
    <d v="2025-06-16T00:00:00"/>
    <m/>
    <s v="Day Off"/>
    <m/>
    <m/>
    <n v="0"/>
    <x v="1"/>
  </r>
  <r>
    <x v="0"/>
    <s v="Egypt"/>
    <x v="38"/>
    <x v="194"/>
    <x v="194"/>
    <d v="2025-06-17T00:00:00"/>
    <m/>
    <s v="Day Off"/>
    <m/>
    <m/>
    <n v="0"/>
    <x v="1"/>
  </r>
  <r>
    <x v="0"/>
    <s v="Egypt"/>
    <x v="38"/>
    <x v="194"/>
    <x v="194"/>
    <d v="2025-06-18T00:00:00"/>
    <d v="1899-12-30T08:15:00"/>
    <s v="Non Telecom Assyot"/>
    <d v="1899-12-30T11:00:00"/>
    <d v="1899-12-30T19:15:00"/>
    <n v="29700"/>
    <x v="0"/>
  </r>
  <r>
    <x v="0"/>
    <s v="Egypt"/>
    <x v="38"/>
    <x v="194"/>
    <x v="194"/>
    <m/>
    <m/>
    <s v="Break 15 Morning"/>
    <d v="1899-12-30T14:15:00"/>
    <d v="1899-12-30T14:30:00"/>
    <n v="0"/>
    <x v="1"/>
  </r>
  <r>
    <x v="0"/>
    <s v="Egypt"/>
    <x v="38"/>
    <x v="194"/>
    <x v="194"/>
    <m/>
    <m/>
    <s v="Break 30 Morning"/>
    <d v="1899-12-30T17:15:00"/>
    <d v="1899-12-30T17:45:00"/>
    <n v="0"/>
    <x v="1"/>
  </r>
  <r>
    <x v="0"/>
    <s v="Egypt"/>
    <x v="38"/>
    <x v="194"/>
    <x v="194"/>
    <d v="2025-06-19T00:00:00"/>
    <d v="1899-12-30T08:15:00"/>
    <s v="Non Telecom Assyot"/>
    <d v="1899-12-30T11:00:00"/>
    <d v="1899-12-30T19:15:00"/>
    <n v="29700"/>
    <x v="0"/>
  </r>
  <r>
    <x v="0"/>
    <s v="Egypt"/>
    <x v="38"/>
    <x v="194"/>
    <x v="194"/>
    <m/>
    <m/>
    <s v="Break 15 Morning"/>
    <d v="1899-12-30T14:15:00"/>
    <d v="1899-12-30T14:30:00"/>
    <n v="0"/>
    <x v="1"/>
  </r>
  <r>
    <x v="0"/>
    <s v="Egypt"/>
    <x v="38"/>
    <x v="194"/>
    <x v="194"/>
    <m/>
    <m/>
    <s v="Break 30 Morning"/>
    <d v="1899-12-30T17:15:00"/>
    <d v="1899-12-30T17:45:00"/>
    <n v="0"/>
    <x v="1"/>
  </r>
  <r>
    <x v="0"/>
    <s v="Egypt"/>
    <x v="38"/>
    <x v="194"/>
    <x v="194"/>
    <d v="2025-06-20T00:00:00"/>
    <d v="1899-12-30T08:15:00"/>
    <s v="Non Telecom Assyot"/>
    <d v="1899-12-30T11:00:00"/>
    <d v="1899-12-30T19:15:00"/>
    <n v="29700"/>
    <x v="0"/>
  </r>
  <r>
    <x v="0"/>
    <s v="Egypt"/>
    <x v="38"/>
    <x v="194"/>
    <x v="194"/>
    <m/>
    <m/>
    <s v="Break 15 Morning"/>
    <d v="1899-12-30T14:15:00"/>
    <d v="1899-12-30T14:30:00"/>
    <n v="0"/>
    <x v="1"/>
  </r>
  <r>
    <x v="0"/>
    <s v="Egypt"/>
    <x v="38"/>
    <x v="194"/>
    <x v="194"/>
    <m/>
    <m/>
    <s v="Break 30 Morning"/>
    <d v="1899-12-30T17:15:00"/>
    <d v="1899-12-30T17:45:00"/>
    <n v="0"/>
    <x v="1"/>
  </r>
  <r>
    <x v="0"/>
    <s v="Egypt"/>
    <x v="38"/>
    <x v="194"/>
    <x v="194"/>
    <d v="2025-06-21T00:00:00"/>
    <d v="1899-12-30T08:15:00"/>
    <s v="Non Telecom Assyot"/>
    <d v="1899-12-30T11:00:00"/>
    <d v="1899-12-30T19:15:00"/>
    <n v="29700"/>
    <x v="0"/>
  </r>
  <r>
    <x v="0"/>
    <s v="Egypt"/>
    <x v="38"/>
    <x v="194"/>
    <x v="194"/>
    <m/>
    <m/>
    <s v="Break 15 Morning"/>
    <d v="1899-12-30T14:15:00"/>
    <d v="1899-12-30T14:30:00"/>
    <n v="0"/>
    <x v="1"/>
  </r>
  <r>
    <x v="0"/>
    <s v="Egypt"/>
    <x v="38"/>
    <x v="194"/>
    <x v="194"/>
    <m/>
    <m/>
    <s v="Break 30 Morning"/>
    <d v="1899-12-30T17:15:00"/>
    <d v="1899-12-30T17:45:00"/>
    <n v="0"/>
    <x v="1"/>
  </r>
  <r>
    <x v="0"/>
    <s v="Egypt"/>
    <x v="38"/>
    <x v="194"/>
    <x v="194"/>
    <d v="2025-06-22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Break 30 Morning"/>
    <d v="1899-12-30T15:15:00"/>
    <d v="1899-12-30T15:45:00"/>
    <n v="0"/>
    <x v="1"/>
  </r>
  <r>
    <x v="0"/>
    <s v="Egypt"/>
    <x v="38"/>
    <x v="194"/>
    <x v="194"/>
    <d v="2025-06-23T00:00:00"/>
    <m/>
    <s v="Day Off"/>
    <m/>
    <m/>
    <n v="0"/>
    <x v="1"/>
  </r>
  <r>
    <x v="0"/>
    <s v="Egypt"/>
    <x v="38"/>
    <x v="194"/>
    <x v="194"/>
    <d v="2025-06-24T00:00:00"/>
    <m/>
    <s v="Day Off"/>
    <m/>
    <m/>
    <n v="0"/>
    <x v="1"/>
  </r>
  <r>
    <x v="0"/>
    <s v="Egypt"/>
    <x v="38"/>
    <x v="194"/>
    <x v="194"/>
    <d v="2025-06-25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Break 30 Morning"/>
    <d v="1899-12-30T15:15:00"/>
    <d v="1899-12-30T15:45:00"/>
    <n v="0"/>
    <x v="1"/>
  </r>
  <r>
    <x v="0"/>
    <s v="Egypt"/>
    <x v="38"/>
    <x v="194"/>
    <x v="194"/>
    <d v="2025-06-26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Break 30 Morning"/>
    <d v="1899-12-30T15:45:00"/>
    <d v="1899-12-30T16:15:00"/>
    <n v="0"/>
    <x v="1"/>
  </r>
  <r>
    <x v="0"/>
    <s v="Egypt"/>
    <x v="38"/>
    <x v="194"/>
    <x v="194"/>
    <d v="2025-06-27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15:00"/>
    <d v="1899-12-30T12:30:00"/>
    <n v="0"/>
    <x v="1"/>
  </r>
  <r>
    <x v="0"/>
    <s v="Egypt"/>
    <x v="38"/>
    <x v="194"/>
    <x v="194"/>
    <m/>
    <m/>
    <s v="Break 30 Morning"/>
    <d v="1899-12-30T13:30:00"/>
    <d v="1899-12-30T14:00:00"/>
    <n v="0"/>
    <x v="1"/>
  </r>
  <r>
    <x v="0"/>
    <s v="Egypt"/>
    <x v="38"/>
    <x v="194"/>
    <x v="194"/>
    <d v="2025-06-28T00:00:00"/>
    <d v="1899-12-30T08:15:00"/>
    <s v="Non Telecom Assyot"/>
    <d v="1899-12-30T09:00:00"/>
    <d v="1899-12-30T17:15:00"/>
    <n v="29700"/>
    <x v="0"/>
  </r>
  <r>
    <x v="0"/>
    <s v="Egypt"/>
    <x v="38"/>
    <x v="194"/>
    <x v="194"/>
    <m/>
    <m/>
    <s v="Break 15 Morning"/>
    <d v="1899-12-30T12:30:00"/>
    <d v="1899-12-30T12:45:00"/>
    <n v="0"/>
    <x v="1"/>
  </r>
  <r>
    <x v="0"/>
    <s v="Egypt"/>
    <x v="38"/>
    <x v="194"/>
    <x v="194"/>
    <m/>
    <m/>
    <s v="Break 30 Morning"/>
    <d v="1899-12-30T15:45:00"/>
    <d v="1899-12-30T16:15:00"/>
    <n v="0"/>
    <x v="1"/>
  </r>
  <r>
    <x v="0"/>
    <s v="Egypt"/>
    <x v="38"/>
    <x v="194"/>
    <x v="194"/>
    <d v="2025-06-29T00:00:00"/>
    <m/>
    <s v="Day Off"/>
    <m/>
    <m/>
    <n v="0"/>
    <x v="1"/>
  </r>
  <r>
    <x v="0"/>
    <s v="Egypt"/>
    <x v="38"/>
    <x v="194"/>
    <x v="194"/>
    <d v="2025-06-30T00:00:00"/>
    <m/>
    <s v="Day Off"/>
    <m/>
    <m/>
    <n v="0"/>
    <x v="1"/>
  </r>
  <r>
    <x v="0"/>
    <s v="Egypt"/>
    <x v="38"/>
    <x v="195"/>
    <x v="195"/>
    <d v="2025-06-01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15:00"/>
    <d v="1899-12-30T14:30:00"/>
    <n v="0"/>
    <x v="1"/>
  </r>
  <r>
    <x v="0"/>
    <s v="Egypt"/>
    <x v="38"/>
    <x v="195"/>
    <x v="195"/>
    <m/>
    <m/>
    <s v="Break 30 Morning"/>
    <d v="1899-12-30T18:00:00"/>
    <d v="1899-12-30T18:30:00"/>
    <n v="0"/>
    <x v="1"/>
  </r>
  <r>
    <x v="0"/>
    <s v="Egypt"/>
    <x v="38"/>
    <x v="195"/>
    <x v="195"/>
    <d v="2025-06-02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15:00"/>
    <d v="1899-12-30T14:30:00"/>
    <n v="0"/>
    <x v="1"/>
  </r>
  <r>
    <x v="0"/>
    <s v="Egypt"/>
    <x v="38"/>
    <x v="195"/>
    <x v="195"/>
    <m/>
    <m/>
    <s v="Break 30 Morning"/>
    <d v="1899-12-30T17:45:00"/>
    <d v="1899-12-30T18:15:00"/>
    <n v="0"/>
    <x v="1"/>
  </r>
  <r>
    <x v="0"/>
    <s v="Egypt"/>
    <x v="38"/>
    <x v="195"/>
    <x v="195"/>
    <d v="2025-06-03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30:00"/>
    <d v="1899-12-30T14:45:00"/>
    <n v="0"/>
    <x v="1"/>
  </r>
  <r>
    <x v="0"/>
    <s v="Egypt"/>
    <x v="38"/>
    <x v="195"/>
    <x v="195"/>
    <m/>
    <m/>
    <s v="Break 30 Morning"/>
    <d v="1899-12-30T17:45:00"/>
    <d v="1899-12-30T18:15:00"/>
    <n v="0"/>
    <x v="1"/>
  </r>
  <r>
    <x v="0"/>
    <s v="Egypt"/>
    <x v="38"/>
    <x v="195"/>
    <x v="195"/>
    <d v="2025-06-04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00:00"/>
    <d v="1899-12-30T14:15:00"/>
    <n v="0"/>
    <x v="1"/>
  </r>
  <r>
    <x v="0"/>
    <s v="Egypt"/>
    <x v="38"/>
    <x v="195"/>
    <x v="195"/>
    <m/>
    <m/>
    <s v="Break 30 Morning"/>
    <d v="1899-12-30T16:45:00"/>
    <d v="1899-12-30T17:15:00"/>
    <n v="0"/>
    <x v="1"/>
  </r>
  <r>
    <x v="0"/>
    <s v="Egypt"/>
    <x v="38"/>
    <x v="195"/>
    <x v="195"/>
    <d v="2025-06-05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15:00"/>
    <d v="1899-12-30T14:30:00"/>
    <n v="0"/>
    <x v="1"/>
  </r>
  <r>
    <x v="0"/>
    <s v="Egypt"/>
    <x v="38"/>
    <x v="195"/>
    <x v="195"/>
    <m/>
    <m/>
    <s v="Break 30 Morning"/>
    <d v="1899-12-30T17:15:00"/>
    <d v="1899-12-30T17:45:00"/>
    <n v="0"/>
    <x v="1"/>
  </r>
  <r>
    <x v="0"/>
    <s v="Egypt"/>
    <x v="38"/>
    <x v="195"/>
    <x v="195"/>
    <d v="2025-06-06T00:00:00"/>
    <m/>
    <s v="Day Off"/>
    <m/>
    <m/>
    <n v="0"/>
    <x v="1"/>
  </r>
  <r>
    <x v="0"/>
    <s v="Egypt"/>
    <x v="38"/>
    <x v="195"/>
    <x v="195"/>
    <d v="2025-06-07T00:00:00"/>
    <m/>
    <s v="Day Off"/>
    <m/>
    <m/>
    <n v="0"/>
    <x v="1"/>
  </r>
  <r>
    <x v="0"/>
    <s v="Egypt"/>
    <x v="38"/>
    <x v="195"/>
    <x v="195"/>
    <d v="2025-06-08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00:00"/>
    <d v="1899-12-30T14:15:00"/>
    <n v="0"/>
    <x v="1"/>
  </r>
  <r>
    <x v="0"/>
    <s v="Egypt"/>
    <x v="38"/>
    <x v="195"/>
    <x v="195"/>
    <m/>
    <m/>
    <s v="Break 30 Morning"/>
    <d v="1899-12-30T17:15:00"/>
    <d v="1899-12-30T17:45:00"/>
    <n v="0"/>
    <x v="1"/>
  </r>
  <r>
    <x v="0"/>
    <s v="Egypt"/>
    <x v="38"/>
    <x v="195"/>
    <x v="195"/>
    <d v="2025-06-09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00:00"/>
    <d v="1899-12-30T14:15:00"/>
    <n v="0"/>
    <x v="1"/>
  </r>
  <r>
    <x v="0"/>
    <s v="Egypt"/>
    <x v="38"/>
    <x v="195"/>
    <x v="195"/>
    <m/>
    <m/>
    <s v="Break 30 Morning"/>
    <d v="1899-12-30T17:30:00"/>
    <d v="1899-12-30T18:00:00"/>
    <n v="0"/>
    <x v="1"/>
  </r>
  <r>
    <x v="0"/>
    <s v="Egypt"/>
    <x v="38"/>
    <x v="195"/>
    <x v="195"/>
    <d v="2025-06-10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3:45:00"/>
    <d v="1899-12-30T14:00:00"/>
    <n v="0"/>
    <x v="1"/>
  </r>
  <r>
    <x v="0"/>
    <s v="Egypt"/>
    <x v="38"/>
    <x v="195"/>
    <x v="195"/>
    <m/>
    <m/>
    <s v="Break 30 Morning"/>
    <d v="1899-12-30T17:00:00"/>
    <d v="1899-12-30T17:30:00"/>
    <n v="0"/>
    <x v="1"/>
  </r>
  <r>
    <x v="0"/>
    <s v="Egypt"/>
    <x v="38"/>
    <x v="195"/>
    <x v="195"/>
    <d v="2025-06-11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15:00"/>
    <d v="1899-12-30T14:30:00"/>
    <n v="0"/>
    <x v="1"/>
  </r>
  <r>
    <x v="0"/>
    <s v="Egypt"/>
    <x v="38"/>
    <x v="195"/>
    <x v="195"/>
    <m/>
    <m/>
    <s v="Break 30 Morning"/>
    <d v="1899-12-30T17:15:00"/>
    <d v="1899-12-30T17:45:00"/>
    <n v="0"/>
    <x v="1"/>
  </r>
  <r>
    <x v="0"/>
    <s v="Egypt"/>
    <x v="38"/>
    <x v="195"/>
    <x v="195"/>
    <d v="2025-06-12T00:00:00"/>
    <m/>
    <s v="Day Off"/>
    <m/>
    <m/>
    <n v="0"/>
    <x v="1"/>
  </r>
  <r>
    <x v="0"/>
    <s v="Egypt"/>
    <x v="38"/>
    <x v="195"/>
    <x v="195"/>
    <d v="2025-06-13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0:00:00"/>
    <d v="1899-12-30T10:15:00"/>
    <n v="0"/>
    <x v="1"/>
  </r>
  <r>
    <x v="0"/>
    <s v="Egypt"/>
    <x v="38"/>
    <x v="195"/>
    <x v="195"/>
    <m/>
    <m/>
    <s v="Break 30 Morning"/>
    <d v="1899-12-30T12:30:00"/>
    <d v="1899-12-30T13:00:00"/>
    <n v="0"/>
    <x v="1"/>
  </r>
  <r>
    <x v="0"/>
    <s v="Egypt"/>
    <x v="38"/>
    <x v="195"/>
    <x v="195"/>
    <m/>
    <m/>
    <s v="Leave Early"/>
    <d v="1899-12-30T15:15:00"/>
    <d v="1899-12-30T17:15:00"/>
    <n v="0"/>
    <x v="1"/>
  </r>
  <r>
    <x v="0"/>
    <s v="Egypt"/>
    <x v="38"/>
    <x v="195"/>
    <x v="195"/>
    <d v="2025-06-14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30:00"/>
    <d v="1899-12-30T12:45:00"/>
    <n v="0"/>
    <x v="1"/>
  </r>
  <r>
    <x v="0"/>
    <s v="Egypt"/>
    <x v="38"/>
    <x v="195"/>
    <x v="195"/>
    <m/>
    <m/>
    <s v="Break 30 Morning"/>
    <d v="1899-12-30T15:45:00"/>
    <d v="1899-12-30T16:15:00"/>
    <n v="0"/>
    <x v="1"/>
  </r>
  <r>
    <x v="0"/>
    <s v="Egypt"/>
    <x v="38"/>
    <x v="195"/>
    <x v="195"/>
    <d v="2025-06-15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15:00"/>
    <d v="1899-12-30T14:30:00"/>
    <n v="0"/>
    <x v="1"/>
  </r>
  <r>
    <x v="0"/>
    <s v="Egypt"/>
    <x v="38"/>
    <x v="195"/>
    <x v="195"/>
    <m/>
    <m/>
    <s v="Break 30 Morning"/>
    <d v="1899-12-30T17:45:00"/>
    <d v="1899-12-30T18:15:00"/>
    <n v="0"/>
    <x v="1"/>
  </r>
  <r>
    <x v="0"/>
    <s v="Egypt"/>
    <x v="38"/>
    <x v="195"/>
    <x v="195"/>
    <d v="2025-06-16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15:00"/>
    <d v="1899-12-30T12:30:00"/>
    <n v="0"/>
    <x v="1"/>
  </r>
  <r>
    <x v="0"/>
    <s v="Egypt"/>
    <x v="38"/>
    <x v="195"/>
    <x v="195"/>
    <m/>
    <m/>
    <s v="Break 30 Morning"/>
    <d v="1899-12-30T14:45:00"/>
    <d v="1899-12-30T15:15:00"/>
    <n v="0"/>
    <x v="1"/>
  </r>
  <r>
    <x v="0"/>
    <s v="Egypt"/>
    <x v="38"/>
    <x v="195"/>
    <x v="195"/>
    <d v="2025-06-17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15:00"/>
    <d v="1899-12-30T12:30:00"/>
    <n v="0"/>
    <x v="1"/>
  </r>
  <r>
    <x v="0"/>
    <s v="Egypt"/>
    <x v="38"/>
    <x v="195"/>
    <x v="195"/>
    <m/>
    <m/>
    <s v="Break 30 Morning"/>
    <d v="1899-12-30T15:15:00"/>
    <d v="1899-12-30T15:45:00"/>
    <n v="0"/>
    <x v="1"/>
  </r>
  <r>
    <x v="0"/>
    <s v="Egypt"/>
    <x v="38"/>
    <x v="195"/>
    <x v="195"/>
    <d v="2025-06-18T00:00:00"/>
    <d v="1899-12-30T08:15:00"/>
    <s v="Annual Exception"/>
    <m/>
    <m/>
    <n v="29700"/>
    <x v="1"/>
  </r>
  <r>
    <x v="0"/>
    <s v="Egypt"/>
    <x v="38"/>
    <x v="195"/>
    <x v="195"/>
    <d v="2025-06-19T00:00:00"/>
    <m/>
    <s v="Day Off"/>
    <m/>
    <m/>
    <n v="0"/>
    <x v="1"/>
  </r>
  <r>
    <x v="0"/>
    <s v="Egypt"/>
    <x v="38"/>
    <x v="195"/>
    <x v="195"/>
    <d v="2025-06-20T00:00:00"/>
    <m/>
    <s v="Day Off"/>
    <m/>
    <m/>
    <n v="0"/>
    <x v="1"/>
  </r>
  <r>
    <x v="0"/>
    <s v="Egypt"/>
    <x v="38"/>
    <x v="195"/>
    <x v="195"/>
    <d v="2025-06-21T00:00:00"/>
    <d v="1899-12-30T08:15:00"/>
    <s v="Annual Exception"/>
    <m/>
    <m/>
    <n v="29700"/>
    <x v="1"/>
  </r>
  <r>
    <x v="0"/>
    <s v="Egypt"/>
    <x v="38"/>
    <x v="195"/>
    <x v="195"/>
    <d v="2025-06-22T00:00:00"/>
    <d v="1899-12-30T08:15:00"/>
    <s v="Non Telecom Assyot"/>
    <d v="1899-12-30T11:00:00"/>
    <d v="1899-12-30T19:15:00"/>
    <n v="29700"/>
    <x v="0"/>
  </r>
  <r>
    <x v="0"/>
    <s v="Egypt"/>
    <x v="38"/>
    <x v="195"/>
    <x v="195"/>
    <m/>
    <m/>
    <s v="Break 15 Morning"/>
    <d v="1899-12-30T14:00:00"/>
    <d v="1899-12-30T14:15:00"/>
    <n v="0"/>
    <x v="1"/>
  </r>
  <r>
    <x v="0"/>
    <s v="Egypt"/>
    <x v="38"/>
    <x v="195"/>
    <x v="195"/>
    <m/>
    <m/>
    <s v="Break 30 Morning"/>
    <d v="1899-12-30T16:45:00"/>
    <d v="1899-12-30T17:15:00"/>
    <n v="0"/>
    <x v="1"/>
  </r>
  <r>
    <x v="0"/>
    <s v="Egypt"/>
    <x v="38"/>
    <x v="195"/>
    <x v="195"/>
    <d v="2025-06-23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15:00"/>
    <d v="1899-12-30T12:30:00"/>
    <n v="0"/>
    <x v="1"/>
  </r>
  <r>
    <x v="0"/>
    <s v="Egypt"/>
    <x v="38"/>
    <x v="195"/>
    <x v="195"/>
    <m/>
    <m/>
    <s v="Break 30 Morning"/>
    <d v="1899-12-30T14:45:00"/>
    <d v="1899-12-30T15:15:00"/>
    <n v="0"/>
    <x v="1"/>
  </r>
  <r>
    <x v="0"/>
    <s v="Egypt"/>
    <x v="38"/>
    <x v="195"/>
    <x v="195"/>
    <d v="2025-06-24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15:00"/>
    <d v="1899-12-30T12:30:00"/>
    <n v="0"/>
    <x v="1"/>
  </r>
  <r>
    <x v="0"/>
    <s v="Egypt"/>
    <x v="38"/>
    <x v="195"/>
    <x v="195"/>
    <m/>
    <m/>
    <s v="Break 30 Morning"/>
    <d v="1899-12-30T14:45:00"/>
    <d v="1899-12-30T15:15:00"/>
    <n v="0"/>
    <x v="1"/>
  </r>
  <r>
    <x v="0"/>
    <s v="Egypt"/>
    <x v="38"/>
    <x v="195"/>
    <x v="195"/>
    <d v="2025-06-25T00:00:00"/>
    <d v="1899-12-30T08:15:00"/>
    <s v="Non Telecom Assyot"/>
    <d v="1899-12-30T09:00:00"/>
    <d v="1899-12-30T17:15:00"/>
    <n v="29700"/>
    <x v="0"/>
  </r>
  <r>
    <x v="0"/>
    <s v="Egypt"/>
    <x v="38"/>
    <x v="195"/>
    <x v="195"/>
    <m/>
    <m/>
    <s v="Break 15 Morning"/>
    <d v="1899-12-30T12:15:00"/>
    <d v="1899-12-30T12:30:00"/>
    <n v="0"/>
    <x v="1"/>
  </r>
  <r>
    <x v="0"/>
    <s v="Egypt"/>
    <x v="38"/>
    <x v="195"/>
    <x v="195"/>
    <m/>
    <m/>
    <s v="Break 30 Morning"/>
    <d v="1899-12-30T15:15:00"/>
    <d v="1899-12-30T15:45:00"/>
    <n v="0"/>
    <x v="1"/>
  </r>
  <r>
    <x v="0"/>
    <s v="Egypt"/>
    <x v="38"/>
    <x v="195"/>
    <x v="195"/>
    <d v="2025-06-26T00:00:00"/>
    <m/>
    <s v="Day Off"/>
    <m/>
    <m/>
    <n v="0"/>
    <x v="1"/>
  </r>
  <r>
    <x v="0"/>
    <s v="Egypt"/>
    <x v="38"/>
    <x v="195"/>
    <x v="195"/>
    <d v="2025-06-27T00:00:00"/>
    <m/>
    <s v="Day Off"/>
    <m/>
    <m/>
    <n v="0"/>
    <x v="1"/>
  </r>
  <r>
    <x v="0"/>
    <s v="Egypt"/>
    <x v="38"/>
    <x v="195"/>
    <x v="195"/>
    <d v="2025-06-28T00:00:00"/>
    <m/>
    <s v="Day Off"/>
    <m/>
    <m/>
    <n v="0"/>
    <x v="1"/>
  </r>
  <r>
    <x v="0"/>
    <s v="Egypt"/>
    <x v="38"/>
    <x v="195"/>
    <x v="195"/>
    <d v="2025-06-29T00:00:00"/>
    <d v="1899-12-30T08:15:00"/>
    <s v="Annual"/>
    <m/>
    <m/>
    <n v="29700"/>
    <x v="1"/>
  </r>
  <r>
    <x v="0"/>
    <s v="Egypt"/>
    <x v="38"/>
    <x v="195"/>
    <x v="195"/>
    <d v="2025-06-30T00:00:00"/>
    <m/>
    <s v="Day Off"/>
    <m/>
    <m/>
    <n v="0"/>
    <x v="1"/>
  </r>
  <r>
    <x v="0"/>
    <s v="Egypt"/>
    <x v="39"/>
    <x v="196"/>
    <x v="196"/>
    <d v="2025-06-05T00:00:00"/>
    <d v="1899-12-30T08:15:00"/>
    <s v="Public holiday"/>
    <m/>
    <m/>
    <n v="29700"/>
    <x v="1"/>
  </r>
  <r>
    <x v="0"/>
    <s v="Egypt"/>
    <x v="39"/>
    <x v="196"/>
    <x v="196"/>
    <d v="2025-06-06T00:00:00"/>
    <m/>
    <s v="Day Off"/>
    <m/>
    <m/>
    <n v="0"/>
    <x v="1"/>
  </r>
  <r>
    <x v="0"/>
    <s v="Egypt"/>
    <x v="39"/>
    <x v="196"/>
    <x v="196"/>
    <d v="2025-06-07T00:00:00"/>
    <m/>
    <s v="Day Off"/>
    <m/>
    <m/>
    <n v="0"/>
    <x v="1"/>
  </r>
  <r>
    <x v="0"/>
    <s v="Egypt"/>
    <x v="39"/>
    <x v="196"/>
    <x v="196"/>
    <d v="2025-06-08T00:00:00"/>
    <d v="1899-12-30T08:15:00"/>
    <s v="Public holiday"/>
    <m/>
    <m/>
    <n v="29700"/>
    <x v="1"/>
  </r>
  <r>
    <x v="0"/>
    <s v="Egypt"/>
    <x v="39"/>
    <x v="196"/>
    <x v="196"/>
    <d v="2025-06-09T00:00:00"/>
    <m/>
    <s v="Day Off"/>
    <m/>
    <m/>
    <n v="0"/>
    <x v="1"/>
  </r>
  <r>
    <x v="0"/>
    <s v="Egypt"/>
    <x v="39"/>
    <x v="196"/>
    <x v="196"/>
    <d v="2025-06-10T00:00:00"/>
    <m/>
    <s v="Day Off"/>
    <m/>
    <m/>
    <n v="0"/>
    <x v="1"/>
  </r>
  <r>
    <x v="0"/>
    <s v="Egypt"/>
    <x v="39"/>
    <x v="196"/>
    <x v="196"/>
    <d v="2025-06-11T00:00:00"/>
    <d v="1899-12-30T08:15:00"/>
    <s v="Non Telecom Assyot"/>
    <d v="1899-12-30T11:00:00"/>
    <d v="1899-12-30T19:15:00"/>
    <n v="29700"/>
    <x v="0"/>
  </r>
  <r>
    <x v="0"/>
    <s v="Egypt"/>
    <x v="39"/>
    <x v="196"/>
    <x v="196"/>
    <m/>
    <m/>
    <s v="Break 15 Morning"/>
    <d v="1899-12-30T12:45:00"/>
    <d v="1899-12-30T13:00:00"/>
    <n v="0"/>
    <x v="1"/>
  </r>
  <r>
    <x v="0"/>
    <s v="Egypt"/>
    <x v="39"/>
    <x v="196"/>
    <x v="196"/>
    <m/>
    <m/>
    <s v="One to One"/>
    <d v="1899-12-30T14:00:00"/>
    <d v="1899-12-30T14:15:00"/>
    <n v="0"/>
    <x v="1"/>
  </r>
  <r>
    <x v="0"/>
    <s v="Egypt"/>
    <x v="39"/>
    <x v="196"/>
    <x v="196"/>
    <m/>
    <m/>
    <s v="Break 30 Morning"/>
    <d v="1899-12-30T16:15:00"/>
    <d v="1899-12-30T16:45:00"/>
    <n v="0"/>
    <x v="1"/>
  </r>
  <r>
    <x v="0"/>
    <s v="Egypt"/>
    <x v="39"/>
    <x v="196"/>
    <x v="196"/>
    <d v="2025-06-12T00:00:00"/>
    <d v="1899-12-30T08:15:00"/>
    <s v="Non Telecom Assyot"/>
    <d v="1899-12-30T11:00:00"/>
    <d v="1899-12-30T19:15:00"/>
    <n v="29700"/>
    <x v="0"/>
  </r>
  <r>
    <x v="0"/>
    <s v="Egypt"/>
    <x v="39"/>
    <x v="196"/>
    <x v="196"/>
    <m/>
    <m/>
    <s v="Break 15 Morning"/>
    <d v="1899-12-30T12:30:00"/>
    <d v="1899-12-30T12:45:00"/>
    <n v="0"/>
    <x v="1"/>
  </r>
  <r>
    <x v="0"/>
    <s v="Egypt"/>
    <x v="39"/>
    <x v="196"/>
    <x v="196"/>
    <m/>
    <m/>
    <s v="One to One"/>
    <d v="1899-12-30T14:00:00"/>
    <d v="1899-12-30T14:15:00"/>
    <n v="0"/>
    <x v="1"/>
  </r>
  <r>
    <x v="0"/>
    <s v="Egypt"/>
    <x v="39"/>
    <x v="196"/>
    <x v="196"/>
    <m/>
    <m/>
    <s v="Break 30 Morning"/>
    <d v="1899-12-30T15:15:00"/>
    <d v="1899-12-30T15:45:00"/>
    <n v="0"/>
    <x v="1"/>
  </r>
  <r>
    <x v="0"/>
    <s v="Egypt"/>
    <x v="39"/>
    <x v="196"/>
    <x v="196"/>
    <d v="2025-06-13T00:00:00"/>
    <d v="1899-12-30T08:15:00"/>
    <s v="Non Telecom Assyot"/>
    <d v="1899-12-30T11:00:00"/>
    <d v="1899-12-30T19:15:00"/>
    <n v="29700"/>
    <x v="0"/>
  </r>
  <r>
    <x v="0"/>
    <s v="Egypt"/>
    <x v="39"/>
    <x v="196"/>
    <x v="196"/>
    <m/>
    <m/>
    <s v="Break 15 Morning"/>
    <d v="1899-12-30T12:15:00"/>
    <d v="1899-12-30T12:30:00"/>
    <n v="0"/>
    <x v="1"/>
  </r>
  <r>
    <x v="0"/>
    <s v="Egypt"/>
    <x v="39"/>
    <x v="196"/>
    <x v="196"/>
    <m/>
    <m/>
    <s v="Friday Pray"/>
    <d v="1899-12-30T12:55:00"/>
    <d v="1899-12-30T13:50:00"/>
    <n v="0"/>
    <x v="1"/>
  </r>
  <r>
    <x v="0"/>
    <s v="Egypt"/>
    <x v="39"/>
    <x v="196"/>
    <x v="196"/>
    <m/>
    <m/>
    <s v="One to One"/>
    <d v="1899-12-30T13:50:00"/>
    <d v="1899-12-30T14:00:00"/>
    <n v="0"/>
    <x v="1"/>
  </r>
  <r>
    <x v="0"/>
    <s v="Egypt"/>
    <x v="39"/>
    <x v="196"/>
    <x v="196"/>
    <m/>
    <m/>
    <s v="Break 30 Morning"/>
    <d v="1899-12-30T15:30:00"/>
    <d v="1899-12-30T16:00:00"/>
    <n v="0"/>
    <x v="1"/>
  </r>
  <r>
    <x v="0"/>
    <s v="Egypt"/>
    <x v="39"/>
    <x v="196"/>
    <x v="196"/>
    <d v="2025-06-14T00:00:00"/>
    <d v="1899-12-30T08:15:00"/>
    <s v="Non Telecom Assyot"/>
    <d v="1899-12-30T11:00:00"/>
    <d v="1899-12-30T19:15:00"/>
    <n v="29700"/>
    <x v="0"/>
  </r>
  <r>
    <x v="0"/>
    <s v="Egypt"/>
    <x v="39"/>
    <x v="196"/>
    <x v="196"/>
    <m/>
    <m/>
    <s v="Break 15 Morning"/>
    <d v="1899-12-30T12:45:00"/>
    <d v="1899-12-30T13:00:00"/>
    <n v="0"/>
    <x v="1"/>
  </r>
  <r>
    <x v="0"/>
    <s v="Egypt"/>
    <x v="39"/>
    <x v="196"/>
    <x v="196"/>
    <m/>
    <m/>
    <s v="One to One"/>
    <d v="1899-12-30T14:15:00"/>
    <d v="1899-12-30T14:30:00"/>
    <n v="0"/>
    <x v="1"/>
  </r>
  <r>
    <x v="0"/>
    <s v="Egypt"/>
    <x v="39"/>
    <x v="196"/>
    <x v="196"/>
    <m/>
    <m/>
    <s v="Break 30 Morning"/>
    <d v="1899-12-30T15:45:00"/>
    <d v="1899-12-30T16:15:00"/>
    <n v="0"/>
    <x v="1"/>
  </r>
  <r>
    <x v="0"/>
    <s v="Egypt"/>
    <x v="39"/>
    <x v="196"/>
    <x v="196"/>
    <d v="2025-06-15T00:00:00"/>
    <d v="1899-12-30T08:15:00"/>
    <s v="Non Telecom Assyot"/>
    <d v="1899-12-30T11:00:00"/>
    <d v="1899-12-30T19:15:00"/>
    <n v="29700"/>
    <x v="0"/>
  </r>
  <r>
    <x v="0"/>
    <s v="Egypt"/>
    <x v="39"/>
    <x v="196"/>
    <x v="196"/>
    <m/>
    <m/>
    <s v="Break 15 Morning"/>
    <d v="1899-12-30T12:30:00"/>
    <d v="1899-12-30T12:45:00"/>
    <n v="0"/>
    <x v="1"/>
  </r>
  <r>
    <x v="0"/>
    <s v="Egypt"/>
    <x v="39"/>
    <x v="196"/>
    <x v="196"/>
    <m/>
    <m/>
    <s v="Break 30 Morning"/>
    <d v="1899-12-30T15:45:00"/>
    <d v="1899-12-30T16:15:00"/>
    <n v="0"/>
    <x v="1"/>
  </r>
  <r>
    <x v="0"/>
    <s v="Egypt"/>
    <x v="39"/>
    <x v="196"/>
    <x v="196"/>
    <d v="2025-06-16T00:00:00"/>
    <m/>
    <s v="Day Off"/>
    <m/>
    <m/>
    <n v="0"/>
    <x v="1"/>
  </r>
  <r>
    <x v="0"/>
    <s v="Egypt"/>
    <x v="39"/>
    <x v="196"/>
    <x v="196"/>
    <d v="2025-06-17T00:00:00"/>
    <m/>
    <s v="Day Off"/>
    <m/>
    <m/>
    <n v="0"/>
    <x v="1"/>
  </r>
  <r>
    <x v="0"/>
    <s v="Egypt"/>
    <x v="39"/>
    <x v="196"/>
    <x v="196"/>
    <d v="2025-06-18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00:00"/>
    <d v="1899-12-30T19:15:00"/>
    <n v="0"/>
    <x v="1"/>
  </r>
  <r>
    <x v="0"/>
    <s v="Egypt"/>
    <x v="39"/>
    <x v="196"/>
    <x v="196"/>
    <m/>
    <m/>
    <s v="Break 30 Night"/>
    <d v="1899-12-30T21:45:00"/>
    <d v="1899-12-30T22:15:00"/>
    <n v="0"/>
    <x v="1"/>
  </r>
  <r>
    <x v="0"/>
    <s v="Egypt"/>
    <x v="39"/>
    <x v="196"/>
    <x v="196"/>
    <d v="2025-06-19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00:00"/>
    <d v="1899-12-30T19:15:00"/>
    <n v="0"/>
    <x v="1"/>
  </r>
  <r>
    <x v="0"/>
    <s v="Egypt"/>
    <x v="39"/>
    <x v="196"/>
    <x v="196"/>
    <m/>
    <m/>
    <s v="Break 30 Night"/>
    <d v="1899-12-30T22:00:00"/>
    <d v="1899-12-30T22:30:00"/>
    <n v="0"/>
    <x v="1"/>
  </r>
  <r>
    <x v="0"/>
    <s v="Egypt"/>
    <x v="39"/>
    <x v="196"/>
    <x v="196"/>
    <d v="2025-06-20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15:00"/>
    <d v="1899-12-30T19:30:00"/>
    <n v="0"/>
    <x v="1"/>
  </r>
  <r>
    <x v="0"/>
    <s v="Egypt"/>
    <x v="39"/>
    <x v="196"/>
    <x v="196"/>
    <m/>
    <m/>
    <s v="Break 30 Night"/>
    <d v="1899-12-30T22:15:00"/>
    <d v="1899-12-30T22:45:00"/>
    <n v="0"/>
    <x v="1"/>
  </r>
  <r>
    <x v="0"/>
    <s v="Egypt"/>
    <x v="39"/>
    <x v="196"/>
    <x v="196"/>
    <d v="2025-06-21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00:00"/>
    <d v="1899-12-30T19:15:00"/>
    <n v="0"/>
    <x v="1"/>
  </r>
  <r>
    <x v="0"/>
    <s v="Egypt"/>
    <x v="39"/>
    <x v="196"/>
    <x v="196"/>
    <m/>
    <m/>
    <s v="Break 30 Night"/>
    <d v="1899-12-30T22:00:00"/>
    <d v="1899-12-30T22:30:00"/>
    <n v="0"/>
    <x v="1"/>
  </r>
  <r>
    <x v="0"/>
    <s v="Egypt"/>
    <x v="39"/>
    <x v="196"/>
    <x v="196"/>
    <d v="2025-06-22T00:00:00"/>
    <d v="1899-12-30T08:15:00"/>
    <s v="Non Telecom Assyot"/>
    <d v="1899-12-30T14:00:00"/>
    <d v="1899-12-30T22:15:00"/>
    <n v="29700"/>
    <x v="0"/>
  </r>
  <r>
    <x v="0"/>
    <s v="Egypt"/>
    <x v="39"/>
    <x v="196"/>
    <x v="196"/>
    <m/>
    <m/>
    <s v="Break 15 Morning"/>
    <d v="1899-12-30T17:30:00"/>
    <d v="1899-12-30T17:45:00"/>
    <n v="0"/>
    <x v="1"/>
  </r>
  <r>
    <x v="0"/>
    <s v="Egypt"/>
    <x v="39"/>
    <x v="196"/>
    <x v="196"/>
    <m/>
    <m/>
    <s v="Break 30 Morning"/>
    <d v="1899-12-30T20:15:00"/>
    <d v="1899-12-30T20:45:00"/>
    <n v="0"/>
    <x v="1"/>
  </r>
  <r>
    <x v="0"/>
    <s v="Egypt"/>
    <x v="39"/>
    <x v="196"/>
    <x v="196"/>
    <d v="2025-06-23T00:00:00"/>
    <m/>
    <s v="Day Off"/>
    <m/>
    <m/>
    <n v="0"/>
    <x v="1"/>
  </r>
  <r>
    <x v="0"/>
    <s v="Egypt"/>
    <x v="39"/>
    <x v="196"/>
    <x v="196"/>
    <d v="2025-06-24T00:00:00"/>
    <m/>
    <s v="Day Off"/>
    <m/>
    <m/>
    <n v="0"/>
    <x v="1"/>
  </r>
  <r>
    <x v="0"/>
    <s v="Egypt"/>
    <x v="39"/>
    <x v="196"/>
    <x v="196"/>
    <d v="2025-06-25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30:00"/>
    <d v="1899-12-30T19:45:00"/>
    <n v="0"/>
    <x v="1"/>
  </r>
  <r>
    <x v="0"/>
    <s v="Egypt"/>
    <x v="39"/>
    <x v="196"/>
    <x v="196"/>
    <m/>
    <m/>
    <s v="Break 30 Night"/>
    <d v="1899-12-30T22:00:00"/>
    <d v="1899-12-30T22:30:00"/>
    <n v="0"/>
    <x v="1"/>
  </r>
  <r>
    <x v="0"/>
    <s v="Egypt"/>
    <x v="39"/>
    <x v="196"/>
    <x v="196"/>
    <d v="2025-06-26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15:00"/>
    <d v="1899-12-30T19:30:00"/>
    <n v="0"/>
    <x v="1"/>
  </r>
  <r>
    <x v="0"/>
    <s v="Egypt"/>
    <x v="39"/>
    <x v="196"/>
    <x v="196"/>
    <m/>
    <m/>
    <s v="Break 30 Night"/>
    <d v="1899-12-30T22:00:00"/>
    <d v="1899-12-30T22:30:00"/>
    <n v="0"/>
    <x v="1"/>
  </r>
  <r>
    <x v="0"/>
    <s v="Egypt"/>
    <x v="39"/>
    <x v="196"/>
    <x v="196"/>
    <d v="2025-06-27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30:00"/>
    <d v="1899-12-30T19:45:00"/>
    <n v="0"/>
    <x v="1"/>
  </r>
  <r>
    <x v="0"/>
    <s v="Egypt"/>
    <x v="39"/>
    <x v="196"/>
    <x v="196"/>
    <m/>
    <m/>
    <s v="Break 30 Night"/>
    <d v="1899-12-30T22:15:00"/>
    <d v="1899-12-30T22:45:00"/>
    <n v="0"/>
    <x v="1"/>
  </r>
  <r>
    <x v="0"/>
    <s v="Egypt"/>
    <x v="39"/>
    <x v="196"/>
    <x v="196"/>
    <d v="2025-06-28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30:00"/>
    <d v="1899-12-30T19:45:00"/>
    <n v="0"/>
    <x v="1"/>
  </r>
  <r>
    <x v="0"/>
    <s v="Egypt"/>
    <x v="39"/>
    <x v="196"/>
    <x v="196"/>
    <m/>
    <m/>
    <s v="Break 30 Night"/>
    <d v="1899-12-30T22:30:00"/>
    <d v="1899-12-30T23:00:00"/>
    <n v="0"/>
    <x v="1"/>
  </r>
  <r>
    <x v="0"/>
    <s v="Egypt"/>
    <x v="39"/>
    <x v="196"/>
    <x v="196"/>
    <d v="2025-06-29T00:00:00"/>
    <d v="1899-12-30T08:15:00"/>
    <s v="Non Telecom Assyot"/>
    <d v="1899-12-30T17:15:00"/>
    <s v="+1:30 AM"/>
    <n v="29700"/>
    <x v="0"/>
  </r>
  <r>
    <x v="0"/>
    <s v="Egypt"/>
    <x v="39"/>
    <x v="196"/>
    <x v="196"/>
    <m/>
    <m/>
    <s v="Break 15 Night"/>
    <d v="1899-12-30T19:15:00"/>
    <d v="1899-12-30T19:30:00"/>
    <n v="0"/>
    <x v="1"/>
  </r>
  <r>
    <x v="0"/>
    <s v="Egypt"/>
    <x v="39"/>
    <x v="196"/>
    <x v="196"/>
    <m/>
    <m/>
    <s v="Break 30 Night"/>
    <d v="1899-12-30T22:30:00"/>
    <d v="1899-12-30T23:00:00"/>
    <n v="0"/>
    <x v="1"/>
  </r>
  <r>
    <x v="0"/>
    <s v="Egypt"/>
    <x v="39"/>
    <x v="196"/>
    <x v="196"/>
    <d v="2025-06-30T00:00:00"/>
    <m/>
    <s v="Day Off"/>
    <m/>
    <m/>
    <n v="0"/>
    <x v="1"/>
  </r>
  <r>
    <x v="0"/>
    <s v="Egypt"/>
    <x v="39"/>
    <x v="197"/>
    <x v="197"/>
    <d v="2025-06-01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00:00"/>
    <d v="1899-12-30T19:15:00"/>
    <n v="0"/>
    <x v="1"/>
  </r>
  <r>
    <x v="0"/>
    <s v="Egypt"/>
    <x v="39"/>
    <x v="197"/>
    <x v="197"/>
    <m/>
    <m/>
    <s v="Break 30 Night"/>
    <d v="1899-12-30T22:15:00"/>
    <d v="1899-12-30T22:45:00"/>
    <n v="0"/>
    <x v="1"/>
  </r>
  <r>
    <x v="0"/>
    <s v="Egypt"/>
    <x v="39"/>
    <x v="197"/>
    <x v="197"/>
    <d v="2025-06-02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8:45:00"/>
    <d v="1899-12-30T19:00:00"/>
    <n v="0"/>
    <x v="1"/>
  </r>
  <r>
    <x v="0"/>
    <s v="Egypt"/>
    <x v="39"/>
    <x v="197"/>
    <x v="197"/>
    <m/>
    <m/>
    <s v="Break 30 Night"/>
    <d v="1899-12-30T22:15:00"/>
    <d v="1899-12-30T22:45:00"/>
    <n v="0"/>
    <x v="1"/>
  </r>
  <r>
    <x v="0"/>
    <s v="Egypt"/>
    <x v="39"/>
    <x v="197"/>
    <x v="197"/>
    <d v="2025-06-03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30:00"/>
    <d v="1899-12-30T19:45:00"/>
    <n v="0"/>
    <x v="1"/>
  </r>
  <r>
    <x v="0"/>
    <s v="Egypt"/>
    <x v="39"/>
    <x v="197"/>
    <x v="197"/>
    <m/>
    <m/>
    <s v="Break 30 Night"/>
    <d v="1899-12-30T22:45:00"/>
    <d v="1899-12-30T23:15:00"/>
    <n v="0"/>
    <x v="1"/>
  </r>
  <r>
    <x v="0"/>
    <s v="Egypt"/>
    <x v="39"/>
    <x v="197"/>
    <x v="197"/>
    <d v="2025-06-04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00:00"/>
    <d v="1899-12-30T19:15:00"/>
    <n v="0"/>
    <x v="1"/>
  </r>
  <r>
    <x v="0"/>
    <s v="Egypt"/>
    <x v="39"/>
    <x v="197"/>
    <x v="197"/>
    <m/>
    <m/>
    <s v="Break 30 Night"/>
    <d v="1899-12-30T22:00:00"/>
    <d v="1899-12-30T22:30:00"/>
    <n v="0"/>
    <x v="1"/>
  </r>
  <r>
    <x v="0"/>
    <s v="Egypt"/>
    <x v="39"/>
    <x v="197"/>
    <x v="197"/>
    <d v="2025-06-05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15:00"/>
    <d v="1899-12-30T19:30:00"/>
    <n v="0"/>
    <x v="1"/>
  </r>
  <r>
    <x v="0"/>
    <s v="Egypt"/>
    <x v="39"/>
    <x v="197"/>
    <x v="197"/>
    <m/>
    <m/>
    <s v="Break 30 Night"/>
    <d v="1899-12-30T22:45:00"/>
    <d v="1899-12-30T23:15:00"/>
    <n v="0"/>
    <x v="1"/>
  </r>
  <r>
    <x v="0"/>
    <s v="Egypt"/>
    <x v="39"/>
    <x v="197"/>
    <x v="197"/>
    <d v="2025-06-06T00:00:00"/>
    <m/>
    <s v="Day Off"/>
    <m/>
    <m/>
    <n v="0"/>
    <x v="1"/>
  </r>
  <r>
    <x v="0"/>
    <s v="Egypt"/>
    <x v="39"/>
    <x v="197"/>
    <x v="197"/>
    <d v="2025-06-07T00:00:00"/>
    <m/>
    <s v="Day Off"/>
    <m/>
    <m/>
    <n v="0"/>
    <x v="1"/>
  </r>
  <r>
    <x v="0"/>
    <s v="Egypt"/>
    <x v="39"/>
    <x v="197"/>
    <x v="197"/>
    <d v="2025-06-08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45:00"/>
    <d v="1899-12-30T16:00:00"/>
    <n v="0"/>
    <x v="1"/>
  </r>
  <r>
    <x v="0"/>
    <s v="Egypt"/>
    <x v="39"/>
    <x v="197"/>
    <x v="197"/>
    <m/>
    <m/>
    <s v="Break 30 Morning"/>
    <d v="1899-12-30T18:45:00"/>
    <d v="1899-12-30T19:15:00"/>
    <n v="0"/>
    <x v="1"/>
  </r>
  <r>
    <x v="0"/>
    <s v="Egypt"/>
    <x v="39"/>
    <x v="197"/>
    <x v="197"/>
    <d v="2025-06-09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15:00"/>
    <d v="1899-12-30T15:30:00"/>
    <n v="0"/>
    <x v="1"/>
  </r>
  <r>
    <x v="0"/>
    <s v="Egypt"/>
    <x v="39"/>
    <x v="197"/>
    <x v="197"/>
    <m/>
    <m/>
    <s v="Break 30 Morning"/>
    <d v="1899-12-30T19:00:00"/>
    <d v="1899-12-30T19:30:00"/>
    <n v="0"/>
    <x v="1"/>
  </r>
  <r>
    <x v="0"/>
    <s v="Egypt"/>
    <x v="39"/>
    <x v="197"/>
    <x v="197"/>
    <d v="2025-06-10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30:00"/>
    <d v="1899-12-30T15:45:00"/>
    <n v="0"/>
    <x v="1"/>
  </r>
  <r>
    <x v="0"/>
    <s v="Egypt"/>
    <x v="39"/>
    <x v="197"/>
    <x v="197"/>
    <m/>
    <m/>
    <s v="Break 30 Morning"/>
    <d v="1899-12-30T19:00:00"/>
    <d v="1899-12-30T19:30:00"/>
    <n v="0"/>
    <x v="1"/>
  </r>
  <r>
    <x v="0"/>
    <s v="Egypt"/>
    <x v="39"/>
    <x v="197"/>
    <x v="197"/>
    <d v="2025-06-11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45:00"/>
    <d v="1899-12-30T16:00:00"/>
    <n v="0"/>
    <x v="1"/>
  </r>
  <r>
    <x v="0"/>
    <s v="Egypt"/>
    <x v="39"/>
    <x v="197"/>
    <x v="197"/>
    <m/>
    <m/>
    <s v="Break 30 Morning"/>
    <d v="1899-12-30T19:15:00"/>
    <d v="1899-12-30T19:45:00"/>
    <n v="0"/>
    <x v="1"/>
  </r>
  <r>
    <x v="0"/>
    <s v="Egypt"/>
    <x v="39"/>
    <x v="197"/>
    <x v="197"/>
    <d v="2025-06-12T00:00:00"/>
    <m/>
    <s v="Day Off"/>
    <m/>
    <m/>
    <n v="0"/>
    <x v="1"/>
  </r>
  <r>
    <x v="0"/>
    <s v="Egypt"/>
    <x v="39"/>
    <x v="197"/>
    <x v="197"/>
    <d v="2025-06-13T00:00:00"/>
    <m/>
    <s v="Day Off"/>
    <m/>
    <m/>
    <n v="0"/>
    <x v="1"/>
  </r>
  <r>
    <x v="0"/>
    <s v="Egypt"/>
    <x v="39"/>
    <x v="197"/>
    <x v="197"/>
    <d v="2025-06-14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15:00"/>
    <d v="1899-12-30T19:30:00"/>
    <n v="0"/>
    <x v="1"/>
  </r>
  <r>
    <x v="0"/>
    <s v="Egypt"/>
    <x v="39"/>
    <x v="197"/>
    <x v="197"/>
    <m/>
    <m/>
    <s v="Break 30 Night"/>
    <d v="1899-12-30T22:00:00"/>
    <d v="1899-12-30T22:30:00"/>
    <n v="0"/>
    <x v="1"/>
  </r>
  <r>
    <x v="0"/>
    <s v="Egypt"/>
    <x v="39"/>
    <x v="197"/>
    <x v="197"/>
    <d v="2025-06-15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45:00"/>
    <d v="1899-12-30T20:00:00"/>
    <n v="0"/>
    <x v="1"/>
  </r>
  <r>
    <x v="0"/>
    <s v="Egypt"/>
    <x v="39"/>
    <x v="197"/>
    <x v="197"/>
    <m/>
    <m/>
    <s v="Break 30 Night"/>
    <d v="1899-12-30T22:15:00"/>
    <d v="1899-12-30T22:45:00"/>
    <n v="0"/>
    <x v="1"/>
  </r>
  <r>
    <x v="0"/>
    <s v="Egypt"/>
    <x v="39"/>
    <x v="197"/>
    <x v="197"/>
    <d v="2025-06-16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45:00"/>
    <d v="1899-12-30T20:00:00"/>
    <n v="0"/>
    <x v="1"/>
  </r>
  <r>
    <x v="0"/>
    <s v="Egypt"/>
    <x v="39"/>
    <x v="197"/>
    <x v="197"/>
    <m/>
    <m/>
    <s v="Break 30 Night"/>
    <d v="1899-12-30T22:30:00"/>
    <d v="1899-12-30T23:00:00"/>
    <n v="0"/>
    <x v="1"/>
  </r>
  <r>
    <x v="0"/>
    <s v="Egypt"/>
    <x v="39"/>
    <x v="197"/>
    <x v="197"/>
    <d v="2025-06-17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30:00"/>
    <d v="1899-12-30T19:45:00"/>
    <n v="0"/>
    <x v="1"/>
  </r>
  <r>
    <x v="0"/>
    <s v="Egypt"/>
    <x v="39"/>
    <x v="197"/>
    <x v="197"/>
    <m/>
    <m/>
    <s v="Break 30 Night"/>
    <d v="1899-12-30T22:30:00"/>
    <d v="1899-12-30T23:00:00"/>
    <n v="0"/>
    <x v="1"/>
  </r>
  <r>
    <x v="0"/>
    <s v="Egypt"/>
    <x v="39"/>
    <x v="197"/>
    <x v="197"/>
    <d v="2025-06-18T00:00:00"/>
    <m/>
    <s v="Day Off"/>
    <m/>
    <m/>
    <n v="0"/>
    <x v="1"/>
  </r>
  <r>
    <x v="0"/>
    <s v="Egypt"/>
    <x v="39"/>
    <x v="197"/>
    <x v="197"/>
    <d v="2025-06-19T00:00:00"/>
    <m/>
    <s v="Day Off"/>
    <m/>
    <m/>
    <n v="0"/>
    <x v="1"/>
  </r>
  <r>
    <x v="0"/>
    <s v="Egypt"/>
    <x v="39"/>
    <x v="197"/>
    <x v="197"/>
    <d v="2025-06-20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45:00"/>
    <d v="1899-12-30T16:00:00"/>
    <n v="0"/>
    <x v="1"/>
  </r>
  <r>
    <x v="0"/>
    <s v="Egypt"/>
    <x v="39"/>
    <x v="197"/>
    <x v="197"/>
    <m/>
    <m/>
    <s v="Break 30 Morning"/>
    <d v="1899-12-30T18:45:00"/>
    <d v="1899-12-30T19:15:00"/>
    <n v="0"/>
    <x v="1"/>
  </r>
  <r>
    <x v="0"/>
    <s v="Egypt"/>
    <x v="39"/>
    <x v="197"/>
    <x v="197"/>
    <d v="2025-06-21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5:45:00"/>
    <d v="1899-12-30T16:00:00"/>
    <n v="0"/>
    <x v="1"/>
  </r>
  <r>
    <x v="0"/>
    <s v="Egypt"/>
    <x v="39"/>
    <x v="197"/>
    <x v="197"/>
    <m/>
    <m/>
    <s v="Break 30 Morning"/>
    <d v="1899-12-30T18:45:00"/>
    <d v="1899-12-30T19:15:00"/>
    <n v="0"/>
    <x v="1"/>
  </r>
  <r>
    <x v="0"/>
    <s v="Egypt"/>
    <x v="39"/>
    <x v="197"/>
    <x v="197"/>
    <d v="2025-06-22T00:00:00"/>
    <d v="1899-12-30T08:15:00"/>
    <s v="Annual Exception"/>
    <m/>
    <m/>
    <n v="29700"/>
    <x v="1"/>
  </r>
  <r>
    <x v="0"/>
    <s v="Egypt"/>
    <x v="39"/>
    <x v="197"/>
    <x v="197"/>
    <d v="2025-06-23T00:00:00"/>
    <d v="1899-12-30T08:15:00"/>
    <s v="Non Telecom Assyot"/>
    <d v="1899-12-30T14:00:00"/>
    <d v="1899-12-30T22:15:00"/>
    <n v="29700"/>
    <x v="0"/>
  </r>
  <r>
    <x v="0"/>
    <s v="Egypt"/>
    <x v="39"/>
    <x v="197"/>
    <x v="197"/>
    <m/>
    <m/>
    <s v="Break 15 Morning"/>
    <d v="1899-12-30T16:00:00"/>
    <d v="1899-12-30T16:15:00"/>
    <n v="0"/>
    <x v="1"/>
  </r>
  <r>
    <x v="0"/>
    <s v="Egypt"/>
    <x v="39"/>
    <x v="197"/>
    <x v="197"/>
    <m/>
    <m/>
    <s v="Break 30 Morning"/>
    <d v="1899-12-30T18:15:00"/>
    <d v="1899-12-30T18:45:00"/>
    <n v="0"/>
    <x v="1"/>
  </r>
  <r>
    <x v="0"/>
    <s v="Egypt"/>
    <x v="39"/>
    <x v="197"/>
    <x v="197"/>
    <d v="2025-06-24T00:00:00"/>
    <m/>
    <s v="Day Off"/>
    <m/>
    <m/>
    <n v="0"/>
    <x v="1"/>
  </r>
  <r>
    <x v="0"/>
    <s v="Egypt"/>
    <x v="39"/>
    <x v="197"/>
    <x v="197"/>
    <d v="2025-06-25T00:00:00"/>
    <m/>
    <s v="Day Off"/>
    <m/>
    <m/>
    <n v="0"/>
    <x v="1"/>
  </r>
  <r>
    <x v="0"/>
    <s v="Egypt"/>
    <x v="39"/>
    <x v="197"/>
    <x v="197"/>
    <d v="2025-06-26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45:00"/>
    <d v="1899-12-30T20:00:00"/>
    <n v="0"/>
    <x v="1"/>
  </r>
  <r>
    <x v="0"/>
    <s v="Egypt"/>
    <x v="39"/>
    <x v="197"/>
    <x v="197"/>
    <m/>
    <m/>
    <s v="Break 30 Night"/>
    <d v="1899-12-30T23:00:00"/>
    <d v="1899-12-30T23:30:00"/>
    <n v="0"/>
    <x v="1"/>
  </r>
  <r>
    <x v="0"/>
    <s v="Egypt"/>
    <x v="39"/>
    <x v="197"/>
    <x v="197"/>
    <d v="2025-06-27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20:00:00"/>
    <d v="1899-12-30T20:15:00"/>
    <n v="0"/>
    <x v="1"/>
  </r>
  <r>
    <x v="0"/>
    <s v="Egypt"/>
    <x v="39"/>
    <x v="197"/>
    <x v="197"/>
    <m/>
    <m/>
    <s v="Break 30 Night"/>
    <d v="1899-12-30T23:15:00"/>
    <d v="1899-12-30T23:45:00"/>
    <n v="0"/>
    <x v="1"/>
  </r>
  <r>
    <x v="0"/>
    <s v="Egypt"/>
    <x v="39"/>
    <x v="197"/>
    <x v="197"/>
    <d v="2025-06-28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45:00"/>
    <d v="1899-12-30T20:00:00"/>
    <n v="0"/>
    <x v="1"/>
  </r>
  <r>
    <x v="0"/>
    <s v="Egypt"/>
    <x v="39"/>
    <x v="197"/>
    <x v="197"/>
    <m/>
    <m/>
    <s v="Break 30 Night"/>
    <d v="1899-12-30T23:00:00"/>
    <d v="1899-12-30T23:30:00"/>
    <n v="0"/>
    <x v="1"/>
  </r>
  <r>
    <x v="0"/>
    <s v="Egypt"/>
    <x v="39"/>
    <x v="197"/>
    <x v="197"/>
    <d v="2025-06-29T00:00:00"/>
    <d v="1899-12-30T08:15:00"/>
    <s v="Non Telecom Assyot"/>
    <d v="1899-12-30T17:15:00"/>
    <s v="+1:30 AM"/>
    <n v="29700"/>
    <x v="0"/>
  </r>
  <r>
    <x v="0"/>
    <s v="Egypt"/>
    <x v="39"/>
    <x v="197"/>
    <x v="197"/>
    <m/>
    <m/>
    <s v="Break 15 Night"/>
    <d v="1899-12-30T19:45:00"/>
    <d v="1899-12-30T20:00:00"/>
    <n v="0"/>
    <x v="1"/>
  </r>
  <r>
    <x v="0"/>
    <s v="Egypt"/>
    <x v="39"/>
    <x v="197"/>
    <x v="197"/>
    <m/>
    <m/>
    <s v="Break 30 Night"/>
    <d v="1899-12-30T22:30:00"/>
    <d v="1899-12-30T23:00:00"/>
    <n v="0"/>
    <x v="1"/>
  </r>
  <r>
    <x v="0"/>
    <s v="Egypt"/>
    <x v="39"/>
    <x v="197"/>
    <x v="197"/>
    <d v="2025-06-30T00:00:00"/>
    <m/>
    <s v="Day Off"/>
    <m/>
    <m/>
    <n v="0"/>
    <x v="1"/>
  </r>
  <r>
    <x v="0"/>
    <s v="Egypt"/>
    <x v="39"/>
    <x v="198"/>
    <x v="198"/>
    <d v="2025-06-01T00:00:00"/>
    <m/>
    <s v="Day Off"/>
    <m/>
    <m/>
    <n v="0"/>
    <x v="1"/>
  </r>
  <r>
    <x v="0"/>
    <s v="Egypt"/>
    <x v="39"/>
    <x v="198"/>
    <x v="198"/>
    <d v="2025-06-02T00:00:00"/>
    <m/>
    <s v="Day Off"/>
    <m/>
    <m/>
    <n v="0"/>
    <x v="1"/>
  </r>
  <r>
    <x v="0"/>
    <s v="Egypt"/>
    <x v="39"/>
    <x v="198"/>
    <x v="198"/>
    <d v="2025-06-03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45:00"/>
    <d v="1899-12-30T20:00:00"/>
    <n v="0"/>
    <x v="1"/>
  </r>
  <r>
    <x v="0"/>
    <s v="Egypt"/>
    <x v="39"/>
    <x v="198"/>
    <x v="198"/>
    <m/>
    <m/>
    <s v="Break 30 Night"/>
    <d v="1899-12-30T22:45:00"/>
    <d v="1899-12-30T23:15:00"/>
    <n v="0"/>
    <x v="1"/>
  </r>
  <r>
    <x v="0"/>
    <s v="Egypt"/>
    <x v="39"/>
    <x v="198"/>
    <x v="198"/>
    <d v="2025-06-04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15:00"/>
    <d v="1899-12-30T19:30:00"/>
    <n v="0"/>
    <x v="1"/>
  </r>
  <r>
    <x v="0"/>
    <s v="Egypt"/>
    <x v="39"/>
    <x v="198"/>
    <x v="198"/>
    <m/>
    <m/>
    <s v="Break 30 Night"/>
    <d v="1899-12-30T22:30:00"/>
    <d v="1899-12-30T23:00:00"/>
    <n v="0"/>
    <x v="1"/>
  </r>
  <r>
    <x v="0"/>
    <s v="Egypt"/>
    <x v="39"/>
    <x v="198"/>
    <x v="198"/>
    <d v="2025-06-05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30:00"/>
    <d v="1899-12-30T19:45:00"/>
    <n v="0"/>
    <x v="1"/>
  </r>
  <r>
    <x v="0"/>
    <s v="Egypt"/>
    <x v="39"/>
    <x v="198"/>
    <x v="198"/>
    <m/>
    <m/>
    <s v="Break 30 Night"/>
    <d v="1899-12-30T22:45:00"/>
    <d v="1899-12-30T23:15:00"/>
    <n v="0"/>
    <x v="1"/>
  </r>
  <r>
    <x v="0"/>
    <s v="Egypt"/>
    <x v="39"/>
    <x v="198"/>
    <x v="198"/>
    <d v="2025-06-06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15:00"/>
    <d v="1899-12-30T19:30:00"/>
    <n v="0"/>
    <x v="1"/>
  </r>
  <r>
    <x v="0"/>
    <s v="Egypt"/>
    <x v="39"/>
    <x v="198"/>
    <x v="198"/>
    <m/>
    <m/>
    <s v="Break 30 Night"/>
    <d v="1899-12-30T22:30:00"/>
    <d v="1899-12-30T23:00:00"/>
    <n v="0"/>
    <x v="1"/>
  </r>
  <r>
    <x v="0"/>
    <s v="Egypt"/>
    <x v="39"/>
    <x v="198"/>
    <x v="198"/>
    <d v="2025-06-07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30:00"/>
    <d v="1899-12-30T19:45:00"/>
    <n v="0"/>
    <x v="1"/>
  </r>
  <r>
    <x v="0"/>
    <s v="Egypt"/>
    <x v="39"/>
    <x v="198"/>
    <x v="198"/>
    <m/>
    <m/>
    <s v="Break 30 Night"/>
    <d v="1899-12-30T22:30:00"/>
    <d v="1899-12-30T23:00:00"/>
    <n v="0"/>
    <x v="1"/>
  </r>
  <r>
    <x v="0"/>
    <s v="Egypt"/>
    <x v="39"/>
    <x v="198"/>
    <x v="198"/>
    <d v="2025-06-08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5:45:00"/>
    <d v="1899-12-30T16:00:00"/>
    <n v="0"/>
    <x v="1"/>
  </r>
  <r>
    <x v="0"/>
    <s v="Egypt"/>
    <x v="39"/>
    <x v="198"/>
    <x v="198"/>
    <m/>
    <m/>
    <s v="Break 30 Morning"/>
    <d v="1899-12-30T18:45:00"/>
    <d v="1899-12-30T19:15:00"/>
    <n v="0"/>
    <x v="1"/>
  </r>
  <r>
    <x v="0"/>
    <s v="Egypt"/>
    <x v="39"/>
    <x v="198"/>
    <x v="198"/>
    <d v="2025-06-09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5:15:00"/>
    <d v="1899-12-30T15:30:00"/>
    <n v="0"/>
    <x v="1"/>
  </r>
  <r>
    <x v="0"/>
    <s v="Egypt"/>
    <x v="39"/>
    <x v="198"/>
    <x v="198"/>
    <m/>
    <m/>
    <s v="Break 30 Morning"/>
    <d v="1899-12-30T19:00:00"/>
    <d v="1899-12-30T19:30:00"/>
    <n v="0"/>
    <x v="1"/>
  </r>
  <r>
    <x v="0"/>
    <s v="Egypt"/>
    <x v="39"/>
    <x v="198"/>
    <x v="198"/>
    <d v="2025-06-10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5:45:00"/>
    <d v="1899-12-30T16:00:00"/>
    <n v="0"/>
    <x v="1"/>
  </r>
  <r>
    <x v="0"/>
    <s v="Egypt"/>
    <x v="39"/>
    <x v="198"/>
    <x v="198"/>
    <m/>
    <m/>
    <s v="Break 30 Morning"/>
    <d v="1899-12-30T19:15:00"/>
    <d v="1899-12-30T19:45:00"/>
    <n v="0"/>
    <x v="1"/>
  </r>
  <r>
    <x v="0"/>
    <s v="Egypt"/>
    <x v="39"/>
    <x v="198"/>
    <x v="198"/>
    <d v="2025-06-11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5:45:00"/>
    <d v="1899-12-30T16:00:00"/>
    <n v="0"/>
    <x v="1"/>
  </r>
  <r>
    <x v="0"/>
    <s v="Egypt"/>
    <x v="39"/>
    <x v="198"/>
    <x v="198"/>
    <m/>
    <m/>
    <s v="Break 30 Morning"/>
    <d v="1899-12-30T19:15:00"/>
    <d v="1899-12-30T19:45:00"/>
    <n v="0"/>
    <x v="1"/>
  </r>
  <r>
    <x v="0"/>
    <s v="Egypt"/>
    <x v="39"/>
    <x v="198"/>
    <x v="198"/>
    <d v="2025-06-12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5:45:00"/>
    <d v="1899-12-30T16:00:00"/>
    <n v="0"/>
    <x v="1"/>
  </r>
  <r>
    <x v="0"/>
    <s v="Egypt"/>
    <x v="39"/>
    <x v="198"/>
    <x v="198"/>
    <m/>
    <m/>
    <s v="Break 30 Morning"/>
    <d v="1899-12-30T19:00:00"/>
    <d v="1899-12-30T19:30:00"/>
    <n v="0"/>
    <x v="1"/>
  </r>
  <r>
    <x v="0"/>
    <s v="Egypt"/>
    <x v="39"/>
    <x v="198"/>
    <x v="198"/>
    <d v="2025-06-13T00:00:00"/>
    <m/>
    <s v="Day Off"/>
    <m/>
    <m/>
    <n v="0"/>
    <x v="1"/>
  </r>
  <r>
    <x v="0"/>
    <s v="Egypt"/>
    <x v="39"/>
    <x v="198"/>
    <x v="198"/>
    <d v="2025-06-14T00:00:00"/>
    <m/>
    <s v="Day Off"/>
    <m/>
    <m/>
    <n v="0"/>
    <x v="1"/>
  </r>
  <r>
    <x v="0"/>
    <s v="Egypt"/>
    <x v="39"/>
    <x v="198"/>
    <x v="198"/>
    <d v="2025-06-15T00:00:00"/>
    <d v="1899-12-30T08:15:00"/>
    <s v="No show"/>
    <d v="1899-12-30T17:15:00"/>
    <s v="+1:30 AM"/>
    <n v="29700"/>
    <x v="1"/>
  </r>
  <r>
    <x v="0"/>
    <s v="Egypt"/>
    <x v="39"/>
    <x v="198"/>
    <x v="198"/>
    <d v="2025-06-16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20:00:00"/>
    <d v="1899-12-30T20:15:00"/>
    <n v="0"/>
    <x v="1"/>
  </r>
  <r>
    <x v="0"/>
    <s v="Egypt"/>
    <x v="39"/>
    <x v="198"/>
    <x v="198"/>
    <m/>
    <m/>
    <s v="Break 30 Night"/>
    <d v="1899-12-30T22:30:00"/>
    <d v="1899-12-30T23:00:00"/>
    <n v="0"/>
    <x v="1"/>
  </r>
  <r>
    <x v="0"/>
    <s v="Egypt"/>
    <x v="39"/>
    <x v="198"/>
    <x v="198"/>
    <d v="2025-06-17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45:00"/>
    <d v="1899-12-30T20:00:00"/>
    <n v="0"/>
    <x v="1"/>
  </r>
  <r>
    <x v="0"/>
    <s v="Egypt"/>
    <x v="39"/>
    <x v="198"/>
    <x v="198"/>
    <m/>
    <m/>
    <s v="Break 30 Night"/>
    <d v="1899-12-30T22:30:00"/>
    <d v="1899-12-30T23:00:00"/>
    <n v="0"/>
    <x v="1"/>
  </r>
  <r>
    <x v="0"/>
    <s v="Egypt"/>
    <x v="39"/>
    <x v="198"/>
    <x v="198"/>
    <d v="2025-06-18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30:00"/>
    <d v="1899-12-30T19:45:00"/>
    <n v="0"/>
    <x v="1"/>
  </r>
  <r>
    <x v="0"/>
    <s v="Egypt"/>
    <x v="39"/>
    <x v="198"/>
    <x v="198"/>
    <m/>
    <m/>
    <s v="Break 30 Night"/>
    <d v="1899-12-30T22:15:00"/>
    <d v="1899-12-30T22:45:00"/>
    <n v="0"/>
    <x v="1"/>
  </r>
  <r>
    <x v="0"/>
    <s v="Egypt"/>
    <x v="39"/>
    <x v="198"/>
    <x v="198"/>
    <d v="2025-06-19T00:00:00"/>
    <m/>
    <s v="Day Off"/>
    <m/>
    <m/>
    <n v="0"/>
    <x v="1"/>
  </r>
  <r>
    <x v="0"/>
    <s v="Egypt"/>
    <x v="39"/>
    <x v="198"/>
    <x v="198"/>
    <d v="2025-06-20T00:00:00"/>
    <m/>
    <s v="Day Off"/>
    <m/>
    <m/>
    <n v="0"/>
    <x v="1"/>
  </r>
  <r>
    <x v="0"/>
    <s v="Egypt"/>
    <x v="39"/>
    <x v="198"/>
    <x v="198"/>
    <d v="2025-06-21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6:00:00"/>
    <d v="1899-12-30T16:15:00"/>
    <n v="0"/>
    <x v="1"/>
  </r>
  <r>
    <x v="0"/>
    <s v="Egypt"/>
    <x v="39"/>
    <x v="198"/>
    <x v="198"/>
    <m/>
    <m/>
    <s v="Break 30 Morning"/>
    <d v="1899-12-30T19:00:00"/>
    <d v="1899-12-30T19:30:00"/>
    <n v="0"/>
    <x v="1"/>
  </r>
  <r>
    <x v="0"/>
    <s v="Egypt"/>
    <x v="39"/>
    <x v="198"/>
    <x v="198"/>
    <d v="2025-06-22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6:15:00"/>
    <d v="1899-12-30T16:30:00"/>
    <n v="0"/>
    <x v="1"/>
  </r>
  <r>
    <x v="0"/>
    <s v="Egypt"/>
    <x v="39"/>
    <x v="198"/>
    <x v="198"/>
    <m/>
    <m/>
    <s v="Break 30 Morning"/>
    <d v="1899-12-30T18:45:00"/>
    <d v="1899-12-30T19:15:00"/>
    <n v="0"/>
    <x v="1"/>
  </r>
  <r>
    <x v="0"/>
    <s v="Egypt"/>
    <x v="39"/>
    <x v="198"/>
    <x v="198"/>
    <d v="2025-06-23T00:00:00"/>
    <d v="1899-12-30T08:15:00"/>
    <s v="Non Telecom Assyot"/>
    <d v="1899-12-30T14:00:00"/>
    <d v="1899-12-30T22:15:00"/>
    <n v="29700"/>
    <x v="0"/>
  </r>
  <r>
    <x v="0"/>
    <s v="Egypt"/>
    <x v="39"/>
    <x v="198"/>
    <x v="198"/>
    <m/>
    <m/>
    <s v="Break 15 Morning"/>
    <d v="1899-12-30T16:00:00"/>
    <d v="1899-12-30T16:15:00"/>
    <n v="0"/>
    <x v="1"/>
  </r>
  <r>
    <x v="0"/>
    <s v="Egypt"/>
    <x v="39"/>
    <x v="198"/>
    <x v="198"/>
    <m/>
    <m/>
    <s v="Break 30 Morning"/>
    <d v="1899-12-30T18:30:00"/>
    <d v="1899-12-30T19:00:00"/>
    <n v="0"/>
    <x v="1"/>
  </r>
  <r>
    <x v="0"/>
    <s v="Egypt"/>
    <x v="39"/>
    <x v="198"/>
    <x v="198"/>
    <d v="2025-06-24T00:00:00"/>
    <m/>
    <s v="Day Off"/>
    <m/>
    <m/>
    <n v="0"/>
    <x v="1"/>
  </r>
  <r>
    <x v="0"/>
    <s v="Egypt"/>
    <x v="39"/>
    <x v="198"/>
    <x v="198"/>
    <d v="2025-06-25T00:00:00"/>
    <m/>
    <s v="Day Off"/>
    <m/>
    <m/>
    <n v="0"/>
    <x v="1"/>
  </r>
  <r>
    <x v="0"/>
    <s v="Egypt"/>
    <x v="39"/>
    <x v="198"/>
    <x v="198"/>
    <d v="2025-06-26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45:00"/>
    <d v="1899-12-30T20:00:00"/>
    <n v="0"/>
    <x v="1"/>
  </r>
  <r>
    <x v="0"/>
    <s v="Egypt"/>
    <x v="39"/>
    <x v="198"/>
    <x v="198"/>
    <m/>
    <m/>
    <s v="Break 30 Night"/>
    <d v="1899-12-30T23:00:00"/>
    <d v="1899-12-30T23:30:00"/>
    <n v="0"/>
    <x v="1"/>
  </r>
  <r>
    <x v="0"/>
    <s v="Egypt"/>
    <x v="39"/>
    <x v="198"/>
    <x v="198"/>
    <d v="2025-06-27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20:00:00"/>
    <d v="1899-12-30T20:15:00"/>
    <n v="0"/>
    <x v="1"/>
  </r>
  <r>
    <x v="0"/>
    <s v="Egypt"/>
    <x v="39"/>
    <x v="198"/>
    <x v="198"/>
    <m/>
    <m/>
    <s v="Break 30 Night"/>
    <d v="1899-12-30T23:15:00"/>
    <d v="1899-12-30T23:45:00"/>
    <n v="0"/>
    <x v="1"/>
  </r>
  <r>
    <x v="0"/>
    <s v="Egypt"/>
    <x v="39"/>
    <x v="198"/>
    <x v="198"/>
    <d v="2025-06-28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20:00:00"/>
    <d v="1899-12-30T20:15:00"/>
    <n v="0"/>
    <x v="1"/>
  </r>
  <r>
    <x v="0"/>
    <s v="Egypt"/>
    <x v="39"/>
    <x v="198"/>
    <x v="198"/>
    <m/>
    <m/>
    <s v="Break 30 Night"/>
    <d v="1899-12-30T23:00:00"/>
    <d v="1899-12-30T23:30:00"/>
    <n v="0"/>
    <x v="1"/>
  </r>
  <r>
    <x v="0"/>
    <s v="Egypt"/>
    <x v="39"/>
    <x v="198"/>
    <x v="198"/>
    <d v="2025-06-29T00:00:00"/>
    <d v="1899-12-30T08:15:00"/>
    <s v="Non Telecom Assyot"/>
    <d v="1899-12-30T17:15:00"/>
    <s v="+1:30 AM"/>
    <n v="29700"/>
    <x v="0"/>
  </r>
  <r>
    <x v="0"/>
    <s v="Egypt"/>
    <x v="39"/>
    <x v="198"/>
    <x v="198"/>
    <m/>
    <m/>
    <s v="Break 15 Night"/>
    <d v="1899-12-30T19:45:00"/>
    <d v="1899-12-30T20:00:00"/>
    <n v="0"/>
    <x v="1"/>
  </r>
  <r>
    <x v="0"/>
    <s v="Egypt"/>
    <x v="39"/>
    <x v="198"/>
    <x v="198"/>
    <m/>
    <m/>
    <s v="Break 30 Night"/>
    <d v="1899-12-30T23:00:00"/>
    <d v="1899-12-30T23:30:00"/>
    <n v="0"/>
    <x v="1"/>
  </r>
  <r>
    <x v="0"/>
    <s v="Egypt"/>
    <x v="39"/>
    <x v="198"/>
    <x v="198"/>
    <d v="2025-06-30T00:00:00"/>
    <m/>
    <s v="Day Off"/>
    <m/>
    <m/>
    <n v="0"/>
    <x v="1"/>
  </r>
  <r>
    <x v="0"/>
    <s v="Egypt"/>
    <x v="39"/>
    <x v="199"/>
    <x v="199"/>
    <d v="2025-06-01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00:00"/>
    <d v="1899-12-30T20:15:00"/>
    <n v="0"/>
    <x v="1"/>
  </r>
  <r>
    <x v="0"/>
    <s v="Egypt"/>
    <x v="39"/>
    <x v="199"/>
    <x v="199"/>
    <m/>
    <m/>
    <s v="Break 30 Night"/>
    <d v="1899-12-30T23:15:00"/>
    <d v="1899-12-30T23:45:00"/>
    <n v="0"/>
    <x v="1"/>
  </r>
  <r>
    <x v="0"/>
    <s v="Egypt"/>
    <x v="39"/>
    <x v="199"/>
    <x v="199"/>
    <d v="2025-06-02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19:45:00"/>
    <d v="1899-12-30T20:00:00"/>
    <n v="0"/>
    <x v="1"/>
  </r>
  <r>
    <x v="0"/>
    <s v="Egypt"/>
    <x v="39"/>
    <x v="199"/>
    <x v="199"/>
    <m/>
    <m/>
    <s v="Break 30 Night"/>
    <d v="1899-12-30T23:15:00"/>
    <d v="1899-12-30T23:45:00"/>
    <n v="0"/>
    <x v="1"/>
  </r>
  <r>
    <x v="0"/>
    <s v="Egypt"/>
    <x v="39"/>
    <x v="199"/>
    <x v="199"/>
    <d v="2025-06-03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30:00"/>
    <d v="1899-12-30T20:45:00"/>
    <n v="0"/>
    <x v="1"/>
  </r>
  <r>
    <x v="0"/>
    <s v="Egypt"/>
    <x v="39"/>
    <x v="199"/>
    <x v="199"/>
    <m/>
    <m/>
    <s v="Break 30 Night"/>
    <d v="1899-12-30T23:15:00"/>
    <d v="1899-12-30T23:45:00"/>
    <n v="0"/>
    <x v="1"/>
  </r>
  <r>
    <x v="0"/>
    <s v="Egypt"/>
    <x v="39"/>
    <x v="199"/>
    <x v="199"/>
    <d v="2025-06-04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00:00"/>
    <d v="1899-12-30T20:15:00"/>
    <n v="0"/>
    <x v="1"/>
  </r>
  <r>
    <x v="0"/>
    <s v="Egypt"/>
    <x v="39"/>
    <x v="199"/>
    <x v="199"/>
    <m/>
    <m/>
    <s v="Break 30 Night"/>
    <d v="1899-12-30T23:00:00"/>
    <d v="1899-12-30T23:30:00"/>
    <n v="0"/>
    <x v="1"/>
  </r>
  <r>
    <x v="0"/>
    <s v="Egypt"/>
    <x v="39"/>
    <x v="199"/>
    <x v="199"/>
    <d v="2025-06-05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15:00"/>
    <d v="1899-12-30T20:30:00"/>
    <n v="0"/>
    <x v="1"/>
  </r>
  <r>
    <x v="0"/>
    <s v="Egypt"/>
    <x v="39"/>
    <x v="199"/>
    <x v="199"/>
    <m/>
    <m/>
    <s v="Break 30 Night"/>
    <d v="1899-12-30T23:45:00"/>
    <s v="+12:15 AM"/>
    <n v="0"/>
    <x v="1"/>
  </r>
  <r>
    <x v="0"/>
    <s v="Egypt"/>
    <x v="39"/>
    <x v="199"/>
    <x v="199"/>
    <d v="2025-06-06T00:00:00"/>
    <m/>
    <s v="Day Off"/>
    <m/>
    <m/>
    <n v="0"/>
    <x v="1"/>
  </r>
  <r>
    <x v="0"/>
    <s v="Egypt"/>
    <x v="39"/>
    <x v="199"/>
    <x v="199"/>
    <d v="2025-06-07T00:00:00"/>
    <m/>
    <s v="Day Off"/>
    <m/>
    <m/>
    <n v="0"/>
    <x v="1"/>
  </r>
  <r>
    <x v="0"/>
    <s v="Egypt"/>
    <x v="39"/>
    <x v="199"/>
    <x v="199"/>
    <d v="2025-06-08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15:00"/>
    <d v="1899-12-30T16:30:00"/>
    <n v="0"/>
    <x v="1"/>
  </r>
  <r>
    <x v="0"/>
    <s v="Egypt"/>
    <x v="39"/>
    <x v="199"/>
    <x v="199"/>
    <m/>
    <m/>
    <s v="Break 30 Morning"/>
    <d v="1899-12-30T19:45:00"/>
    <d v="1899-12-30T20:15:00"/>
    <n v="0"/>
    <x v="1"/>
  </r>
  <r>
    <x v="0"/>
    <s v="Egypt"/>
    <x v="39"/>
    <x v="199"/>
    <x v="199"/>
    <d v="2025-06-09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15:00"/>
    <d v="1899-12-30T16:30:00"/>
    <n v="0"/>
    <x v="1"/>
  </r>
  <r>
    <x v="0"/>
    <s v="Egypt"/>
    <x v="39"/>
    <x v="199"/>
    <x v="199"/>
    <m/>
    <m/>
    <s v="Break 30 Morning"/>
    <d v="1899-12-30T19:30:00"/>
    <d v="1899-12-30T20:00:00"/>
    <n v="0"/>
    <x v="1"/>
  </r>
  <r>
    <x v="0"/>
    <s v="Egypt"/>
    <x v="39"/>
    <x v="199"/>
    <x v="199"/>
    <d v="2025-06-10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45:00"/>
    <d v="1899-12-30T17:00:00"/>
    <n v="0"/>
    <x v="1"/>
  </r>
  <r>
    <x v="0"/>
    <s v="Egypt"/>
    <x v="39"/>
    <x v="199"/>
    <x v="199"/>
    <m/>
    <m/>
    <s v="Break 30 Morning"/>
    <d v="1899-12-30T20:00:00"/>
    <d v="1899-12-30T20:30:00"/>
    <n v="0"/>
    <x v="1"/>
  </r>
  <r>
    <x v="0"/>
    <s v="Egypt"/>
    <x v="39"/>
    <x v="199"/>
    <x v="199"/>
    <d v="2025-06-11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30:00"/>
    <d v="1899-12-30T16:45:00"/>
    <n v="0"/>
    <x v="1"/>
  </r>
  <r>
    <x v="0"/>
    <s v="Egypt"/>
    <x v="39"/>
    <x v="199"/>
    <x v="199"/>
    <m/>
    <m/>
    <s v="Break 30 Morning"/>
    <d v="1899-12-30T19:45:00"/>
    <d v="1899-12-30T20:15:00"/>
    <n v="0"/>
    <x v="1"/>
  </r>
  <r>
    <x v="0"/>
    <s v="Egypt"/>
    <x v="39"/>
    <x v="199"/>
    <x v="199"/>
    <d v="2025-06-12T00:00:00"/>
    <m/>
    <s v="Day Off"/>
    <m/>
    <m/>
    <n v="0"/>
    <x v="1"/>
  </r>
  <r>
    <x v="0"/>
    <s v="Egypt"/>
    <x v="39"/>
    <x v="199"/>
    <x v="199"/>
    <d v="2025-06-13T00:00:00"/>
    <m/>
    <s v="Day Off"/>
    <m/>
    <m/>
    <n v="0"/>
    <x v="1"/>
  </r>
  <r>
    <x v="0"/>
    <s v="Egypt"/>
    <x v="39"/>
    <x v="199"/>
    <x v="199"/>
    <d v="2025-06-14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19:45:00"/>
    <d v="1899-12-30T20:00:00"/>
    <n v="0"/>
    <x v="1"/>
  </r>
  <r>
    <x v="0"/>
    <s v="Egypt"/>
    <x v="39"/>
    <x v="199"/>
    <x v="199"/>
    <m/>
    <m/>
    <s v="Break 30 Night"/>
    <d v="1899-12-30T22:30:00"/>
    <d v="1899-12-30T23:00:00"/>
    <n v="0"/>
    <x v="1"/>
  </r>
  <r>
    <x v="0"/>
    <s v="Egypt"/>
    <x v="39"/>
    <x v="199"/>
    <x v="199"/>
    <d v="2025-06-15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30:00"/>
    <d v="1899-12-30T20:45:00"/>
    <n v="0"/>
    <x v="1"/>
  </r>
  <r>
    <x v="0"/>
    <s v="Egypt"/>
    <x v="39"/>
    <x v="199"/>
    <x v="199"/>
    <m/>
    <m/>
    <s v="Break 30 Night"/>
    <d v="1899-12-30T23:15:00"/>
    <d v="1899-12-30T23:45:00"/>
    <n v="0"/>
    <x v="1"/>
  </r>
  <r>
    <x v="0"/>
    <s v="Egypt"/>
    <x v="39"/>
    <x v="199"/>
    <x v="199"/>
    <d v="2025-06-16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30:00"/>
    <d v="1899-12-30T20:45:00"/>
    <n v="0"/>
    <x v="1"/>
  </r>
  <r>
    <x v="0"/>
    <s v="Egypt"/>
    <x v="39"/>
    <x v="199"/>
    <x v="199"/>
    <m/>
    <m/>
    <s v="Break 30 Night"/>
    <d v="1899-12-30T23:00:00"/>
    <d v="1899-12-30T23:30:00"/>
    <n v="0"/>
    <x v="1"/>
  </r>
  <r>
    <x v="0"/>
    <s v="Egypt"/>
    <x v="39"/>
    <x v="199"/>
    <x v="199"/>
    <d v="2025-06-17T00:00:00"/>
    <d v="1899-12-30T08:15:00"/>
    <s v="Annual Exception"/>
    <m/>
    <m/>
    <n v="29700"/>
    <x v="1"/>
  </r>
  <r>
    <x v="0"/>
    <s v="Egypt"/>
    <x v="39"/>
    <x v="199"/>
    <x v="199"/>
    <d v="2025-06-18T00:00:00"/>
    <m/>
    <s v="Day Off"/>
    <m/>
    <m/>
    <n v="0"/>
    <x v="1"/>
  </r>
  <r>
    <x v="0"/>
    <s v="Egypt"/>
    <x v="39"/>
    <x v="199"/>
    <x v="199"/>
    <d v="2025-06-19T00:00:00"/>
    <m/>
    <s v="Day Off"/>
    <m/>
    <m/>
    <n v="0"/>
    <x v="1"/>
  </r>
  <r>
    <x v="0"/>
    <s v="Egypt"/>
    <x v="39"/>
    <x v="199"/>
    <x v="199"/>
    <d v="2025-06-20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15:00"/>
    <d v="1899-12-30T20:30:00"/>
    <n v="0"/>
    <x v="1"/>
  </r>
  <r>
    <x v="0"/>
    <s v="Egypt"/>
    <x v="39"/>
    <x v="199"/>
    <x v="199"/>
    <m/>
    <m/>
    <s v="Break 30 Night"/>
    <d v="1899-12-30T23:15:00"/>
    <d v="1899-12-30T23:45:00"/>
    <n v="0"/>
    <x v="1"/>
  </r>
  <r>
    <x v="0"/>
    <s v="Egypt"/>
    <x v="39"/>
    <x v="199"/>
    <x v="199"/>
    <d v="2025-06-21T00:00:00"/>
    <d v="1899-12-30T08:15:00"/>
    <s v="Annual Exception"/>
    <m/>
    <m/>
    <n v="29700"/>
    <x v="1"/>
  </r>
  <r>
    <x v="0"/>
    <s v="Egypt"/>
    <x v="39"/>
    <x v="199"/>
    <x v="199"/>
    <d v="2025-06-22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45:00"/>
    <d v="1899-12-30T17:00:00"/>
    <n v="0"/>
    <x v="1"/>
  </r>
  <r>
    <x v="0"/>
    <s v="Egypt"/>
    <x v="39"/>
    <x v="199"/>
    <x v="199"/>
    <m/>
    <m/>
    <s v="Break 30 Morning"/>
    <d v="1899-12-30T19:15:00"/>
    <d v="1899-12-30T19:45:00"/>
    <n v="0"/>
    <x v="1"/>
  </r>
  <r>
    <x v="0"/>
    <s v="Egypt"/>
    <x v="39"/>
    <x v="199"/>
    <x v="199"/>
    <d v="2025-06-23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6:45:00"/>
    <d v="1899-12-30T17:00:00"/>
    <n v="0"/>
    <x v="1"/>
  </r>
  <r>
    <x v="0"/>
    <s v="Egypt"/>
    <x v="39"/>
    <x v="199"/>
    <x v="199"/>
    <m/>
    <m/>
    <s v="Break 30 Morning"/>
    <d v="1899-12-30T19:00:00"/>
    <d v="1899-12-30T19:30:00"/>
    <n v="0"/>
    <x v="1"/>
  </r>
  <r>
    <x v="0"/>
    <s v="Egypt"/>
    <x v="39"/>
    <x v="199"/>
    <x v="199"/>
    <d v="2025-06-24T00:00:00"/>
    <m/>
    <s v="Day Off"/>
    <m/>
    <m/>
    <n v="0"/>
    <x v="1"/>
  </r>
  <r>
    <x v="0"/>
    <s v="Egypt"/>
    <x v="39"/>
    <x v="199"/>
    <x v="199"/>
    <d v="2025-06-25T00:00:00"/>
    <m/>
    <s v="Day Off"/>
    <m/>
    <m/>
    <n v="0"/>
    <x v="1"/>
  </r>
  <r>
    <x v="0"/>
    <s v="Egypt"/>
    <x v="39"/>
    <x v="199"/>
    <x v="199"/>
    <d v="2025-06-26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30:00"/>
    <d v="1899-12-30T20:45:00"/>
    <n v="0"/>
    <x v="1"/>
  </r>
  <r>
    <x v="0"/>
    <s v="Egypt"/>
    <x v="39"/>
    <x v="199"/>
    <x v="199"/>
    <m/>
    <m/>
    <s v="Break 30 Night"/>
    <d v="1899-12-30T23:30:00"/>
    <s v="+12:00 AM"/>
    <n v="0"/>
    <x v="1"/>
  </r>
  <r>
    <x v="0"/>
    <s v="Egypt"/>
    <x v="39"/>
    <x v="199"/>
    <x v="199"/>
    <d v="2025-06-27T00:00:00"/>
    <d v="1899-12-30T08:15:00"/>
    <s v="Non Telecom Assyot"/>
    <d v="1899-12-30T14:00:00"/>
    <d v="1899-12-30T22:15:00"/>
    <n v="29700"/>
    <x v="0"/>
  </r>
  <r>
    <x v="0"/>
    <s v="Egypt"/>
    <x v="39"/>
    <x v="199"/>
    <x v="199"/>
    <m/>
    <m/>
    <s v="Break 15 Morning"/>
    <d v="1899-12-30T15:30:00"/>
    <d v="1899-12-30T15:45:00"/>
    <n v="0"/>
    <x v="1"/>
  </r>
  <r>
    <x v="0"/>
    <s v="Egypt"/>
    <x v="39"/>
    <x v="199"/>
    <x v="199"/>
    <m/>
    <m/>
    <s v="Break 30 Morning"/>
    <d v="1899-12-30T18:45:00"/>
    <d v="1899-12-30T19:15:00"/>
    <n v="0"/>
    <x v="1"/>
  </r>
  <r>
    <x v="0"/>
    <s v="Egypt"/>
    <x v="39"/>
    <x v="199"/>
    <x v="199"/>
    <d v="2025-06-28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15:00"/>
    <d v="1899-12-30T20:30:00"/>
    <n v="0"/>
    <x v="1"/>
  </r>
  <r>
    <x v="0"/>
    <s v="Egypt"/>
    <x v="39"/>
    <x v="199"/>
    <x v="199"/>
    <m/>
    <m/>
    <s v="Break 30 Night"/>
    <d v="1899-12-30T23:30:00"/>
    <s v="+12:00 AM"/>
    <n v="0"/>
    <x v="1"/>
  </r>
  <r>
    <x v="0"/>
    <s v="Egypt"/>
    <x v="39"/>
    <x v="199"/>
    <x v="199"/>
    <d v="2025-06-29T00:00:00"/>
    <d v="1899-12-30T08:15:00"/>
    <s v="Non Telecom Assyot"/>
    <d v="1899-12-30T17:15:00"/>
    <s v="+1:30 AM"/>
    <n v="29700"/>
    <x v="0"/>
  </r>
  <r>
    <x v="0"/>
    <s v="Egypt"/>
    <x v="39"/>
    <x v="199"/>
    <x v="199"/>
    <m/>
    <m/>
    <s v="Break 15 Night"/>
    <d v="1899-12-30T20:45:00"/>
    <d v="1899-12-30T21:00:00"/>
    <n v="0"/>
    <x v="1"/>
  </r>
  <r>
    <x v="0"/>
    <s v="Egypt"/>
    <x v="39"/>
    <x v="199"/>
    <x v="199"/>
    <m/>
    <m/>
    <s v="Break 30 Night"/>
    <d v="1899-12-30T23:30:00"/>
    <s v="+12:00 AM"/>
    <n v="0"/>
    <x v="1"/>
  </r>
  <r>
    <x v="0"/>
    <s v="Egypt"/>
    <x v="39"/>
    <x v="199"/>
    <x v="199"/>
    <d v="2025-06-30T00:00:00"/>
    <m/>
    <s v="Day Off"/>
    <m/>
    <m/>
    <n v="0"/>
    <x v="1"/>
  </r>
  <r>
    <x v="0"/>
    <s v="Egypt"/>
    <x v="39"/>
    <x v="200"/>
    <x v="200"/>
    <d v="2025-06-05T00:00:00"/>
    <d v="1899-12-30T08:15:00"/>
    <s v="Public holiday"/>
    <m/>
    <m/>
    <n v="29700"/>
    <x v="1"/>
  </r>
  <r>
    <x v="0"/>
    <s v="Egypt"/>
    <x v="39"/>
    <x v="200"/>
    <x v="200"/>
    <d v="2025-06-06T00:00:00"/>
    <m/>
    <s v="Day Off"/>
    <m/>
    <m/>
    <n v="0"/>
    <x v="1"/>
  </r>
  <r>
    <x v="0"/>
    <s v="Egypt"/>
    <x v="39"/>
    <x v="200"/>
    <x v="200"/>
    <d v="2025-06-07T00:00:00"/>
    <m/>
    <s v="Day Off"/>
    <m/>
    <m/>
    <n v="0"/>
    <x v="1"/>
  </r>
  <r>
    <x v="0"/>
    <s v="Egypt"/>
    <x v="39"/>
    <x v="200"/>
    <x v="200"/>
    <d v="2025-06-08T00:00:00"/>
    <d v="1899-12-30T08:15:00"/>
    <s v="Public holiday"/>
    <m/>
    <m/>
    <n v="29700"/>
    <x v="1"/>
  </r>
  <r>
    <x v="0"/>
    <s v="Egypt"/>
    <x v="39"/>
    <x v="200"/>
    <x v="200"/>
    <d v="2025-06-09T00:00:00"/>
    <m/>
    <s v="Day Off"/>
    <m/>
    <m/>
    <n v="0"/>
    <x v="1"/>
  </r>
  <r>
    <x v="0"/>
    <s v="Egypt"/>
    <x v="39"/>
    <x v="200"/>
    <x v="200"/>
    <d v="2025-06-10T00:00:00"/>
    <m/>
    <s v="Day Off"/>
    <m/>
    <m/>
    <n v="0"/>
    <x v="1"/>
  </r>
  <r>
    <x v="0"/>
    <s v="Egypt"/>
    <x v="39"/>
    <x v="200"/>
    <x v="200"/>
    <d v="2025-06-11T00:00:00"/>
    <d v="1899-12-30T08:15:00"/>
    <s v="Non Telecom Assyot"/>
    <d v="1899-12-30T11:00:00"/>
    <d v="1899-12-30T19:15:00"/>
    <n v="29700"/>
    <x v="0"/>
  </r>
  <r>
    <x v="0"/>
    <s v="Egypt"/>
    <x v="39"/>
    <x v="200"/>
    <x v="200"/>
    <m/>
    <m/>
    <s v="Break 15 Morning"/>
    <d v="1899-12-30T13:45:00"/>
    <d v="1899-12-30T14:00:00"/>
    <n v="0"/>
    <x v="1"/>
  </r>
  <r>
    <x v="0"/>
    <s v="Egypt"/>
    <x v="39"/>
    <x v="200"/>
    <x v="200"/>
    <m/>
    <m/>
    <s v="One to One"/>
    <d v="1899-12-30T16:15:00"/>
    <d v="1899-12-30T16:30:00"/>
    <n v="0"/>
    <x v="1"/>
  </r>
  <r>
    <x v="0"/>
    <s v="Egypt"/>
    <x v="39"/>
    <x v="200"/>
    <x v="200"/>
    <m/>
    <m/>
    <s v="Break 30 Morning"/>
    <d v="1899-12-30T17:15:00"/>
    <d v="1899-12-30T17:45:00"/>
    <n v="0"/>
    <x v="1"/>
  </r>
  <r>
    <x v="0"/>
    <s v="Egypt"/>
    <x v="39"/>
    <x v="200"/>
    <x v="200"/>
    <d v="2025-06-12T00:00:00"/>
    <d v="1899-12-30T08:15:00"/>
    <s v="Non Telecom Assyot"/>
    <d v="1899-12-30T11:00:00"/>
    <d v="1899-12-30T19:15:00"/>
    <n v="29700"/>
    <x v="0"/>
  </r>
  <r>
    <x v="0"/>
    <s v="Egypt"/>
    <x v="39"/>
    <x v="200"/>
    <x v="200"/>
    <m/>
    <m/>
    <s v="Break 15 Morning"/>
    <d v="1899-12-30T13:45:00"/>
    <d v="1899-12-30T14:00:00"/>
    <n v="0"/>
    <x v="1"/>
  </r>
  <r>
    <x v="0"/>
    <s v="Egypt"/>
    <x v="39"/>
    <x v="200"/>
    <x v="200"/>
    <m/>
    <m/>
    <s v="One to One"/>
    <d v="1899-12-30T16:15:00"/>
    <d v="1899-12-30T16:30:00"/>
    <n v="0"/>
    <x v="1"/>
  </r>
  <r>
    <x v="0"/>
    <s v="Egypt"/>
    <x v="39"/>
    <x v="200"/>
    <x v="200"/>
    <m/>
    <m/>
    <s v="Break 30 Morning"/>
    <d v="1899-12-30T16:45:00"/>
    <d v="1899-12-30T17:15:00"/>
    <n v="0"/>
    <x v="1"/>
  </r>
  <r>
    <x v="0"/>
    <s v="Egypt"/>
    <x v="39"/>
    <x v="200"/>
    <x v="200"/>
    <d v="2025-06-13T00:00:00"/>
    <d v="1899-12-30T08:15:00"/>
    <s v="Non Telecom Assyot"/>
    <d v="1899-12-30T11:00:00"/>
    <d v="1899-12-30T19:15:00"/>
    <n v="29700"/>
    <x v="0"/>
  </r>
  <r>
    <x v="0"/>
    <s v="Egypt"/>
    <x v="39"/>
    <x v="200"/>
    <x v="200"/>
    <m/>
    <m/>
    <s v="Friday Pray"/>
    <d v="1899-12-30T12:55:00"/>
    <d v="1899-12-30T13:50:00"/>
    <n v="0"/>
    <x v="1"/>
  </r>
  <r>
    <x v="0"/>
    <s v="Egypt"/>
    <x v="39"/>
    <x v="200"/>
    <x v="200"/>
    <m/>
    <m/>
    <s v="Break 15 Morning"/>
    <d v="1899-12-30T14:31:00"/>
    <d v="1899-12-30T14:46:00"/>
    <n v="0"/>
    <x v="1"/>
  </r>
  <r>
    <x v="0"/>
    <s v="Egypt"/>
    <x v="39"/>
    <x v="200"/>
    <x v="200"/>
    <m/>
    <m/>
    <s v="One to One"/>
    <d v="1899-12-30T15:45:00"/>
    <d v="1899-12-30T16:00:00"/>
    <n v="0"/>
    <x v="1"/>
  </r>
  <r>
    <x v="0"/>
    <s v="Egypt"/>
    <x v="39"/>
    <x v="200"/>
    <x v="200"/>
    <m/>
    <m/>
    <s v="Break 30 Morning"/>
    <d v="1899-12-30T17:00:00"/>
    <d v="1899-12-30T17:30:00"/>
    <n v="0"/>
    <x v="1"/>
  </r>
  <r>
    <x v="0"/>
    <s v="Egypt"/>
    <x v="39"/>
    <x v="200"/>
    <x v="200"/>
    <d v="2025-06-14T00:00:00"/>
    <d v="1899-12-30T08:15:00"/>
    <s v="Non Telecom Assyot"/>
    <d v="1899-12-30T11:00:00"/>
    <d v="1899-12-30T19:15:00"/>
    <n v="29700"/>
    <x v="0"/>
  </r>
  <r>
    <x v="0"/>
    <s v="Egypt"/>
    <x v="39"/>
    <x v="200"/>
    <x v="200"/>
    <m/>
    <m/>
    <s v="Break 15 Morning"/>
    <d v="1899-12-30T13:45:00"/>
    <d v="1899-12-30T14:00:00"/>
    <n v="0"/>
    <x v="1"/>
  </r>
  <r>
    <x v="0"/>
    <s v="Egypt"/>
    <x v="39"/>
    <x v="200"/>
    <x v="200"/>
    <m/>
    <m/>
    <s v="One to One"/>
    <d v="1899-12-30T16:30:00"/>
    <d v="1899-12-30T16:45:00"/>
    <n v="0"/>
    <x v="1"/>
  </r>
  <r>
    <x v="0"/>
    <s v="Egypt"/>
    <x v="39"/>
    <x v="200"/>
    <x v="200"/>
    <m/>
    <m/>
    <s v="Break 30 Morning"/>
    <d v="1899-12-30T17:15:00"/>
    <d v="1899-12-30T17:45:00"/>
    <n v="0"/>
    <x v="1"/>
  </r>
  <r>
    <x v="0"/>
    <s v="Egypt"/>
    <x v="39"/>
    <x v="200"/>
    <x v="200"/>
    <d v="2025-06-15T00:00:00"/>
    <d v="1899-12-30T08:15:00"/>
    <s v="Non Telecom Assyot"/>
    <d v="1899-12-30T11:00:00"/>
    <d v="1899-12-30T19:15:00"/>
    <n v="29700"/>
    <x v="0"/>
  </r>
  <r>
    <x v="0"/>
    <s v="Egypt"/>
    <x v="39"/>
    <x v="200"/>
    <x v="200"/>
    <m/>
    <m/>
    <s v="Break 15 Morning"/>
    <d v="1899-12-30T13:30:00"/>
    <d v="1899-12-30T13:45:00"/>
    <n v="0"/>
    <x v="1"/>
  </r>
  <r>
    <x v="0"/>
    <s v="Egypt"/>
    <x v="39"/>
    <x v="200"/>
    <x v="200"/>
    <m/>
    <m/>
    <s v="Break 30 Morning"/>
    <d v="1899-12-30T16:45:00"/>
    <d v="1899-12-30T17:15:00"/>
    <n v="0"/>
    <x v="1"/>
  </r>
  <r>
    <x v="0"/>
    <s v="Egypt"/>
    <x v="39"/>
    <x v="200"/>
    <x v="200"/>
    <d v="2025-06-16T00:00:00"/>
    <m/>
    <s v="Day Off"/>
    <m/>
    <m/>
    <n v="0"/>
    <x v="1"/>
  </r>
  <r>
    <x v="0"/>
    <s v="Egypt"/>
    <x v="39"/>
    <x v="200"/>
    <x v="200"/>
    <d v="2025-06-17T00:00:00"/>
    <m/>
    <s v="Day Off"/>
    <m/>
    <m/>
    <n v="0"/>
    <x v="1"/>
  </r>
  <r>
    <x v="0"/>
    <s v="Egypt"/>
    <x v="39"/>
    <x v="200"/>
    <x v="200"/>
    <d v="2025-06-18T00:00:00"/>
    <d v="1899-12-30T08:15:00"/>
    <s v="Non Telecom Assyot"/>
    <d v="1899-12-30T17:15:00"/>
    <s v="+1:30 AM"/>
    <n v="29700"/>
    <x v="0"/>
  </r>
  <r>
    <x v="0"/>
    <s v="Egypt"/>
    <x v="39"/>
    <x v="200"/>
    <x v="200"/>
    <m/>
    <m/>
    <s v="Break 15 Night"/>
    <d v="1899-12-30T20:15:00"/>
    <d v="1899-12-30T20:30:00"/>
    <n v="0"/>
    <x v="1"/>
  </r>
  <r>
    <x v="0"/>
    <s v="Egypt"/>
    <x v="39"/>
    <x v="200"/>
    <x v="200"/>
    <m/>
    <m/>
    <s v="Break 30 Night"/>
    <d v="1899-12-30T23:15:00"/>
    <d v="1899-12-30T23:45:00"/>
    <n v="0"/>
    <x v="1"/>
  </r>
  <r>
    <x v="0"/>
    <s v="Egypt"/>
    <x v="39"/>
    <x v="200"/>
    <x v="200"/>
    <d v="2025-06-19T00:00:00"/>
    <d v="1899-12-30T08:15:00"/>
    <s v="Non Telecom Assyot"/>
    <d v="1899-12-30T17:15:00"/>
    <s v="+1:30 AM"/>
    <n v="29700"/>
    <x v="0"/>
  </r>
  <r>
    <x v="0"/>
    <s v="Egypt"/>
    <x v="39"/>
    <x v="200"/>
    <x v="200"/>
    <m/>
    <m/>
    <s v="Break 15 Night"/>
    <d v="1899-12-30T20:15:00"/>
    <d v="1899-12-30T20:30:00"/>
    <n v="0"/>
    <x v="1"/>
  </r>
  <r>
    <x v="0"/>
    <s v="Egypt"/>
    <x v="39"/>
    <x v="200"/>
    <x v="200"/>
    <m/>
    <m/>
    <s v="Break 30 Night"/>
    <d v="1899-12-30T23:30:00"/>
    <s v="+12:00 AM"/>
    <n v="0"/>
    <x v="1"/>
  </r>
  <r>
    <x v="0"/>
    <s v="Egypt"/>
    <x v="39"/>
    <x v="200"/>
    <x v="200"/>
    <d v="2025-06-20T00:00:00"/>
    <d v="1899-12-30T08:15:00"/>
    <s v="Non Telecom Assyot"/>
    <d v="1899-12-30T17:15:00"/>
    <s v="+1:30 AM"/>
    <n v="29700"/>
    <x v="0"/>
  </r>
  <r>
    <x v="0"/>
    <s v="Egypt"/>
    <x v="39"/>
    <x v="200"/>
    <x v="200"/>
    <m/>
    <m/>
    <s v="Break 15 Night"/>
    <d v="1899-12-30T20:30:00"/>
    <d v="1899-12-30T20:45:00"/>
    <n v="0"/>
    <x v="1"/>
  </r>
  <r>
    <x v="0"/>
    <s v="Egypt"/>
    <x v="39"/>
    <x v="200"/>
    <x v="200"/>
    <m/>
    <m/>
    <s v="Break 30 Night"/>
    <d v="1899-12-30T23:45:00"/>
    <s v="+12:15 AM"/>
    <n v="0"/>
    <x v="1"/>
  </r>
  <r>
    <x v="0"/>
    <s v="Egypt"/>
    <x v="39"/>
    <x v="200"/>
    <x v="200"/>
    <d v="2025-06-21T00:00:00"/>
    <d v="1899-12-30T08:15:00"/>
    <s v="Non Telecom Assyot"/>
    <d v="1899-12-30T17:15:00"/>
    <s v="+1:30 AM"/>
    <n v="29700"/>
    <x v="0"/>
  </r>
  <r>
    <x v="0"/>
    <s v="Egypt"/>
    <x v="39"/>
    <x v="200"/>
    <x v="200"/>
    <m/>
    <m/>
    <s v="Break 15 Night"/>
    <d v="1899-12-30T20:30:00"/>
    <d v="1899-12-30T20:45:00"/>
    <n v="0"/>
    <x v="1"/>
  </r>
  <r>
    <x v="0"/>
    <s v="Egypt"/>
    <x v="39"/>
    <x v="200"/>
    <x v="200"/>
    <m/>
    <m/>
    <s v="Break 30 Night"/>
    <s v="+12:00 AM"/>
    <s v="+12:30 AM"/>
    <n v="0"/>
    <x v="1"/>
  </r>
  <r>
    <x v="0"/>
    <s v="Egypt"/>
    <x v="39"/>
    <x v="200"/>
    <x v="200"/>
    <d v="2025-06-22T00:00:00"/>
    <m/>
    <s v="Day Off"/>
    <m/>
    <m/>
    <n v="0"/>
    <x v="1"/>
  </r>
  <r>
    <x v="0"/>
    <s v="Egypt"/>
    <x v="39"/>
    <x v="200"/>
    <x v="200"/>
    <d v="2025-06-23T00:00:00"/>
    <d v="1899-12-30T08:15:00"/>
    <s v="Non Telecom Assyot"/>
    <d v="1899-12-30T14:00:00"/>
    <d v="1899-12-30T22:15:00"/>
    <n v="29700"/>
    <x v="0"/>
  </r>
  <r>
    <x v="0"/>
    <s v="Egypt"/>
    <x v="39"/>
    <x v="200"/>
    <x v="200"/>
    <m/>
    <m/>
    <s v="Break 15 Morning"/>
    <d v="1899-12-30T17:00:00"/>
    <d v="1899-12-30T17:15:00"/>
    <n v="0"/>
    <x v="1"/>
  </r>
  <r>
    <x v="0"/>
    <s v="Egypt"/>
    <x v="39"/>
    <x v="200"/>
    <x v="200"/>
    <m/>
    <m/>
    <s v="Break 30 Morning"/>
    <d v="1899-12-30T19:15:00"/>
    <d v="1899-12-30T19:45:00"/>
    <n v="0"/>
    <x v="1"/>
  </r>
  <r>
    <x v="0"/>
    <s v="Egypt"/>
    <x v="39"/>
    <x v="200"/>
    <x v="200"/>
    <d v="2025-06-24T00:00:00"/>
    <d v="1899-12-30T08:15:00"/>
    <s v="Non Telecom Assyot"/>
    <d v="1899-12-30T14:00:00"/>
    <d v="1899-12-30T22:15:00"/>
    <n v="29700"/>
    <x v="0"/>
  </r>
  <r>
    <x v="0"/>
    <s v="Egypt"/>
    <x v="39"/>
    <x v="200"/>
    <x v="200"/>
    <m/>
    <m/>
    <s v="Break 15 Morning"/>
    <d v="1899-12-30T17:15:00"/>
    <d v="1899-12-30T17:30:00"/>
    <n v="0"/>
    <x v="1"/>
  </r>
  <r>
    <x v="0"/>
    <s v="Egypt"/>
    <x v="39"/>
    <x v="200"/>
    <x v="200"/>
    <m/>
    <m/>
    <s v="Break 30 Morning"/>
    <d v="1899-12-30T19:45:00"/>
    <d v="1899-12-30T20:15:00"/>
    <n v="0"/>
    <x v="1"/>
  </r>
  <r>
    <x v="0"/>
    <s v="Egypt"/>
    <x v="39"/>
    <x v="200"/>
    <x v="200"/>
    <d v="2025-06-25T00:00:00"/>
    <d v="1899-12-30T08:15:00"/>
    <s v="Non Telecom Assyot"/>
    <d v="1899-12-30T14:00:00"/>
    <d v="1899-12-30T22:15:00"/>
    <n v="29700"/>
    <x v="0"/>
  </r>
  <r>
    <x v="0"/>
    <s v="Egypt"/>
    <x v="39"/>
    <x v="200"/>
    <x v="200"/>
    <m/>
    <m/>
    <s v="Break 15 Morning"/>
    <d v="1899-12-30T16:45:00"/>
    <d v="1899-12-30T17:00:00"/>
    <n v="0"/>
    <x v="1"/>
  </r>
  <r>
    <x v="0"/>
    <s v="Egypt"/>
    <x v="39"/>
    <x v="200"/>
    <x v="200"/>
    <m/>
    <m/>
    <s v="Break 30 Morning"/>
    <d v="1899-12-30T19:30:00"/>
    <d v="1899-12-30T20:00:00"/>
    <n v="0"/>
    <x v="1"/>
  </r>
  <r>
    <x v="0"/>
    <s v="Egypt"/>
    <x v="39"/>
    <x v="200"/>
    <x v="200"/>
    <d v="2025-06-26T00:00:00"/>
    <d v="1899-12-30T08:15:00"/>
    <s v="Non Telecom Assyot"/>
    <d v="1899-12-30T14:00:00"/>
    <d v="1899-12-30T22:15:00"/>
    <n v="29700"/>
    <x v="0"/>
  </r>
  <r>
    <x v="0"/>
    <s v="Egypt"/>
    <x v="39"/>
    <x v="200"/>
    <x v="200"/>
    <m/>
    <m/>
    <s v="Break 15 Morning"/>
    <d v="1899-12-30T15:30:00"/>
    <d v="1899-12-30T15:45:00"/>
    <n v="0"/>
    <x v="1"/>
  </r>
  <r>
    <x v="0"/>
    <s v="Egypt"/>
    <x v="39"/>
    <x v="200"/>
    <x v="200"/>
    <m/>
    <m/>
    <s v="Break 30 Morning"/>
    <d v="1899-12-30T19:30:00"/>
    <d v="1899-12-30T20:00:00"/>
    <n v="0"/>
    <x v="1"/>
  </r>
  <r>
    <x v="0"/>
    <s v="Egypt"/>
    <x v="39"/>
    <x v="200"/>
    <x v="200"/>
    <d v="2025-06-27T00:00:00"/>
    <d v="1899-12-30T08:15:00"/>
    <s v="Non Telecom Assyot"/>
    <d v="1899-12-30T14:00:00"/>
    <d v="1899-12-30T22:15:00"/>
    <n v="29700"/>
    <x v="0"/>
  </r>
  <r>
    <x v="0"/>
    <s v="Egypt"/>
    <x v="39"/>
    <x v="200"/>
    <x v="200"/>
    <m/>
    <m/>
    <s v="Break 15 Morning"/>
    <d v="1899-12-30T16:30:00"/>
    <d v="1899-12-30T16:45:00"/>
    <n v="0"/>
    <x v="1"/>
  </r>
  <r>
    <x v="0"/>
    <s v="Egypt"/>
    <x v="39"/>
    <x v="200"/>
    <x v="200"/>
    <m/>
    <m/>
    <s v="Break 30 Morning"/>
    <d v="1899-12-30T19:45:00"/>
    <d v="1899-12-30T20:15:00"/>
    <n v="0"/>
    <x v="1"/>
  </r>
  <r>
    <x v="0"/>
    <s v="Egypt"/>
    <x v="39"/>
    <x v="200"/>
    <x v="200"/>
    <d v="2025-06-28T00:00:00"/>
    <m/>
    <s v="Day Off"/>
    <m/>
    <m/>
    <n v="0"/>
    <x v="1"/>
  </r>
  <r>
    <x v="0"/>
    <s v="Egypt"/>
    <x v="39"/>
    <x v="200"/>
    <x v="200"/>
    <d v="2025-06-29T00:00:00"/>
    <d v="1899-12-30T08:15:00"/>
    <s v="Non Telecom Assyot"/>
    <d v="1899-12-30T17:15:00"/>
    <s v="+1:30 AM"/>
    <n v="29700"/>
    <x v="0"/>
  </r>
  <r>
    <x v="0"/>
    <s v="Egypt"/>
    <x v="39"/>
    <x v="200"/>
    <x v="200"/>
    <m/>
    <m/>
    <s v="Break 15 Night"/>
    <d v="1899-12-30T20:45:00"/>
    <d v="1899-12-30T21:00:00"/>
    <n v="0"/>
    <x v="1"/>
  </r>
  <r>
    <x v="0"/>
    <s v="Egypt"/>
    <x v="39"/>
    <x v="200"/>
    <x v="200"/>
    <m/>
    <m/>
    <s v="Break 30 Night"/>
    <s v="+12:00 AM"/>
    <s v="+12:30 AM"/>
    <n v="0"/>
    <x v="1"/>
  </r>
  <r>
    <x v="0"/>
    <s v="Egypt"/>
    <x v="39"/>
    <x v="200"/>
    <x v="200"/>
    <d v="2025-06-30T00:00:00"/>
    <m/>
    <s v="Day Off"/>
    <m/>
    <m/>
    <n v="0"/>
    <x v="1"/>
  </r>
  <r>
    <x v="0"/>
    <s v="Egypt"/>
    <x v="39"/>
    <x v="201"/>
    <x v="201"/>
    <d v="2025-06-01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00:00"/>
    <d v="1899-12-30T20:15:00"/>
    <n v="0"/>
    <x v="1"/>
  </r>
  <r>
    <x v="0"/>
    <s v="Egypt"/>
    <x v="39"/>
    <x v="201"/>
    <x v="201"/>
    <m/>
    <m/>
    <s v="Break 30 Night"/>
    <d v="1899-12-30T23:15:00"/>
    <d v="1899-12-30T23:45:00"/>
    <n v="0"/>
    <x v="1"/>
  </r>
  <r>
    <x v="0"/>
    <s v="Egypt"/>
    <x v="39"/>
    <x v="201"/>
    <x v="201"/>
    <d v="2025-06-02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00:00"/>
    <d v="1899-12-30T20:15:00"/>
    <n v="0"/>
    <x v="1"/>
  </r>
  <r>
    <x v="0"/>
    <s v="Egypt"/>
    <x v="39"/>
    <x v="201"/>
    <x v="201"/>
    <m/>
    <m/>
    <s v="Break 30 Night"/>
    <d v="1899-12-30T23:15:00"/>
    <d v="1899-12-30T23:45:00"/>
    <n v="0"/>
    <x v="1"/>
  </r>
  <r>
    <x v="0"/>
    <s v="Egypt"/>
    <x v="39"/>
    <x v="201"/>
    <x v="201"/>
    <d v="2025-06-03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30:00"/>
    <d v="1899-12-30T20:45:00"/>
    <n v="0"/>
    <x v="1"/>
  </r>
  <r>
    <x v="0"/>
    <s v="Egypt"/>
    <x v="39"/>
    <x v="201"/>
    <x v="201"/>
    <m/>
    <m/>
    <s v="Break 30 Night"/>
    <d v="1899-12-30T23:45:00"/>
    <s v="+12:15 AM"/>
    <n v="0"/>
    <x v="1"/>
  </r>
  <r>
    <x v="0"/>
    <s v="Egypt"/>
    <x v="39"/>
    <x v="201"/>
    <x v="201"/>
    <d v="2025-06-04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15:00"/>
    <d v="1899-12-30T20:30:00"/>
    <n v="0"/>
    <x v="1"/>
  </r>
  <r>
    <x v="0"/>
    <s v="Egypt"/>
    <x v="39"/>
    <x v="201"/>
    <x v="201"/>
    <m/>
    <m/>
    <s v="Break 30 Night"/>
    <d v="1899-12-30T23:30:00"/>
    <s v="+12:00 AM"/>
    <n v="0"/>
    <x v="1"/>
  </r>
  <r>
    <x v="0"/>
    <s v="Egypt"/>
    <x v="39"/>
    <x v="201"/>
    <x v="201"/>
    <d v="2025-06-05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30:00"/>
    <d v="1899-12-30T20:45:00"/>
    <n v="0"/>
    <x v="1"/>
  </r>
  <r>
    <x v="0"/>
    <s v="Egypt"/>
    <x v="39"/>
    <x v="201"/>
    <x v="201"/>
    <m/>
    <m/>
    <s v="Break 30 Night"/>
    <d v="1899-12-30T23:45:00"/>
    <s v="+12:15 AM"/>
    <n v="0"/>
    <x v="1"/>
  </r>
  <r>
    <x v="0"/>
    <s v="Egypt"/>
    <x v="39"/>
    <x v="201"/>
    <x v="201"/>
    <d v="2025-06-06T00:00:00"/>
    <m/>
    <s v="Day Off"/>
    <m/>
    <m/>
    <n v="0"/>
    <x v="1"/>
  </r>
  <r>
    <x v="0"/>
    <s v="Egypt"/>
    <x v="39"/>
    <x v="201"/>
    <x v="201"/>
    <d v="2025-06-07T00:00:00"/>
    <m/>
    <s v="Day Off"/>
    <m/>
    <m/>
    <n v="0"/>
    <x v="1"/>
  </r>
  <r>
    <x v="0"/>
    <s v="Egypt"/>
    <x v="39"/>
    <x v="201"/>
    <x v="201"/>
    <d v="2025-06-08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6:30:00"/>
    <d v="1899-12-30T16:45:00"/>
    <n v="0"/>
    <x v="1"/>
  </r>
  <r>
    <x v="0"/>
    <s v="Egypt"/>
    <x v="39"/>
    <x v="201"/>
    <x v="201"/>
    <m/>
    <m/>
    <s v="Break 30 Morning"/>
    <d v="1899-12-30T19:45:00"/>
    <d v="1899-12-30T20:15:00"/>
    <n v="0"/>
    <x v="1"/>
  </r>
  <r>
    <x v="0"/>
    <s v="Egypt"/>
    <x v="39"/>
    <x v="201"/>
    <x v="201"/>
    <d v="2025-06-09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6:30:00"/>
    <d v="1899-12-30T16:45:00"/>
    <n v="0"/>
    <x v="1"/>
  </r>
  <r>
    <x v="0"/>
    <s v="Egypt"/>
    <x v="39"/>
    <x v="201"/>
    <x v="201"/>
    <m/>
    <m/>
    <s v="Break 30 Morning"/>
    <d v="1899-12-30T20:00:00"/>
    <d v="1899-12-30T20:30:00"/>
    <n v="0"/>
    <x v="1"/>
  </r>
  <r>
    <x v="0"/>
    <s v="Egypt"/>
    <x v="39"/>
    <x v="201"/>
    <x v="201"/>
    <d v="2025-06-10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7:00:00"/>
    <d v="1899-12-30T17:15:00"/>
    <n v="0"/>
    <x v="1"/>
  </r>
  <r>
    <x v="0"/>
    <s v="Egypt"/>
    <x v="39"/>
    <x v="201"/>
    <x v="201"/>
    <m/>
    <m/>
    <s v="Break 30 Morning"/>
    <d v="1899-12-30T20:00:00"/>
    <d v="1899-12-30T20:30:00"/>
    <n v="0"/>
    <x v="1"/>
  </r>
  <r>
    <x v="0"/>
    <s v="Egypt"/>
    <x v="39"/>
    <x v="201"/>
    <x v="201"/>
    <d v="2025-06-11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6:45:00"/>
    <d v="1899-12-30T17:00:00"/>
    <n v="0"/>
    <x v="1"/>
  </r>
  <r>
    <x v="0"/>
    <s v="Egypt"/>
    <x v="39"/>
    <x v="201"/>
    <x v="201"/>
    <m/>
    <m/>
    <s v="Break 30 Morning"/>
    <d v="1899-12-30T20:00:00"/>
    <d v="1899-12-30T20:30:00"/>
    <n v="0"/>
    <x v="1"/>
  </r>
  <r>
    <x v="0"/>
    <s v="Egypt"/>
    <x v="39"/>
    <x v="201"/>
    <x v="201"/>
    <d v="2025-06-12T00:00:00"/>
    <m/>
    <s v="Day Off"/>
    <m/>
    <m/>
    <n v="0"/>
    <x v="1"/>
  </r>
  <r>
    <x v="0"/>
    <s v="Egypt"/>
    <x v="39"/>
    <x v="201"/>
    <x v="201"/>
    <d v="2025-06-13T00:00:00"/>
    <m/>
    <s v="Day Off"/>
    <m/>
    <m/>
    <n v="0"/>
    <x v="1"/>
  </r>
  <r>
    <x v="0"/>
    <s v="Egypt"/>
    <x v="39"/>
    <x v="201"/>
    <x v="201"/>
    <d v="2025-06-14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15:00"/>
    <d v="1899-12-30T20:30:00"/>
    <n v="0"/>
    <x v="1"/>
  </r>
  <r>
    <x v="0"/>
    <s v="Egypt"/>
    <x v="39"/>
    <x v="201"/>
    <x v="201"/>
    <m/>
    <m/>
    <s v="Break 30 Night"/>
    <d v="1899-12-30T22:30:00"/>
    <d v="1899-12-30T23:00:00"/>
    <n v="0"/>
    <x v="1"/>
  </r>
  <r>
    <x v="0"/>
    <s v="Egypt"/>
    <x v="39"/>
    <x v="201"/>
    <x v="201"/>
    <d v="2025-06-15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45:00"/>
    <d v="1899-12-30T21:00:00"/>
    <n v="0"/>
    <x v="1"/>
  </r>
  <r>
    <x v="0"/>
    <s v="Egypt"/>
    <x v="39"/>
    <x v="201"/>
    <x v="201"/>
    <m/>
    <m/>
    <s v="Break 30 Night"/>
    <d v="1899-12-30T23:45:00"/>
    <s v="+12:15 AM"/>
    <n v="0"/>
    <x v="1"/>
  </r>
  <r>
    <x v="0"/>
    <s v="Egypt"/>
    <x v="39"/>
    <x v="201"/>
    <x v="201"/>
    <d v="2025-06-16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45:00"/>
    <d v="1899-12-30T21:00:00"/>
    <n v="0"/>
    <x v="1"/>
  </r>
  <r>
    <x v="0"/>
    <s v="Egypt"/>
    <x v="39"/>
    <x v="201"/>
    <x v="201"/>
    <m/>
    <m/>
    <s v="Break 30 Night"/>
    <d v="1899-12-30T23:30:00"/>
    <s v="+12:00 AM"/>
    <n v="0"/>
    <x v="1"/>
  </r>
  <r>
    <x v="0"/>
    <s v="Egypt"/>
    <x v="39"/>
    <x v="201"/>
    <x v="201"/>
    <d v="2025-06-17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30:00"/>
    <d v="1899-12-30T20:45:00"/>
    <n v="0"/>
    <x v="1"/>
  </r>
  <r>
    <x v="0"/>
    <s v="Egypt"/>
    <x v="39"/>
    <x v="201"/>
    <x v="201"/>
    <m/>
    <m/>
    <s v="Break 30 Night"/>
    <d v="1899-12-30T23:30:00"/>
    <s v="+12:00 AM"/>
    <n v="0"/>
    <x v="1"/>
  </r>
  <r>
    <x v="0"/>
    <s v="Egypt"/>
    <x v="39"/>
    <x v="201"/>
    <x v="201"/>
    <d v="2025-06-18T00:00:00"/>
    <m/>
    <s v="Day Off"/>
    <m/>
    <m/>
    <n v="0"/>
    <x v="1"/>
  </r>
  <r>
    <x v="0"/>
    <s v="Egypt"/>
    <x v="39"/>
    <x v="201"/>
    <x v="201"/>
    <d v="2025-06-19T00:00:00"/>
    <m/>
    <s v="Day Off"/>
    <m/>
    <m/>
    <n v="0"/>
    <x v="1"/>
  </r>
  <r>
    <x v="0"/>
    <s v="Egypt"/>
    <x v="39"/>
    <x v="201"/>
    <x v="201"/>
    <d v="2025-06-20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30:00"/>
    <d v="1899-12-30T20:45:00"/>
    <n v="0"/>
    <x v="1"/>
  </r>
  <r>
    <x v="0"/>
    <s v="Egypt"/>
    <x v="39"/>
    <x v="201"/>
    <x v="201"/>
    <m/>
    <m/>
    <s v="Break 30 Night"/>
    <d v="1899-12-30T23:45:00"/>
    <s v="+12:15 AM"/>
    <n v="0"/>
    <x v="1"/>
  </r>
  <r>
    <x v="0"/>
    <s v="Egypt"/>
    <x v="39"/>
    <x v="201"/>
    <x v="201"/>
    <d v="2025-06-21T00:00:00"/>
    <d v="1899-12-30T08:15:00"/>
    <s v="Non Telecom Assyot"/>
    <d v="1899-12-30T17:15:00"/>
    <s v="+1:30 AM"/>
    <n v="29700"/>
    <x v="0"/>
  </r>
  <r>
    <x v="0"/>
    <s v="Egypt"/>
    <x v="39"/>
    <x v="201"/>
    <x v="201"/>
    <m/>
    <m/>
    <s v="Break 15 Night"/>
    <d v="1899-12-30T20:30:00"/>
    <d v="1899-12-30T20:45:00"/>
    <n v="0"/>
    <x v="1"/>
  </r>
  <r>
    <x v="0"/>
    <s v="Egypt"/>
    <x v="39"/>
    <x v="201"/>
    <x v="201"/>
    <m/>
    <m/>
    <s v="Break 30 Night"/>
    <s v="+12:00 AM"/>
    <s v="+12:30 AM"/>
    <n v="0"/>
    <x v="1"/>
  </r>
  <r>
    <x v="0"/>
    <s v="Egypt"/>
    <x v="39"/>
    <x v="201"/>
    <x v="201"/>
    <d v="2025-06-22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7:00:00"/>
    <d v="1899-12-30T17:15:00"/>
    <n v="0"/>
    <x v="1"/>
  </r>
  <r>
    <x v="0"/>
    <s v="Egypt"/>
    <x v="39"/>
    <x v="201"/>
    <x v="201"/>
    <m/>
    <m/>
    <s v="Break 30 Morning"/>
    <d v="1899-12-30T19:45:00"/>
    <d v="1899-12-30T20:15:00"/>
    <n v="0"/>
    <x v="1"/>
  </r>
  <r>
    <x v="0"/>
    <s v="Egypt"/>
    <x v="39"/>
    <x v="201"/>
    <x v="201"/>
    <d v="2025-06-23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7:00:00"/>
    <d v="1899-12-30T17:15:00"/>
    <n v="0"/>
    <x v="1"/>
  </r>
  <r>
    <x v="0"/>
    <s v="Egypt"/>
    <x v="39"/>
    <x v="201"/>
    <x v="201"/>
    <m/>
    <m/>
    <s v="Break 30 Morning"/>
    <d v="1899-12-30T19:30:00"/>
    <d v="1899-12-30T20:00:00"/>
    <n v="0"/>
    <x v="1"/>
  </r>
  <r>
    <x v="0"/>
    <s v="Egypt"/>
    <x v="39"/>
    <x v="201"/>
    <x v="201"/>
    <d v="2025-06-24T00:00:00"/>
    <m/>
    <s v="Day Off"/>
    <m/>
    <m/>
    <n v="0"/>
    <x v="1"/>
  </r>
  <r>
    <x v="0"/>
    <s v="Egypt"/>
    <x v="39"/>
    <x v="201"/>
    <x v="201"/>
    <d v="2025-06-25T00:00:00"/>
    <m/>
    <s v="Day Off"/>
    <m/>
    <m/>
    <n v="0"/>
    <x v="1"/>
  </r>
  <r>
    <x v="0"/>
    <s v="Egypt"/>
    <x v="39"/>
    <x v="201"/>
    <x v="201"/>
    <d v="2025-06-26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5:45:00"/>
    <d v="1899-12-30T16:00:00"/>
    <n v="0"/>
    <x v="1"/>
  </r>
  <r>
    <x v="0"/>
    <s v="Egypt"/>
    <x v="39"/>
    <x v="201"/>
    <x v="201"/>
    <m/>
    <m/>
    <s v="Break 30 Morning"/>
    <d v="1899-12-30T19:30:00"/>
    <d v="1899-12-30T20:00:00"/>
    <n v="0"/>
    <x v="1"/>
  </r>
  <r>
    <x v="0"/>
    <s v="Egypt"/>
    <x v="39"/>
    <x v="201"/>
    <x v="201"/>
    <d v="2025-06-27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6:30:00"/>
    <d v="1899-12-30T16:45:00"/>
    <n v="0"/>
    <x v="1"/>
  </r>
  <r>
    <x v="0"/>
    <s v="Egypt"/>
    <x v="39"/>
    <x v="201"/>
    <x v="201"/>
    <m/>
    <m/>
    <s v="Break 30 Morning"/>
    <d v="1899-12-30T19:45:00"/>
    <d v="1899-12-30T20:15:00"/>
    <n v="0"/>
    <x v="1"/>
  </r>
  <r>
    <x v="0"/>
    <s v="Egypt"/>
    <x v="39"/>
    <x v="201"/>
    <x v="201"/>
    <d v="2025-06-28T00:00:00"/>
    <d v="1899-12-30T08:15:00"/>
    <s v="Annual Exception"/>
    <m/>
    <m/>
    <n v="29700"/>
    <x v="1"/>
  </r>
  <r>
    <x v="0"/>
    <s v="Egypt"/>
    <x v="39"/>
    <x v="201"/>
    <x v="201"/>
    <d v="2025-06-29T00:00:00"/>
    <d v="1899-12-30T08:15:00"/>
    <s v="Non Telecom Assyot"/>
    <d v="1899-12-30T14:00:00"/>
    <d v="1899-12-30T22:15:00"/>
    <n v="29700"/>
    <x v="0"/>
  </r>
  <r>
    <x v="0"/>
    <s v="Egypt"/>
    <x v="39"/>
    <x v="201"/>
    <x v="201"/>
    <m/>
    <m/>
    <s v="Break 15 Morning"/>
    <d v="1899-12-30T16:00:00"/>
    <d v="1899-12-30T16:15:00"/>
    <n v="0"/>
    <x v="1"/>
  </r>
  <r>
    <x v="0"/>
    <s v="Egypt"/>
    <x v="39"/>
    <x v="201"/>
    <x v="201"/>
    <m/>
    <m/>
    <s v="Break 30 Morning"/>
    <d v="1899-12-30T19:30:00"/>
    <d v="1899-12-30T20:00:00"/>
    <n v="0"/>
    <x v="1"/>
  </r>
  <r>
    <x v="0"/>
    <s v="Egypt"/>
    <x v="39"/>
    <x v="201"/>
    <x v="201"/>
    <d v="2025-06-30T00:00:00"/>
    <m/>
    <s v="Day Off"/>
    <m/>
    <m/>
    <n v="0"/>
    <x v="1"/>
  </r>
  <r>
    <x v="0"/>
    <s v="Egypt"/>
    <x v="3"/>
    <x v="202"/>
    <x v="202"/>
    <d v="2025-06-01T00:00:00"/>
    <d v="1899-12-30T08:15:00"/>
    <s v="Non Telecom"/>
    <d v="1899-12-30T16:15:00"/>
    <s v="+12:30 AM"/>
    <n v="29700"/>
    <x v="0"/>
  </r>
  <r>
    <x v="0"/>
    <s v="Egypt"/>
    <x v="3"/>
    <x v="202"/>
    <x v="202"/>
    <m/>
    <m/>
    <s v="Break 15 Night"/>
    <d v="1899-12-30T18:00:00"/>
    <d v="1899-12-30T18:15:00"/>
    <n v="0"/>
    <x v="1"/>
  </r>
  <r>
    <x v="0"/>
    <s v="Egypt"/>
    <x v="3"/>
    <x v="202"/>
    <x v="202"/>
    <m/>
    <m/>
    <s v="Break 30 Night"/>
    <d v="1899-12-30T21:15:00"/>
    <d v="1899-12-30T21:45:00"/>
    <n v="0"/>
    <x v="1"/>
  </r>
  <r>
    <x v="0"/>
    <s v="Egypt"/>
    <x v="3"/>
    <x v="202"/>
    <x v="202"/>
    <d v="2025-06-02T00:00:00"/>
    <d v="1899-12-30T08:15:00"/>
    <s v="Non Telecom"/>
    <d v="1899-12-30T18:00:00"/>
    <s v="+2:15 AM"/>
    <n v="29700"/>
    <x v="0"/>
  </r>
  <r>
    <x v="0"/>
    <s v="Egypt"/>
    <x v="3"/>
    <x v="202"/>
    <x v="202"/>
    <m/>
    <m/>
    <s v="Break 15 Night"/>
    <d v="1899-12-30T20:15:00"/>
    <d v="1899-12-30T20:30:00"/>
    <n v="0"/>
    <x v="1"/>
  </r>
  <r>
    <x v="0"/>
    <s v="Egypt"/>
    <x v="3"/>
    <x v="202"/>
    <x v="202"/>
    <m/>
    <m/>
    <s v="Break 30 Night"/>
    <d v="1899-12-30T23:45:00"/>
    <s v="+12:15 AM"/>
    <n v="0"/>
    <x v="1"/>
  </r>
  <r>
    <x v="0"/>
    <s v="Egypt"/>
    <x v="3"/>
    <x v="202"/>
    <x v="202"/>
    <d v="2025-06-03T00:00:00"/>
    <d v="1899-12-30T00:00:00"/>
    <s v="Resigned"/>
    <m/>
    <m/>
    <n v="0"/>
    <x v="1"/>
  </r>
  <r>
    <x v="0"/>
    <s v="Egypt"/>
    <x v="3"/>
    <x v="202"/>
    <x v="202"/>
    <d v="2025-06-04T00:00:00"/>
    <d v="1899-12-30T00:00:00"/>
    <s v="Resigned Unplanned"/>
    <m/>
    <m/>
    <n v="0"/>
    <x v="1"/>
  </r>
  <r>
    <x v="0"/>
    <s v="Egypt"/>
    <x v="3"/>
    <x v="202"/>
    <x v="202"/>
    <d v="2025-06-05T00:00:00"/>
    <d v="1899-12-30T00:00:00"/>
    <s v="Resigned Unplanned"/>
    <m/>
    <m/>
    <n v="0"/>
    <x v="1"/>
  </r>
  <r>
    <x v="0"/>
    <s v="Egypt"/>
    <x v="3"/>
    <x v="202"/>
    <x v="202"/>
    <d v="2025-06-06T00:00:00"/>
    <d v="1899-12-30T00:00:00"/>
    <s v="Resigned"/>
    <m/>
    <m/>
    <n v="0"/>
    <x v="1"/>
  </r>
  <r>
    <x v="0"/>
    <s v="Egypt"/>
    <x v="3"/>
    <x v="202"/>
    <x v="202"/>
    <d v="2025-06-07T00:00:00"/>
    <d v="1899-12-30T00:00:00"/>
    <s v="Resigned"/>
    <m/>
    <m/>
    <n v="0"/>
    <x v="1"/>
  </r>
  <r>
    <x v="0"/>
    <s v="Egypt"/>
    <x v="3"/>
    <x v="202"/>
    <x v="202"/>
    <d v="2025-06-08T00:00:00"/>
    <d v="1899-12-30T00:00:00"/>
    <s v="Resigned"/>
    <m/>
    <m/>
    <n v="0"/>
    <x v="1"/>
  </r>
  <r>
    <x v="0"/>
    <s v="Egypt"/>
    <x v="3"/>
    <x v="202"/>
    <x v="202"/>
    <d v="2025-06-09T00:00:00"/>
    <d v="1899-12-30T00:00:00"/>
    <s v="Resigned Unplanned"/>
    <m/>
    <m/>
    <n v="0"/>
    <x v="1"/>
  </r>
  <r>
    <x v="0"/>
    <s v="Egypt"/>
    <x v="3"/>
    <x v="202"/>
    <x v="202"/>
    <d v="2025-06-10T00:00:00"/>
    <d v="1899-12-30T00:00:00"/>
    <s v="Resigned Unplanned"/>
    <m/>
    <m/>
    <n v="0"/>
    <x v="1"/>
  </r>
  <r>
    <x v="0"/>
    <s v="Egypt"/>
    <x v="3"/>
    <x v="202"/>
    <x v="202"/>
    <d v="2025-06-11T00:00:00"/>
    <d v="1899-12-30T00:00:00"/>
    <s v="Resigned Unplanned"/>
    <m/>
    <m/>
    <n v="0"/>
    <x v="1"/>
  </r>
  <r>
    <x v="0"/>
    <s v="Egypt"/>
    <x v="3"/>
    <x v="202"/>
    <x v="202"/>
    <d v="2025-06-12T00:00:00"/>
    <d v="1899-12-30T00:00:00"/>
    <s v="Resigned Unplanned"/>
    <m/>
    <m/>
    <n v="0"/>
    <x v="1"/>
  </r>
  <r>
    <x v="0"/>
    <s v="Egypt"/>
    <x v="3"/>
    <x v="202"/>
    <x v="202"/>
    <d v="2025-06-13T00:00:00"/>
    <d v="1899-12-30T00:00:00"/>
    <s v="Resigned Unplanned"/>
    <m/>
    <m/>
    <n v="0"/>
    <x v="1"/>
  </r>
  <r>
    <x v="0"/>
    <s v="Egypt"/>
    <x v="3"/>
    <x v="202"/>
    <x v="202"/>
    <d v="2025-06-14T00:00:00"/>
    <d v="1899-12-30T00:00:00"/>
    <s v="Resigned"/>
    <m/>
    <m/>
    <n v="0"/>
    <x v="1"/>
  </r>
  <r>
    <x v="0"/>
    <s v="Egypt"/>
    <x v="3"/>
    <x v="202"/>
    <x v="202"/>
    <d v="2025-06-15T00:00:00"/>
    <d v="1899-12-30T00:00:00"/>
    <s v="Resigned"/>
    <m/>
    <m/>
    <n v="0"/>
    <x v="1"/>
  </r>
  <r>
    <x v="0"/>
    <s v="Egypt"/>
    <x v="3"/>
    <x v="202"/>
    <x v="202"/>
    <d v="2025-06-16T00:00:00"/>
    <d v="1899-12-30T00:00:00"/>
    <s v="Resigned Unplanned"/>
    <m/>
    <m/>
    <n v="0"/>
    <x v="1"/>
  </r>
  <r>
    <x v="0"/>
    <s v="Egypt"/>
    <x v="3"/>
    <x v="202"/>
    <x v="202"/>
    <d v="2025-06-17T00:00:00"/>
    <d v="1899-12-30T00:00:00"/>
    <s v="Resigned Unplanned"/>
    <m/>
    <m/>
    <n v="0"/>
    <x v="1"/>
  </r>
  <r>
    <x v="0"/>
    <s v="Egypt"/>
    <x v="3"/>
    <x v="202"/>
    <x v="202"/>
    <d v="2025-06-18T00:00:00"/>
    <d v="1899-12-30T00:00:00"/>
    <s v="Resigned Unplanned"/>
    <m/>
    <m/>
    <n v="0"/>
    <x v="1"/>
  </r>
  <r>
    <x v="0"/>
    <s v="Egypt"/>
    <x v="3"/>
    <x v="202"/>
    <x v="202"/>
    <d v="2025-06-19T00:00:00"/>
    <d v="1899-12-30T00:00:00"/>
    <s v="Resigned Unplanned"/>
    <m/>
    <m/>
    <n v="0"/>
    <x v="1"/>
  </r>
  <r>
    <x v="0"/>
    <s v="Egypt"/>
    <x v="3"/>
    <x v="202"/>
    <x v="202"/>
    <d v="2025-06-20T00:00:00"/>
    <d v="1899-12-30T00:00:00"/>
    <s v="Resigned"/>
    <m/>
    <m/>
    <n v="0"/>
    <x v="1"/>
  </r>
  <r>
    <x v="0"/>
    <s v="Egypt"/>
    <x v="3"/>
    <x v="202"/>
    <x v="202"/>
    <d v="2025-06-21T00:00:00"/>
    <d v="1899-12-30T00:00:00"/>
    <s v="Resigned"/>
    <m/>
    <m/>
    <n v="0"/>
    <x v="1"/>
  </r>
  <r>
    <x v="0"/>
    <s v="Egypt"/>
    <x v="3"/>
    <x v="202"/>
    <x v="202"/>
    <d v="2025-06-22T00:00:00"/>
    <d v="1899-12-30T00:00:00"/>
    <s v="Resigned"/>
    <m/>
    <m/>
    <n v="0"/>
    <x v="1"/>
  </r>
  <r>
    <x v="0"/>
    <s v="Egypt"/>
    <x v="3"/>
    <x v="202"/>
    <x v="202"/>
    <d v="2025-06-23T00:00:00"/>
    <d v="1899-12-30T00:00:00"/>
    <s v="Resigned"/>
    <m/>
    <m/>
    <n v="0"/>
    <x v="1"/>
  </r>
  <r>
    <x v="0"/>
    <s v="Egypt"/>
    <x v="3"/>
    <x v="202"/>
    <x v="202"/>
    <d v="2025-06-24T00:00:00"/>
    <d v="1899-12-30T00:00:00"/>
    <s v="Resigned"/>
    <m/>
    <m/>
    <n v="0"/>
    <x v="1"/>
  </r>
  <r>
    <x v="0"/>
    <s v="Egypt"/>
    <x v="3"/>
    <x v="202"/>
    <x v="202"/>
    <d v="2025-06-25T00:00:00"/>
    <d v="1899-12-30T00:00:00"/>
    <s v="Resigned"/>
    <m/>
    <m/>
    <n v="0"/>
    <x v="1"/>
  </r>
  <r>
    <x v="0"/>
    <s v="Egypt"/>
    <x v="3"/>
    <x v="202"/>
    <x v="202"/>
    <d v="2025-06-26T00:00:00"/>
    <d v="1899-12-30T00:00:00"/>
    <s v="Resigned"/>
    <m/>
    <m/>
    <n v="0"/>
    <x v="1"/>
  </r>
  <r>
    <x v="0"/>
    <s v="Egypt"/>
    <x v="3"/>
    <x v="202"/>
    <x v="202"/>
    <d v="2025-06-27T00:00:00"/>
    <d v="1899-12-30T00:00:00"/>
    <s v="Resigned"/>
    <m/>
    <m/>
    <n v="0"/>
    <x v="1"/>
  </r>
  <r>
    <x v="0"/>
    <s v="Egypt"/>
    <x v="3"/>
    <x v="202"/>
    <x v="202"/>
    <d v="2025-06-28T00:00:00"/>
    <d v="1899-12-30T00:00:00"/>
    <s v="Resigned"/>
    <m/>
    <m/>
    <n v="0"/>
    <x v="1"/>
  </r>
  <r>
    <x v="0"/>
    <s v="Egypt"/>
    <x v="40"/>
    <x v="203"/>
    <x v="203"/>
    <d v="2025-06-01T00:00:00"/>
    <d v="1899-12-30T08:15:00"/>
    <s v="Non Telecom Assyot"/>
    <d v="1899-12-30T14:00:00"/>
    <d v="1899-12-30T22:15:00"/>
    <n v="29700"/>
    <x v="0"/>
  </r>
  <r>
    <x v="0"/>
    <s v="Egypt"/>
    <x v="40"/>
    <x v="203"/>
    <x v="203"/>
    <m/>
    <m/>
    <s v="Break 15 Morning"/>
    <d v="1899-12-30T15:45:00"/>
    <d v="1899-12-30T16:00:00"/>
    <n v="0"/>
    <x v="1"/>
  </r>
  <r>
    <x v="0"/>
    <s v="Egypt"/>
    <x v="40"/>
    <x v="203"/>
    <x v="203"/>
    <m/>
    <m/>
    <s v="Break 30 Morning"/>
    <d v="1899-12-30T19:15:00"/>
    <d v="1899-12-30T19:45:00"/>
    <n v="0"/>
    <x v="1"/>
  </r>
  <r>
    <x v="0"/>
    <s v="Egypt"/>
    <x v="40"/>
    <x v="203"/>
    <x v="203"/>
    <d v="2025-06-02T00:00:00"/>
    <d v="1899-12-30T08:15:00"/>
    <s v="Non Telecom Assyot"/>
    <d v="1899-12-30T14:00:00"/>
    <d v="1899-12-30T22:15:00"/>
    <n v="29700"/>
    <x v="0"/>
  </r>
  <r>
    <x v="0"/>
    <s v="Egypt"/>
    <x v="40"/>
    <x v="203"/>
    <x v="203"/>
    <m/>
    <m/>
    <s v="Break 15 Morning"/>
    <d v="1899-12-30T15:45:00"/>
    <d v="1899-12-30T16:00:00"/>
    <n v="0"/>
    <x v="1"/>
  </r>
  <r>
    <x v="0"/>
    <s v="Egypt"/>
    <x v="40"/>
    <x v="203"/>
    <x v="203"/>
    <m/>
    <m/>
    <s v="Break 30 Morning"/>
    <d v="1899-12-30T19:15:00"/>
    <d v="1899-12-30T19:45:00"/>
    <n v="0"/>
    <x v="1"/>
  </r>
  <r>
    <x v="0"/>
    <s v="Egypt"/>
    <x v="40"/>
    <x v="203"/>
    <x v="203"/>
    <d v="2025-06-03T00:00:00"/>
    <d v="1899-12-30T08:15:00"/>
    <s v="Non Telecom Assyot"/>
    <d v="1899-12-30T14:00:00"/>
    <d v="1899-12-30T22:15:00"/>
    <n v="29700"/>
    <x v="0"/>
  </r>
  <r>
    <x v="0"/>
    <s v="Egypt"/>
    <x v="40"/>
    <x v="203"/>
    <x v="203"/>
    <m/>
    <m/>
    <s v="Break 15 Morning"/>
    <d v="1899-12-30T15:45:00"/>
    <d v="1899-12-30T16:00:00"/>
    <n v="0"/>
    <x v="1"/>
  </r>
  <r>
    <x v="0"/>
    <s v="Egypt"/>
    <x v="40"/>
    <x v="203"/>
    <x v="203"/>
    <m/>
    <m/>
    <s v="Break 30 Morning"/>
    <d v="1899-12-30T18:45:00"/>
    <d v="1899-12-30T19:15:00"/>
    <n v="0"/>
    <x v="1"/>
  </r>
  <r>
    <x v="0"/>
    <s v="Egypt"/>
    <x v="40"/>
    <x v="203"/>
    <x v="203"/>
    <d v="2025-06-04T00:00:00"/>
    <d v="1899-12-30T08:15:00"/>
    <s v="Non Telecom Assyot"/>
    <d v="1899-12-30T14:00:00"/>
    <d v="1899-12-30T22:15:00"/>
    <n v="29700"/>
    <x v="0"/>
  </r>
  <r>
    <x v="0"/>
    <s v="Egypt"/>
    <x v="40"/>
    <x v="203"/>
    <x v="203"/>
    <m/>
    <m/>
    <s v="Break 15 Morning"/>
    <d v="1899-12-30T15:15:00"/>
    <d v="1899-12-30T15:30:00"/>
    <n v="0"/>
    <x v="1"/>
  </r>
  <r>
    <x v="0"/>
    <s v="Egypt"/>
    <x v="40"/>
    <x v="203"/>
    <x v="203"/>
    <m/>
    <m/>
    <s v="Break 30 Morning"/>
    <d v="1899-12-30T18:30:00"/>
    <d v="1899-12-30T19:00:00"/>
    <n v="0"/>
    <x v="1"/>
  </r>
  <r>
    <x v="0"/>
    <s v="Egypt"/>
    <x v="40"/>
    <x v="203"/>
    <x v="203"/>
    <d v="2025-06-05T00:00:00"/>
    <m/>
    <s v="Day Off"/>
    <m/>
    <m/>
    <n v="0"/>
    <x v="1"/>
  </r>
  <r>
    <x v="0"/>
    <s v="Egypt"/>
    <x v="40"/>
    <x v="203"/>
    <x v="203"/>
    <d v="2025-06-06T00:00:00"/>
    <m/>
    <s v="Day Off"/>
    <m/>
    <m/>
    <n v="0"/>
    <x v="1"/>
  </r>
  <r>
    <x v="0"/>
    <s v="Egypt"/>
    <x v="40"/>
    <x v="203"/>
    <x v="203"/>
    <d v="2025-06-07T00:00:00"/>
    <d v="1899-12-30T08:15:00"/>
    <s v="Absent"/>
    <m/>
    <m/>
    <n v="29700"/>
    <x v="1"/>
  </r>
  <r>
    <x v="0"/>
    <s v="Egypt"/>
    <x v="40"/>
    <x v="203"/>
    <x v="203"/>
    <d v="2025-06-08T00:00:00"/>
    <d v="1899-12-30T08:15:00"/>
    <s v="Non Telecom Assyot"/>
    <d v="1899-12-30T17:15:00"/>
    <s v="+1:30 AM"/>
    <n v="29700"/>
    <x v="0"/>
  </r>
  <r>
    <x v="0"/>
    <s v="Egypt"/>
    <x v="40"/>
    <x v="203"/>
    <x v="203"/>
    <m/>
    <m/>
    <s v="Break 15 Night"/>
    <d v="1899-12-30T19:00:00"/>
    <d v="1899-12-30T19:15:00"/>
    <n v="0"/>
    <x v="1"/>
  </r>
  <r>
    <x v="0"/>
    <s v="Egypt"/>
    <x v="40"/>
    <x v="203"/>
    <x v="203"/>
    <m/>
    <m/>
    <s v="Break 30 Night"/>
    <d v="1899-12-30T22:15:00"/>
    <d v="1899-12-30T22:45:00"/>
    <n v="0"/>
    <x v="1"/>
  </r>
  <r>
    <x v="0"/>
    <s v="Egypt"/>
    <x v="40"/>
    <x v="203"/>
    <x v="203"/>
    <d v="2025-06-09T00:00:00"/>
    <d v="1899-12-30T08:15:00"/>
    <s v="Non Telecom Assyot"/>
    <d v="1899-12-30T17:15:00"/>
    <s v="+1:30 AM"/>
    <n v="29700"/>
    <x v="0"/>
  </r>
  <r>
    <x v="0"/>
    <s v="Egypt"/>
    <x v="40"/>
    <x v="203"/>
    <x v="203"/>
    <m/>
    <m/>
    <s v="Break 15 Night"/>
    <d v="1899-12-30T18:45:00"/>
    <d v="1899-12-30T19:00:00"/>
    <n v="0"/>
    <x v="1"/>
  </r>
  <r>
    <x v="0"/>
    <s v="Egypt"/>
    <x v="40"/>
    <x v="203"/>
    <x v="203"/>
    <m/>
    <m/>
    <s v="Break 30 Night"/>
    <d v="1899-12-30T22:00:00"/>
    <d v="1899-12-30T22:30:00"/>
    <n v="0"/>
    <x v="1"/>
  </r>
  <r>
    <x v="0"/>
    <s v="Egypt"/>
    <x v="40"/>
    <x v="203"/>
    <x v="203"/>
    <d v="2025-06-10T00:00:00"/>
    <d v="1899-12-30T08:15:00"/>
    <s v="Non Telecom Assyot"/>
    <d v="1899-12-30T17:15:00"/>
    <s v="+1:30 AM"/>
    <n v="29700"/>
    <x v="0"/>
  </r>
  <r>
    <x v="0"/>
    <s v="Egypt"/>
    <x v="40"/>
    <x v="203"/>
    <x v="203"/>
    <m/>
    <m/>
    <s v="Break 15 Night"/>
    <d v="1899-12-30T18:45:00"/>
    <d v="1899-12-30T19:00:00"/>
    <n v="0"/>
    <x v="1"/>
  </r>
  <r>
    <x v="0"/>
    <s v="Egypt"/>
    <x v="40"/>
    <x v="203"/>
    <x v="203"/>
    <m/>
    <m/>
    <s v="Break 30 Night"/>
    <d v="1899-12-30T22:00:00"/>
    <d v="1899-12-30T22:30:00"/>
    <n v="0"/>
    <x v="1"/>
  </r>
  <r>
    <x v="0"/>
    <s v="Egypt"/>
    <x v="40"/>
    <x v="203"/>
    <x v="203"/>
    <d v="2025-06-11T00:00:00"/>
    <m/>
    <s v="Day Off"/>
    <m/>
    <m/>
    <n v="0"/>
    <x v="1"/>
  </r>
  <r>
    <x v="0"/>
    <s v="Egypt"/>
    <x v="40"/>
    <x v="203"/>
    <x v="203"/>
    <d v="2025-06-12T00:00:00"/>
    <m/>
    <s v="Day Off"/>
    <m/>
    <m/>
    <n v="0"/>
    <x v="1"/>
  </r>
  <r>
    <x v="0"/>
    <s v="Egypt"/>
    <x v="40"/>
    <x v="203"/>
    <x v="203"/>
    <d v="2025-06-13T00:00:00"/>
    <d v="1899-12-30T08:15:00"/>
    <s v="Non Telecom Assyot"/>
    <d v="1899-12-30T14:00:00"/>
    <d v="1899-12-30T22:15:00"/>
    <n v="29700"/>
    <x v="0"/>
  </r>
  <r>
    <x v="0"/>
    <s v="Egypt"/>
    <x v="40"/>
    <x v="203"/>
    <x v="203"/>
    <m/>
    <m/>
    <s v="Break 15 Morning"/>
    <d v="1899-12-30T15:30:00"/>
    <d v="1899-12-30T15:45:00"/>
    <n v="0"/>
    <x v="1"/>
  </r>
  <r>
    <x v="0"/>
    <s v="Egypt"/>
    <x v="40"/>
    <x v="203"/>
    <x v="203"/>
    <m/>
    <m/>
    <s v="Break 30 Morning"/>
    <d v="1899-12-30T19:00:00"/>
    <d v="1899-12-30T19:30:00"/>
    <n v="0"/>
    <x v="1"/>
  </r>
  <r>
    <x v="0"/>
    <s v="Egypt"/>
    <x v="40"/>
    <x v="203"/>
    <x v="203"/>
    <d v="2025-06-14T00:00:00"/>
    <d v="1899-12-30T08:15:00"/>
    <s v="Absent"/>
    <m/>
    <m/>
    <n v="29700"/>
    <x v="1"/>
  </r>
  <r>
    <x v="0"/>
    <s v="Egypt"/>
    <x v="40"/>
    <x v="203"/>
    <x v="203"/>
    <d v="2025-06-15T00:00:00"/>
    <d v="1899-12-30T00:00:00"/>
    <s v="Resigned Unplanned"/>
    <m/>
    <m/>
    <n v="0"/>
    <x v="1"/>
  </r>
  <r>
    <x v="0"/>
    <s v="Egypt"/>
    <x v="40"/>
    <x v="203"/>
    <x v="203"/>
    <d v="2025-06-16T00:00:00"/>
    <d v="1899-12-30T00:00:00"/>
    <s v="Resigned Unplanned"/>
    <m/>
    <m/>
    <n v="0"/>
    <x v="1"/>
  </r>
  <r>
    <x v="0"/>
    <s v="Egypt"/>
    <x v="40"/>
    <x v="203"/>
    <x v="203"/>
    <d v="2025-06-17T00:00:00"/>
    <d v="1899-12-30T00:00:00"/>
    <s v="Resigned"/>
    <m/>
    <m/>
    <n v="0"/>
    <x v="1"/>
  </r>
  <r>
    <x v="0"/>
    <s v="Egypt"/>
    <x v="40"/>
    <x v="203"/>
    <x v="203"/>
    <d v="2025-06-18T00:00:00"/>
    <d v="1899-12-30T00:00:00"/>
    <s v="Resigned Unplanned"/>
    <m/>
    <m/>
    <n v="0"/>
    <x v="1"/>
  </r>
  <r>
    <x v="0"/>
    <s v="Egypt"/>
    <x v="40"/>
    <x v="203"/>
    <x v="203"/>
    <d v="2025-06-19T00:00:00"/>
    <d v="1899-12-30T00:00:00"/>
    <s v="Resigned Unplanned"/>
    <m/>
    <m/>
    <n v="0"/>
    <x v="1"/>
  </r>
  <r>
    <x v="0"/>
    <s v="Egypt"/>
    <x v="40"/>
    <x v="203"/>
    <x v="203"/>
    <d v="2025-06-20T00:00:00"/>
    <d v="1899-12-30T00:00:00"/>
    <s v="Resigned Unplanned"/>
    <m/>
    <m/>
    <n v="0"/>
    <x v="1"/>
  </r>
  <r>
    <x v="0"/>
    <s v="Egypt"/>
    <x v="40"/>
    <x v="203"/>
    <x v="203"/>
    <d v="2025-06-21T00:00:00"/>
    <d v="1899-12-30T00:00:00"/>
    <s v="Resigned"/>
    <m/>
    <m/>
    <n v="0"/>
    <x v="1"/>
  </r>
  <r>
    <x v="0"/>
    <s v="Egypt"/>
    <x v="40"/>
    <x v="203"/>
    <x v="203"/>
    <d v="2025-06-22T00:00:00"/>
    <d v="1899-12-30T00:00:00"/>
    <s v="Resigned"/>
    <m/>
    <m/>
    <n v="0"/>
    <x v="1"/>
  </r>
  <r>
    <x v="0"/>
    <s v="Egypt"/>
    <x v="40"/>
    <x v="203"/>
    <x v="203"/>
    <d v="2025-06-23T00:00:00"/>
    <d v="1899-12-30T00:00:00"/>
    <s v="Resigned"/>
    <m/>
    <m/>
    <n v="0"/>
    <x v="1"/>
  </r>
  <r>
    <x v="0"/>
    <s v="Egypt"/>
    <x v="40"/>
    <x v="203"/>
    <x v="203"/>
    <d v="2025-06-24T00:00:00"/>
    <d v="1899-12-30T00:00:00"/>
    <s v="Resigned"/>
    <m/>
    <m/>
    <n v="0"/>
    <x v="1"/>
  </r>
  <r>
    <x v="0"/>
    <s v="Egypt"/>
    <x v="40"/>
    <x v="203"/>
    <x v="203"/>
    <d v="2025-06-25T00:00:00"/>
    <d v="1899-12-30T00:00:00"/>
    <s v="Resigned"/>
    <m/>
    <m/>
    <n v="0"/>
    <x v="1"/>
  </r>
  <r>
    <x v="0"/>
    <s v="Egypt"/>
    <x v="40"/>
    <x v="203"/>
    <x v="203"/>
    <d v="2025-06-26T00:00:00"/>
    <d v="1899-12-30T00:00:00"/>
    <s v="Resigned"/>
    <m/>
    <m/>
    <n v="0"/>
    <x v="1"/>
  </r>
  <r>
    <x v="0"/>
    <s v="Egypt"/>
    <x v="40"/>
    <x v="203"/>
    <x v="203"/>
    <d v="2025-06-27T00:00:00"/>
    <d v="1899-12-30T00:00:00"/>
    <s v="Resigned"/>
    <m/>
    <m/>
    <n v="0"/>
    <x v="1"/>
  </r>
  <r>
    <x v="0"/>
    <s v="Egypt"/>
    <x v="40"/>
    <x v="203"/>
    <x v="203"/>
    <d v="2025-06-28T00:00:00"/>
    <d v="1899-12-30T00:00:00"/>
    <s v="Resigned"/>
    <m/>
    <m/>
    <n v="0"/>
    <x v="1"/>
  </r>
  <r>
    <x v="0"/>
    <s v="Egypt"/>
    <x v="21"/>
    <x v="204"/>
    <x v="204"/>
    <d v="2025-06-01T00:00:00"/>
    <d v="1899-12-30T08:15:00"/>
    <s v="Non Telecom"/>
    <d v="1899-12-30T00:00:00"/>
    <d v="1899-12-30T08:15:00"/>
    <n v="29700"/>
    <x v="0"/>
  </r>
  <r>
    <x v="0"/>
    <s v="Egypt"/>
    <x v="21"/>
    <x v="204"/>
    <x v="204"/>
    <m/>
    <m/>
    <s v="Break 30 Night"/>
    <d v="1899-12-30T02:00:00"/>
    <d v="1899-12-30T02:30:00"/>
    <n v="0"/>
    <x v="1"/>
  </r>
  <r>
    <x v="0"/>
    <s v="Egypt"/>
    <x v="21"/>
    <x v="204"/>
    <x v="204"/>
    <m/>
    <m/>
    <s v="Break 15 Night"/>
    <d v="1899-12-30T04:45:00"/>
    <d v="1899-12-30T05:00:00"/>
    <n v="0"/>
    <x v="1"/>
  </r>
  <r>
    <x v="0"/>
    <s v="Egypt"/>
    <x v="21"/>
    <x v="204"/>
    <x v="204"/>
    <d v="2025-06-02T00:00:00"/>
    <d v="1899-12-30T00:00:00"/>
    <s v="Resigned Unplanned"/>
    <d v="1899-12-30T00:00:00"/>
    <d v="1899-12-30T08:15:00"/>
    <n v="0"/>
    <x v="1"/>
  </r>
  <r>
    <x v="0"/>
    <s v="Egypt"/>
    <x v="21"/>
    <x v="204"/>
    <x v="204"/>
    <d v="2025-06-03T00:00:00"/>
    <d v="1899-12-30T00:00:00"/>
    <s v="Resigned Unplanned"/>
    <d v="1899-12-30T00:00:00"/>
    <d v="1899-12-30T08:15:00"/>
    <n v="0"/>
    <x v="1"/>
  </r>
  <r>
    <x v="0"/>
    <s v="Egypt"/>
    <x v="21"/>
    <x v="204"/>
    <x v="204"/>
    <d v="2025-06-04T00:00:00"/>
    <m/>
    <s v="Day Off"/>
    <m/>
    <m/>
    <n v="0"/>
    <x v="1"/>
  </r>
  <r>
    <x v="0"/>
    <s v="Egypt"/>
    <x v="21"/>
    <x v="204"/>
    <x v="204"/>
    <d v="2025-06-05T00:00:00"/>
    <m/>
    <s v="Day Off"/>
    <m/>
    <m/>
    <n v="0"/>
    <x v="1"/>
  </r>
  <r>
    <x v="0"/>
    <s v="Egypt"/>
    <x v="21"/>
    <x v="204"/>
    <x v="204"/>
    <d v="2025-06-06T00:00:00"/>
    <d v="1899-12-30T00:00:00"/>
    <s v="Resigned Unplanned"/>
    <d v="1899-12-30T00:00:00"/>
    <d v="1899-12-30T08:15:00"/>
    <n v="0"/>
    <x v="1"/>
  </r>
  <r>
    <x v="0"/>
    <s v="Egypt"/>
    <x v="21"/>
    <x v="204"/>
    <x v="204"/>
    <d v="2025-06-07T00:00:00"/>
    <d v="1899-12-30T00:00:00"/>
    <s v="Resigned Unplanned"/>
    <d v="1899-12-30T00:00:00"/>
    <d v="1899-12-30T08:15:00"/>
    <n v="0"/>
    <x v="1"/>
  </r>
  <r>
    <x v="0"/>
    <s v="Egypt"/>
    <x v="21"/>
    <x v="204"/>
    <x v="204"/>
    <d v="2025-06-08T00:00:00"/>
    <d v="1899-12-30T00:00:00"/>
    <s v="Resigned"/>
    <m/>
    <m/>
    <n v="0"/>
    <x v="1"/>
  </r>
  <r>
    <x v="0"/>
    <s v="Egypt"/>
    <x v="21"/>
    <x v="204"/>
    <x v="204"/>
    <d v="2025-06-09T00:00:00"/>
    <d v="1899-12-30T00:00:00"/>
    <s v="Resigned"/>
    <m/>
    <m/>
    <n v="0"/>
    <x v="1"/>
  </r>
  <r>
    <x v="0"/>
    <s v="Egypt"/>
    <x v="21"/>
    <x v="204"/>
    <x v="204"/>
    <d v="2025-06-10T00:00:00"/>
    <d v="1899-12-30T00:00:00"/>
    <s v="Resigned"/>
    <m/>
    <m/>
    <n v="0"/>
    <x v="1"/>
  </r>
  <r>
    <x v="0"/>
    <s v="Egypt"/>
    <x v="21"/>
    <x v="204"/>
    <x v="204"/>
    <d v="2025-06-11T00:00:00"/>
    <d v="1899-12-30T00:00:00"/>
    <s v="Resigned"/>
    <m/>
    <m/>
    <n v="0"/>
    <x v="1"/>
  </r>
  <r>
    <x v="0"/>
    <s v="Egypt"/>
    <x v="21"/>
    <x v="204"/>
    <x v="204"/>
    <d v="2025-06-12T00:00:00"/>
    <d v="1899-12-30T00:00:00"/>
    <s v="Resigned"/>
    <m/>
    <m/>
    <n v="0"/>
    <x v="1"/>
  </r>
  <r>
    <x v="0"/>
    <s v="Egypt"/>
    <x v="21"/>
    <x v="204"/>
    <x v="204"/>
    <d v="2025-06-13T00:00:00"/>
    <d v="1899-12-30T00:00:00"/>
    <s v="Resigned"/>
    <m/>
    <m/>
    <n v="0"/>
    <x v="1"/>
  </r>
  <r>
    <x v="0"/>
    <s v="Egypt"/>
    <x v="21"/>
    <x v="204"/>
    <x v="204"/>
    <d v="2025-06-14T00:00:00"/>
    <d v="1899-12-30T00:00:00"/>
    <s v="Resigned"/>
    <m/>
    <m/>
    <n v="0"/>
    <x v="1"/>
  </r>
  <r>
    <x v="0"/>
    <s v="Egypt"/>
    <x v="12"/>
    <x v="205"/>
    <x v="205"/>
    <d v="2025-06-01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10:00:00"/>
    <d v="1899-12-30T10:15:00"/>
    <n v="0"/>
    <x v="1"/>
  </r>
  <r>
    <x v="0"/>
    <s v="Egypt"/>
    <x v="12"/>
    <x v="205"/>
    <x v="205"/>
    <m/>
    <m/>
    <s v="Break 30 Morning"/>
    <d v="1899-12-30T13:15:00"/>
    <d v="1899-12-30T13:45:00"/>
    <n v="0"/>
    <x v="1"/>
  </r>
  <r>
    <x v="0"/>
    <s v="Egypt"/>
    <x v="12"/>
    <x v="205"/>
    <x v="205"/>
    <d v="2025-06-02T00:00:00"/>
    <d v="1899-12-30T08:15:00"/>
    <s v="Non Telecom"/>
    <d v="1899-12-30T11:00:00"/>
    <d v="1899-12-30T19:15:00"/>
    <n v="29700"/>
    <x v="0"/>
  </r>
  <r>
    <x v="0"/>
    <s v="Egypt"/>
    <x v="12"/>
    <x v="205"/>
    <x v="205"/>
    <m/>
    <m/>
    <s v="Break 15 Morning"/>
    <d v="1899-12-30T13:00:00"/>
    <d v="1899-12-30T13:15:00"/>
    <n v="0"/>
    <x v="1"/>
  </r>
  <r>
    <x v="0"/>
    <s v="Egypt"/>
    <x v="12"/>
    <x v="205"/>
    <x v="205"/>
    <m/>
    <m/>
    <s v="Break 30 Morning"/>
    <d v="1899-12-30T16:15:00"/>
    <d v="1899-12-30T16:45:00"/>
    <n v="0"/>
    <x v="1"/>
  </r>
  <r>
    <x v="0"/>
    <s v="Egypt"/>
    <x v="12"/>
    <x v="205"/>
    <x v="205"/>
    <d v="2025-06-03T00:00:00"/>
    <d v="1899-12-30T08:15:00"/>
    <s v="Non Telecom"/>
    <d v="1899-12-30T13:00:00"/>
    <d v="1899-12-30T21:15:00"/>
    <n v="29700"/>
    <x v="0"/>
  </r>
  <r>
    <x v="0"/>
    <s v="Egypt"/>
    <x v="12"/>
    <x v="205"/>
    <x v="205"/>
    <m/>
    <m/>
    <s v="Break 15 Morning"/>
    <d v="1899-12-30T14:00:00"/>
    <d v="1899-12-30T14:15:00"/>
    <n v="0"/>
    <x v="1"/>
  </r>
  <r>
    <x v="0"/>
    <s v="Egypt"/>
    <x v="12"/>
    <x v="205"/>
    <x v="205"/>
    <m/>
    <m/>
    <s v="Break 30 Morning"/>
    <d v="1899-12-30T16:30:00"/>
    <d v="1899-12-30T17:00:00"/>
    <n v="0"/>
    <x v="1"/>
  </r>
  <r>
    <x v="0"/>
    <s v="Egypt"/>
    <x v="12"/>
    <x v="205"/>
    <x v="205"/>
    <d v="2025-06-04T00:00:00"/>
    <m/>
    <s v="Day Off"/>
    <m/>
    <m/>
    <n v="0"/>
    <x v="1"/>
  </r>
  <r>
    <x v="0"/>
    <s v="Egypt"/>
    <x v="12"/>
    <x v="205"/>
    <x v="205"/>
    <d v="2025-06-05T00:00:00"/>
    <m/>
    <s v="Day Off"/>
    <m/>
    <m/>
    <n v="0"/>
    <x v="1"/>
  </r>
  <r>
    <x v="0"/>
    <s v="Egypt"/>
    <x v="12"/>
    <x v="205"/>
    <x v="205"/>
    <d v="2025-06-06T00:00:00"/>
    <d v="1899-12-30T09:15:00"/>
    <s v="Non Telecom"/>
    <d v="1899-12-30T08:00:00"/>
    <d v="1899-12-30T17:15:00"/>
    <n v="33300"/>
    <x v="0"/>
  </r>
  <r>
    <x v="0"/>
    <s v="Egypt"/>
    <x v="12"/>
    <x v="205"/>
    <x v="205"/>
    <m/>
    <m/>
    <s v="Shift Move"/>
    <d v="1899-12-30T08:00:00"/>
    <d v="1899-12-30T09:00:00"/>
    <n v="0"/>
    <x v="1"/>
  </r>
  <r>
    <x v="0"/>
    <s v="Egypt"/>
    <x v="12"/>
    <x v="205"/>
    <x v="205"/>
    <m/>
    <m/>
    <s v="Break 15 Morning"/>
    <d v="1899-12-30T11:00:00"/>
    <d v="1899-12-30T11:15:00"/>
    <n v="0"/>
    <x v="1"/>
  </r>
  <r>
    <x v="0"/>
    <s v="Egypt"/>
    <x v="12"/>
    <x v="205"/>
    <x v="205"/>
    <m/>
    <m/>
    <s v="Break 30 Morning"/>
    <d v="1899-12-30T13:45:00"/>
    <d v="1899-12-30T14:15:00"/>
    <n v="0"/>
    <x v="1"/>
  </r>
  <r>
    <x v="0"/>
    <s v="Egypt"/>
    <x v="12"/>
    <x v="205"/>
    <x v="205"/>
    <d v="2025-06-07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08T00:00:00"/>
    <d v="1899-12-30T08:15:00"/>
    <s v="Public holiday"/>
    <m/>
    <m/>
    <n v="29700"/>
    <x v="1"/>
  </r>
  <r>
    <x v="0"/>
    <s v="Egypt"/>
    <x v="12"/>
    <x v="205"/>
    <x v="205"/>
    <d v="2025-06-09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10T00:00:00"/>
    <m/>
    <s v="Day Off"/>
    <m/>
    <m/>
    <n v="0"/>
    <x v="1"/>
  </r>
  <r>
    <x v="0"/>
    <s v="Egypt"/>
    <x v="12"/>
    <x v="205"/>
    <x v="205"/>
    <d v="2025-06-11T00:00:00"/>
    <m/>
    <s v="Day Off"/>
    <m/>
    <m/>
    <n v="0"/>
    <x v="1"/>
  </r>
  <r>
    <x v="0"/>
    <s v="Egypt"/>
    <x v="12"/>
    <x v="205"/>
    <x v="205"/>
    <d v="2025-06-12T00:00:00"/>
    <d v="1899-12-30T10:15:00"/>
    <s v="Non Telecom"/>
    <d v="1899-12-30T09:00:00"/>
    <d v="1899-12-30T19:15:00"/>
    <n v="36900"/>
    <x v="0"/>
  </r>
  <r>
    <x v="0"/>
    <s v="Egypt"/>
    <x v="12"/>
    <x v="205"/>
    <x v="205"/>
    <m/>
    <m/>
    <s v="Break 15 Morning"/>
    <d v="1899-12-30T12:00:00"/>
    <d v="1899-12-30T12:15:00"/>
    <n v="0"/>
    <x v="1"/>
  </r>
  <r>
    <x v="0"/>
    <s v="Egypt"/>
    <x v="12"/>
    <x v="205"/>
    <x v="205"/>
    <m/>
    <m/>
    <s v="Break 30 Morning"/>
    <d v="1899-12-30T15:30:00"/>
    <d v="1899-12-30T16:00:00"/>
    <n v="0"/>
    <x v="1"/>
  </r>
  <r>
    <x v="0"/>
    <s v="Egypt"/>
    <x v="12"/>
    <x v="205"/>
    <x v="205"/>
    <m/>
    <m/>
    <s v="Shift Move"/>
    <d v="1899-12-30T17:15:00"/>
    <d v="1899-12-30T19:15:00"/>
    <n v="0"/>
    <x v="1"/>
  </r>
  <r>
    <x v="0"/>
    <s v="Egypt"/>
    <x v="12"/>
    <x v="205"/>
    <x v="205"/>
    <d v="2025-06-13T00:00:00"/>
    <d v="1899-12-30T08:15:00"/>
    <s v="Non Telecom"/>
    <d v="1899-12-30T11:00:00"/>
    <d v="1899-12-30T19:15:00"/>
    <n v="29700"/>
    <x v="0"/>
  </r>
  <r>
    <x v="0"/>
    <s v="Egypt"/>
    <x v="12"/>
    <x v="205"/>
    <x v="205"/>
    <m/>
    <m/>
    <s v="Break 15 Morning"/>
    <d v="1899-12-30T12:30:00"/>
    <d v="1899-12-30T12:45:00"/>
    <n v="0"/>
    <x v="1"/>
  </r>
  <r>
    <x v="0"/>
    <s v="Egypt"/>
    <x v="12"/>
    <x v="205"/>
    <x v="205"/>
    <m/>
    <m/>
    <s v="Break 30 Morning"/>
    <d v="1899-12-30T15:30:00"/>
    <d v="1899-12-30T16:00:00"/>
    <n v="0"/>
    <x v="1"/>
  </r>
  <r>
    <x v="0"/>
    <s v="Egypt"/>
    <x v="12"/>
    <x v="205"/>
    <x v="205"/>
    <d v="2025-06-14T00:00:00"/>
    <d v="1899-12-30T10:15:00"/>
    <s v="Non Telecom"/>
    <d v="1899-12-30T09:00:00"/>
    <d v="1899-12-30T19:15:00"/>
    <n v="36900"/>
    <x v="0"/>
  </r>
  <r>
    <x v="0"/>
    <s v="Egypt"/>
    <x v="12"/>
    <x v="205"/>
    <x v="205"/>
    <m/>
    <m/>
    <s v="Break 15 Morning"/>
    <d v="1899-12-30T12:45:00"/>
    <d v="1899-12-30T13:00:00"/>
    <n v="0"/>
    <x v="1"/>
  </r>
  <r>
    <x v="0"/>
    <s v="Egypt"/>
    <x v="12"/>
    <x v="205"/>
    <x v="205"/>
    <m/>
    <m/>
    <s v="Break 30 Morning"/>
    <d v="1899-12-30T15:45:00"/>
    <d v="1899-12-30T16:15:00"/>
    <n v="0"/>
    <x v="1"/>
  </r>
  <r>
    <x v="0"/>
    <s v="Egypt"/>
    <x v="12"/>
    <x v="205"/>
    <x v="205"/>
    <m/>
    <m/>
    <s v="Shift Move"/>
    <d v="1899-12-30T17:15:00"/>
    <d v="1899-12-30T19:15:00"/>
    <n v="0"/>
    <x v="1"/>
  </r>
  <r>
    <x v="0"/>
    <s v="Egypt"/>
    <x v="12"/>
    <x v="205"/>
    <x v="205"/>
    <d v="2025-06-15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16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17T00:00:00"/>
    <m/>
    <s v="Day Off"/>
    <m/>
    <m/>
    <n v="0"/>
    <x v="1"/>
  </r>
  <r>
    <x v="0"/>
    <s v="Egypt"/>
    <x v="12"/>
    <x v="205"/>
    <x v="205"/>
    <d v="2025-06-18T00:00:00"/>
    <m/>
    <s v="Day Off"/>
    <m/>
    <m/>
    <n v="0"/>
    <x v="1"/>
  </r>
  <r>
    <x v="0"/>
    <s v="Egypt"/>
    <x v="12"/>
    <x v="205"/>
    <x v="205"/>
    <d v="2025-06-19T00:00:00"/>
    <d v="1899-12-30T08:15:00"/>
    <s v="Annual Exception"/>
    <m/>
    <m/>
    <n v="29700"/>
    <x v="1"/>
  </r>
  <r>
    <x v="0"/>
    <s v="Egypt"/>
    <x v="12"/>
    <x v="205"/>
    <x v="205"/>
    <d v="2025-06-20T00:00:00"/>
    <d v="1899-12-30T10:15:00"/>
    <s v="Non Telecom"/>
    <d v="1899-12-30T09:00:00"/>
    <d v="1899-12-30T19:15:00"/>
    <n v="36900"/>
    <x v="0"/>
  </r>
  <r>
    <x v="0"/>
    <s v="Egypt"/>
    <x v="12"/>
    <x v="205"/>
    <x v="205"/>
    <m/>
    <m/>
    <s v="Break 15 Morning"/>
    <d v="1899-12-30T11:30:00"/>
    <d v="1899-12-30T11:45:00"/>
    <n v="0"/>
    <x v="1"/>
  </r>
  <r>
    <x v="0"/>
    <s v="Egypt"/>
    <x v="12"/>
    <x v="205"/>
    <x v="205"/>
    <m/>
    <m/>
    <s v="Break 30 Morning"/>
    <d v="1899-12-30T14:30:00"/>
    <d v="1899-12-30T15:00:00"/>
    <n v="0"/>
    <x v="1"/>
  </r>
  <r>
    <x v="0"/>
    <s v="Egypt"/>
    <x v="12"/>
    <x v="205"/>
    <x v="205"/>
    <m/>
    <m/>
    <s v="Shift Move"/>
    <d v="1899-12-30T17:15:00"/>
    <d v="1899-12-30T19:15:00"/>
    <n v="0"/>
    <x v="1"/>
  </r>
  <r>
    <x v="0"/>
    <s v="Egypt"/>
    <x v="12"/>
    <x v="205"/>
    <x v="205"/>
    <d v="2025-06-21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2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3T00:00:00"/>
    <m/>
    <s v="Day Off"/>
    <m/>
    <m/>
    <n v="0"/>
    <x v="1"/>
  </r>
  <r>
    <x v="0"/>
    <s v="Egypt"/>
    <x v="12"/>
    <x v="205"/>
    <x v="205"/>
    <d v="2025-06-24T00:00:00"/>
    <m/>
    <s v="Day Off"/>
    <m/>
    <m/>
    <n v="0"/>
    <x v="1"/>
  </r>
  <r>
    <x v="0"/>
    <s v="Egypt"/>
    <x v="12"/>
    <x v="205"/>
    <x v="205"/>
    <d v="2025-06-25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6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7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8T00:00:00"/>
    <d v="1899-12-30T08:15:00"/>
    <s v="Non Telecom"/>
    <d v="1899-12-30T08:00:00"/>
    <d v="1899-12-30T16:15:00"/>
    <n v="29700"/>
    <x v="0"/>
  </r>
  <r>
    <x v="0"/>
    <s v="Egypt"/>
    <x v="12"/>
    <x v="205"/>
    <x v="205"/>
    <m/>
    <m/>
    <s v="Break 15 Morning"/>
    <d v="1899-12-30T09:00:00"/>
    <d v="1899-12-30T09:15:00"/>
    <n v="0"/>
    <x v="1"/>
  </r>
  <r>
    <x v="0"/>
    <s v="Egypt"/>
    <x v="12"/>
    <x v="205"/>
    <x v="205"/>
    <m/>
    <m/>
    <s v="Break 30 Morning"/>
    <d v="1899-12-30T12:15:00"/>
    <d v="1899-12-30T12:45:00"/>
    <n v="0"/>
    <x v="1"/>
  </r>
  <r>
    <x v="0"/>
    <s v="Egypt"/>
    <x v="12"/>
    <x v="205"/>
    <x v="205"/>
    <d v="2025-06-29T00:00:00"/>
    <m/>
    <s v="Day Off"/>
    <m/>
    <m/>
    <n v="0"/>
    <x v="1"/>
  </r>
  <r>
    <x v="0"/>
    <s v="Egypt"/>
    <x v="12"/>
    <x v="205"/>
    <x v="205"/>
    <d v="2025-06-30T00:00:00"/>
    <m/>
    <s v="Day Off"/>
    <m/>
    <m/>
    <n v="0"/>
    <x v="1"/>
  </r>
  <r>
    <x v="0"/>
    <s v="Egypt"/>
    <x v="14"/>
    <x v="206"/>
    <x v="206"/>
    <d v="2025-06-01T00:00:00"/>
    <d v="1899-12-30T08:15:00"/>
    <s v="Planned Task"/>
    <m/>
    <m/>
    <n v="29700"/>
    <x v="1"/>
  </r>
  <r>
    <x v="0"/>
    <s v="Egypt"/>
    <x v="14"/>
    <x v="206"/>
    <x v="206"/>
    <d v="2025-06-02T00:00:00"/>
    <d v="1899-12-30T08:15:00"/>
    <s v="Planned Task"/>
    <m/>
    <m/>
    <n v="29700"/>
    <x v="1"/>
  </r>
  <r>
    <x v="0"/>
    <s v="Egypt"/>
    <x v="14"/>
    <x v="206"/>
    <x v="206"/>
    <d v="2025-06-03T00:00:00"/>
    <d v="1899-12-30T08:15:00"/>
    <s v="Planned Task"/>
    <m/>
    <m/>
    <n v="29700"/>
    <x v="1"/>
  </r>
  <r>
    <x v="0"/>
    <s v="Egypt"/>
    <x v="14"/>
    <x v="206"/>
    <x v="206"/>
    <d v="2025-06-04T00:00:00"/>
    <d v="1899-12-30T08:15:00"/>
    <s v="Planned Task"/>
    <m/>
    <m/>
    <n v="29700"/>
    <x v="1"/>
  </r>
  <r>
    <x v="0"/>
    <s v="Egypt"/>
    <x v="14"/>
    <x v="206"/>
    <x v="206"/>
    <d v="2025-06-05T00:00:00"/>
    <d v="1899-12-30T08:15:00"/>
    <s v="Planned Task"/>
    <m/>
    <m/>
    <n v="29700"/>
    <x v="1"/>
  </r>
  <r>
    <x v="0"/>
    <s v="Egypt"/>
    <x v="14"/>
    <x v="206"/>
    <x v="206"/>
    <d v="2025-06-06T00:00:00"/>
    <d v="1899-12-30T08:15:00"/>
    <s v="Planned Task"/>
    <m/>
    <m/>
    <n v="29700"/>
    <x v="1"/>
  </r>
  <r>
    <x v="0"/>
    <s v="Egypt"/>
    <x v="14"/>
    <x v="206"/>
    <x v="206"/>
    <d v="2025-06-07T00:00:00"/>
    <d v="1899-12-30T08:15:00"/>
    <s v="Planned Task"/>
    <m/>
    <m/>
    <n v="29700"/>
    <x v="1"/>
  </r>
  <r>
    <x v="0"/>
    <s v="Egypt"/>
    <x v="14"/>
    <x v="206"/>
    <x v="206"/>
    <d v="2025-06-08T00:00:00"/>
    <d v="1899-12-30T08:15:00"/>
    <s v="Planned Task"/>
    <m/>
    <m/>
    <n v="29700"/>
    <x v="1"/>
  </r>
  <r>
    <x v="0"/>
    <s v="Egypt"/>
    <x v="14"/>
    <x v="206"/>
    <x v="206"/>
    <d v="2025-06-09T00:00:00"/>
    <d v="1899-12-30T08:15:00"/>
    <s v="Planned Task"/>
    <m/>
    <m/>
    <n v="29700"/>
    <x v="1"/>
  </r>
  <r>
    <x v="0"/>
    <s v="Egypt"/>
    <x v="14"/>
    <x v="206"/>
    <x v="206"/>
    <d v="2025-06-10T00:00:00"/>
    <d v="1899-12-30T08:15:00"/>
    <s v="Planned Task"/>
    <m/>
    <m/>
    <n v="29700"/>
    <x v="1"/>
  </r>
  <r>
    <x v="0"/>
    <s v="Egypt"/>
    <x v="14"/>
    <x v="206"/>
    <x v="206"/>
    <d v="2025-06-11T00:00:00"/>
    <d v="1899-12-30T08:15:00"/>
    <s v="Planned Task"/>
    <m/>
    <m/>
    <n v="29700"/>
    <x v="1"/>
  </r>
  <r>
    <x v="0"/>
    <s v="Egypt"/>
    <x v="14"/>
    <x v="206"/>
    <x v="206"/>
    <d v="2025-06-12T00:00:00"/>
    <d v="1899-12-30T08:15:00"/>
    <s v="Planned Task"/>
    <m/>
    <m/>
    <n v="29700"/>
    <x v="1"/>
  </r>
  <r>
    <x v="0"/>
    <s v="Egypt"/>
    <x v="14"/>
    <x v="206"/>
    <x v="206"/>
    <d v="2025-06-13T00:00:00"/>
    <d v="1899-12-30T08:15:00"/>
    <s v="Planned Task"/>
    <m/>
    <m/>
    <n v="29700"/>
    <x v="1"/>
  </r>
  <r>
    <x v="0"/>
    <s v="Egypt"/>
    <x v="14"/>
    <x v="206"/>
    <x v="206"/>
    <d v="2025-06-14T00:00:00"/>
    <d v="1899-12-30T08:15:00"/>
    <s v="Planned Task"/>
    <m/>
    <m/>
    <n v="29700"/>
    <x v="1"/>
  </r>
  <r>
    <x v="0"/>
    <s v="Egypt"/>
    <x v="14"/>
    <x v="206"/>
    <x v="206"/>
    <d v="2025-06-15T00:00:00"/>
    <d v="1899-12-30T08:15:00"/>
    <s v="Planned Task"/>
    <m/>
    <m/>
    <n v="29700"/>
    <x v="1"/>
  </r>
  <r>
    <x v="0"/>
    <s v="Egypt"/>
    <x v="14"/>
    <x v="206"/>
    <x v="206"/>
    <d v="2025-06-16T00:00:00"/>
    <d v="1899-12-30T08:15:00"/>
    <s v="Planned Task"/>
    <m/>
    <m/>
    <n v="29700"/>
    <x v="1"/>
  </r>
  <r>
    <x v="0"/>
    <s v="Egypt"/>
    <x v="14"/>
    <x v="206"/>
    <x v="206"/>
    <d v="2025-06-17T00:00:00"/>
    <d v="1899-12-30T08:15:00"/>
    <s v="Planned Task"/>
    <m/>
    <m/>
    <n v="29700"/>
    <x v="1"/>
  </r>
  <r>
    <x v="0"/>
    <s v="Egypt"/>
    <x v="14"/>
    <x v="206"/>
    <x v="206"/>
    <d v="2025-06-18T00:00:00"/>
    <d v="1899-12-30T08:15:00"/>
    <s v="Planned Task"/>
    <m/>
    <m/>
    <n v="29700"/>
    <x v="1"/>
  </r>
  <r>
    <x v="0"/>
    <s v="Egypt"/>
    <x v="14"/>
    <x v="206"/>
    <x v="206"/>
    <d v="2025-06-19T00:00:00"/>
    <d v="1899-12-30T08:15:00"/>
    <s v="Planned Task"/>
    <m/>
    <m/>
    <n v="29700"/>
    <x v="1"/>
  </r>
  <r>
    <x v="0"/>
    <s v="Egypt"/>
    <x v="14"/>
    <x v="206"/>
    <x v="206"/>
    <d v="2025-06-20T00:00:00"/>
    <d v="1899-12-30T08:15:00"/>
    <s v="Planned Task"/>
    <m/>
    <m/>
    <n v="29700"/>
    <x v="1"/>
  </r>
  <r>
    <x v="0"/>
    <s v="Egypt"/>
    <x v="14"/>
    <x v="206"/>
    <x v="206"/>
    <d v="2025-06-21T00:00:00"/>
    <d v="1899-12-30T08:15:00"/>
    <s v="Planned Task"/>
    <m/>
    <m/>
    <n v="29700"/>
    <x v="1"/>
  </r>
  <r>
    <x v="0"/>
    <s v="Egypt"/>
    <x v="14"/>
    <x v="206"/>
    <x v="206"/>
    <d v="2025-06-22T00:00:00"/>
    <d v="1899-12-30T08:15:00"/>
    <s v="Planned Task"/>
    <m/>
    <m/>
    <n v="29700"/>
    <x v="1"/>
  </r>
  <r>
    <x v="0"/>
    <s v="Egypt"/>
    <x v="14"/>
    <x v="206"/>
    <x v="206"/>
    <d v="2025-06-23T00:00:00"/>
    <d v="1899-12-30T08:15:00"/>
    <s v="Planned Task"/>
    <m/>
    <m/>
    <n v="29700"/>
    <x v="1"/>
  </r>
  <r>
    <x v="0"/>
    <s v="Egypt"/>
    <x v="14"/>
    <x v="206"/>
    <x v="206"/>
    <d v="2025-06-24T00:00:00"/>
    <d v="1899-12-30T08:15:00"/>
    <s v="Planned Task"/>
    <m/>
    <m/>
    <n v="29700"/>
    <x v="1"/>
  </r>
  <r>
    <x v="0"/>
    <s v="Egypt"/>
    <x v="14"/>
    <x v="206"/>
    <x v="206"/>
    <d v="2025-06-25T00:00:00"/>
    <d v="1899-12-30T08:15:00"/>
    <s v="Planned Task"/>
    <m/>
    <m/>
    <n v="29700"/>
    <x v="1"/>
  </r>
  <r>
    <x v="0"/>
    <s v="Egypt"/>
    <x v="14"/>
    <x v="206"/>
    <x v="206"/>
    <d v="2025-06-26T00:00:00"/>
    <d v="1899-12-30T08:15:00"/>
    <s v="Planned Task"/>
    <m/>
    <m/>
    <n v="29700"/>
    <x v="1"/>
  </r>
  <r>
    <x v="0"/>
    <s v="Egypt"/>
    <x v="14"/>
    <x v="206"/>
    <x v="206"/>
    <d v="2025-06-27T00:00:00"/>
    <d v="1899-12-30T08:15:00"/>
    <s v="Planned Task"/>
    <m/>
    <m/>
    <n v="29700"/>
    <x v="1"/>
  </r>
  <r>
    <x v="0"/>
    <s v="Egypt"/>
    <x v="14"/>
    <x v="206"/>
    <x v="206"/>
    <d v="2025-06-28T00:00:00"/>
    <d v="1899-12-30T08:15:00"/>
    <s v="Planned Task"/>
    <m/>
    <m/>
    <n v="29700"/>
    <x v="1"/>
  </r>
  <r>
    <x v="0"/>
    <s v="Egypt"/>
    <x v="14"/>
    <x v="206"/>
    <x v="206"/>
    <d v="2025-06-29T00:00:00"/>
    <d v="1899-12-30T00:00:00"/>
    <s v="Transfer"/>
    <m/>
    <m/>
    <n v="0"/>
    <x v="1"/>
  </r>
  <r>
    <x v="0"/>
    <s v="Egypt"/>
    <x v="14"/>
    <x v="206"/>
    <x v="206"/>
    <d v="2025-06-30T00:00:00"/>
    <d v="1899-12-30T00:00:00"/>
    <s v="Transfer"/>
    <m/>
    <m/>
    <n v="0"/>
    <x v="1"/>
  </r>
  <r>
    <x v="0"/>
    <s v="Egypt"/>
    <x v="5"/>
    <x v="207"/>
    <x v="207"/>
    <d v="2025-06-01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02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03T00:00:00"/>
    <m/>
    <s v="Day Off"/>
    <m/>
    <m/>
    <n v="0"/>
    <x v="1"/>
  </r>
  <r>
    <x v="0"/>
    <s v="Egypt"/>
    <x v="5"/>
    <x v="207"/>
    <x v="207"/>
    <d v="2025-06-04T00:00:00"/>
    <d v="1899-12-30T08:15:00"/>
    <s v="Non Telecom"/>
    <d v="1899-12-30T09:00:00"/>
    <d v="1899-12-30T17:15:00"/>
    <n v="29700"/>
    <x v="0"/>
  </r>
  <r>
    <x v="0"/>
    <s v="Egypt"/>
    <x v="5"/>
    <x v="207"/>
    <x v="207"/>
    <m/>
    <m/>
    <s v="Break 15 Morning"/>
    <d v="1899-12-30T10:45:00"/>
    <d v="1899-12-30T11:00:00"/>
    <n v="0"/>
    <x v="1"/>
  </r>
  <r>
    <x v="0"/>
    <s v="Egypt"/>
    <x v="5"/>
    <x v="207"/>
    <x v="207"/>
    <m/>
    <m/>
    <s v="Break 30 Morning"/>
    <d v="1899-12-30T13:45:00"/>
    <d v="1899-12-30T14:15:00"/>
    <n v="0"/>
    <x v="1"/>
  </r>
  <r>
    <x v="0"/>
    <s v="Egypt"/>
    <x v="5"/>
    <x v="207"/>
    <x v="207"/>
    <d v="2025-06-05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06T00:00:00"/>
    <d v="1899-12-30T08:15:00"/>
    <s v="Public holiday"/>
    <m/>
    <m/>
    <n v="29700"/>
    <x v="1"/>
  </r>
  <r>
    <x v="0"/>
    <s v="Egypt"/>
    <x v="5"/>
    <x v="207"/>
    <x v="207"/>
    <d v="2025-06-07T00:00:00"/>
    <m/>
    <s v="Day Off"/>
    <m/>
    <m/>
    <n v="0"/>
    <x v="1"/>
  </r>
  <r>
    <x v="0"/>
    <s v="Egypt"/>
    <x v="5"/>
    <x v="207"/>
    <x v="207"/>
    <d v="2025-06-08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09T00:00:00"/>
    <m/>
    <s v="Day Off"/>
    <m/>
    <m/>
    <n v="0"/>
    <x v="1"/>
  </r>
  <r>
    <x v="0"/>
    <s v="Egypt"/>
    <x v="5"/>
    <x v="207"/>
    <x v="207"/>
    <d v="2025-06-10T00:00:00"/>
    <m/>
    <s v="Day Off"/>
    <m/>
    <m/>
    <n v="0"/>
    <x v="1"/>
  </r>
  <r>
    <x v="0"/>
    <s v="Egypt"/>
    <x v="5"/>
    <x v="207"/>
    <x v="207"/>
    <d v="2025-06-11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12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13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30:00"/>
    <d v="1899-12-30T13:00:00"/>
    <n v="0"/>
    <x v="1"/>
  </r>
  <r>
    <x v="0"/>
    <s v="Egypt"/>
    <x v="5"/>
    <x v="207"/>
    <x v="207"/>
    <d v="2025-06-14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15T00:00:00"/>
    <m/>
    <s v="Day Off"/>
    <m/>
    <m/>
    <n v="0"/>
    <x v="1"/>
  </r>
  <r>
    <x v="0"/>
    <s v="Egypt"/>
    <x v="5"/>
    <x v="207"/>
    <x v="207"/>
    <d v="2025-06-16T00:00:00"/>
    <m/>
    <s v="Day Off"/>
    <m/>
    <m/>
    <n v="0"/>
    <x v="1"/>
  </r>
  <r>
    <x v="0"/>
    <s v="Egypt"/>
    <x v="5"/>
    <x v="207"/>
    <x v="207"/>
    <d v="2025-06-17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18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1:30:00"/>
    <d v="1899-12-30T12:00:00"/>
    <n v="0"/>
    <x v="1"/>
  </r>
  <r>
    <x v="0"/>
    <s v="Egypt"/>
    <x v="5"/>
    <x v="207"/>
    <x v="207"/>
    <d v="2025-06-19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0T00:00:00"/>
    <d v="1899-12-30T08:15:00"/>
    <s v="Annual Exception"/>
    <m/>
    <m/>
    <n v="29700"/>
    <x v="1"/>
  </r>
  <r>
    <x v="0"/>
    <s v="Egypt"/>
    <x v="5"/>
    <x v="207"/>
    <x v="207"/>
    <d v="2025-06-21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2T00:00:00"/>
    <m/>
    <s v="Day Off"/>
    <m/>
    <m/>
    <n v="0"/>
    <x v="1"/>
  </r>
  <r>
    <x v="0"/>
    <s v="Egypt"/>
    <x v="5"/>
    <x v="207"/>
    <x v="207"/>
    <d v="2025-06-23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4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5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6T00:00:00"/>
    <d v="1899-12-30T08:15:00"/>
    <s v="No show"/>
    <d v="1899-12-30T08:00:00"/>
    <d v="1899-12-30T16:15:00"/>
    <n v="29700"/>
    <x v="1"/>
  </r>
  <r>
    <x v="0"/>
    <s v="Egypt"/>
    <x v="5"/>
    <x v="207"/>
    <x v="207"/>
    <d v="2025-06-27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15:00"/>
    <d v="1899-12-30T09:30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5"/>
    <x v="207"/>
    <x v="207"/>
    <d v="2025-06-28T00:00:00"/>
    <m/>
    <s v="Day Off"/>
    <m/>
    <m/>
    <n v="0"/>
    <x v="1"/>
  </r>
  <r>
    <x v="0"/>
    <s v="Egypt"/>
    <x v="5"/>
    <x v="207"/>
    <x v="207"/>
    <d v="2025-06-29T00:00:00"/>
    <d v="1899-12-30T08:15:00"/>
    <s v="Non Telecom"/>
    <d v="1899-12-30T09:00:00"/>
    <d v="1899-12-30T17:15:00"/>
    <n v="29700"/>
    <x v="0"/>
  </r>
  <r>
    <x v="0"/>
    <s v="Egypt"/>
    <x v="5"/>
    <x v="207"/>
    <x v="207"/>
    <m/>
    <m/>
    <s v="Break 15 Morning"/>
    <d v="1899-12-30T11:45:00"/>
    <d v="1899-12-30T12:00:00"/>
    <n v="0"/>
    <x v="1"/>
  </r>
  <r>
    <x v="0"/>
    <s v="Egypt"/>
    <x v="5"/>
    <x v="207"/>
    <x v="207"/>
    <m/>
    <m/>
    <s v="Break 30 Morning"/>
    <d v="1899-12-30T14:45:00"/>
    <d v="1899-12-30T15:15:00"/>
    <n v="0"/>
    <x v="1"/>
  </r>
  <r>
    <x v="0"/>
    <s v="Egypt"/>
    <x v="5"/>
    <x v="207"/>
    <x v="207"/>
    <d v="2025-06-30T00:00:00"/>
    <d v="1899-12-30T08:15:00"/>
    <s v="Non Telecom"/>
    <d v="1899-12-30T08:00:00"/>
    <d v="1899-12-30T16:15:00"/>
    <n v="29700"/>
    <x v="0"/>
  </r>
  <r>
    <x v="0"/>
    <s v="Egypt"/>
    <x v="5"/>
    <x v="207"/>
    <x v="207"/>
    <m/>
    <m/>
    <s v="Break 15 Morning"/>
    <d v="1899-12-30T09:00:00"/>
    <d v="1899-12-30T09:15:00"/>
    <n v="0"/>
    <x v="1"/>
  </r>
  <r>
    <x v="0"/>
    <s v="Egypt"/>
    <x v="5"/>
    <x v="207"/>
    <x v="207"/>
    <m/>
    <m/>
    <s v="Break 30 Morning"/>
    <d v="1899-12-30T12:15:00"/>
    <d v="1899-12-30T12:45:00"/>
    <n v="0"/>
    <x v="1"/>
  </r>
  <r>
    <x v="0"/>
    <s v="Egypt"/>
    <x v="41"/>
    <x v="208"/>
    <x v="208"/>
    <d v="2025-06-05T00:00:00"/>
    <d v="1899-12-30T08:15:00"/>
    <s v="Public holiday"/>
    <m/>
    <m/>
    <n v="29700"/>
    <x v="1"/>
  </r>
  <r>
    <x v="0"/>
    <s v="Egypt"/>
    <x v="41"/>
    <x v="208"/>
    <x v="208"/>
    <d v="2025-06-06T00:00:00"/>
    <m/>
    <s v="Day Off"/>
    <m/>
    <m/>
    <n v="0"/>
    <x v="1"/>
  </r>
  <r>
    <x v="0"/>
    <s v="Egypt"/>
    <x v="41"/>
    <x v="208"/>
    <x v="208"/>
    <d v="2025-06-07T00:00:00"/>
    <m/>
    <s v="Day Off"/>
    <m/>
    <m/>
    <n v="0"/>
    <x v="1"/>
  </r>
  <r>
    <x v="0"/>
    <s v="Egypt"/>
    <x v="41"/>
    <x v="208"/>
    <x v="208"/>
    <d v="2025-06-08T00:00:00"/>
    <d v="1899-12-30T08:15:00"/>
    <s v="Public holiday"/>
    <m/>
    <m/>
    <n v="29700"/>
    <x v="1"/>
  </r>
  <r>
    <x v="0"/>
    <s v="Egypt"/>
    <x v="41"/>
    <x v="208"/>
    <x v="208"/>
    <d v="2025-06-09T00:00:00"/>
    <m/>
    <s v="Day Off"/>
    <m/>
    <m/>
    <n v="0"/>
    <x v="1"/>
  </r>
  <r>
    <x v="0"/>
    <s v="Egypt"/>
    <x v="41"/>
    <x v="208"/>
    <x v="208"/>
    <d v="2025-06-10T00:00:00"/>
    <m/>
    <s v="Day Off"/>
    <m/>
    <m/>
    <n v="0"/>
    <x v="1"/>
  </r>
  <r>
    <x v="0"/>
    <s v="Egypt"/>
    <x v="41"/>
    <x v="208"/>
    <x v="208"/>
    <d v="2025-06-11T00:00:00"/>
    <d v="1899-12-30T08:15:00"/>
    <s v="Non Telecom Assyot"/>
    <d v="1899-12-30T11:00:00"/>
    <d v="1899-12-30T19:15:00"/>
    <n v="29700"/>
    <x v="0"/>
  </r>
  <r>
    <x v="0"/>
    <s v="Egypt"/>
    <x v="41"/>
    <x v="208"/>
    <x v="208"/>
    <m/>
    <m/>
    <s v="Break 15 Morning"/>
    <d v="1899-12-30T13:00:00"/>
    <d v="1899-12-30T13:15:00"/>
    <n v="0"/>
    <x v="1"/>
  </r>
  <r>
    <x v="0"/>
    <s v="Egypt"/>
    <x v="41"/>
    <x v="208"/>
    <x v="208"/>
    <m/>
    <m/>
    <s v="One to One"/>
    <d v="1899-12-30T15:00:00"/>
    <d v="1899-12-30T15:15:00"/>
    <n v="0"/>
    <x v="1"/>
  </r>
  <r>
    <x v="0"/>
    <s v="Egypt"/>
    <x v="41"/>
    <x v="208"/>
    <x v="208"/>
    <m/>
    <m/>
    <s v="Break 30 Morning"/>
    <d v="1899-12-30T16:15:00"/>
    <d v="1899-12-30T16:45:00"/>
    <n v="0"/>
    <x v="1"/>
  </r>
  <r>
    <x v="0"/>
    <s v="Egypt"/>
    <x v="41"/>
    <x v="208"/>
    <x v="208"/>
    <d v="2025-06-12T00:00:00"/>
    <d v="1899-12-30T08:15:00"/>
    <s v="Non Telecom Assyot"/>
    <d v="1899-12-30T11:00:00"/>
    <d v="1899-12-30T19:15:00"/>
    <n v="29700"/>
    <x v="0"/>
  </r>
  <r>
    <x v="0"/>
    <s v="Egypt"/>
    <x v="41"/>
    <x v="208"/>
    <x v="208"/>
    <m/>
    <m/>
    <s v="Break 15 Morning"/>
    <d v="1899-12-30T12:45:00"/>
    <d v="1899-12-30T13:00:00"/>
    <n v="0"/>
    <x v="1"/>
  </r>
  <r>
    <x v="0"/>
    <s v="Egypt"/>
    <x v="41"/>
    <x v="208"/>
    <x v="208"/>
    <m/>
    <m/>
    <s v="One to One"/>
    <d v="1899-12-30T15:00:00"/>
    <d v="1899-12-30T15:15:00"/>
    <n v="0"/>
    <x v="1"/>
  </r>
  <r>
    <x v="0"/>
    <s v="Egypt"/>
    <x v="41"/>
    <x v="208"/>
    <x v="208"/>
    <m/>
    <m/>
    <s v="Break 30 Morning"/>
    <d v="1899-12-30T15:45:00"/>
    <d v="1899-12-30T16:15:00"/>
    <n v="0"/>
    <x v="1"/>
  </r>
  <r>
    <x v="0"/>
    <s v="Egypt"/>
    <x v="41"/>
    <x v="208"/>
    <x v="208"/>
    <d v="2025-06-13T00:00:00"/>
    <d v="1899-12-30T08:15:00"/>
    <s v="Non Telecom Assyot"/>
    <d v="1899-12-30T11:00:00"/>
    <d v="1899-12-30T19:15:00"/>
    <n v="29700"/>
    <x v="0"/>
  </r>
  <r>
    <x v="0"/>
    <s v="Egypt"/>
    <x v="41"/>
    <x v="208"/>
    <x v="208"/>
    <m/>
    <m/>
    <s v="Break 15 Morning"/>
    <d v="1899-12-30T12:30:00"/>
    <d v="1899-12-30T12:45:00"/>
    <n v="0"/>
    <x v="1"/>
  </r>
  <r>
    <x v="0"/>
    <s v="Egypt"/>
    <x v="41"/>
    <x v="208"/>
    <x v="208"/>
    <m/>
    <m/>
    <s v="One to One"/>
    <d v="1899-12-30T14:30:00"/>
    <d v="1899-12-30T14:45:00"/>
    <n v="0"/>
    <x v="1"/>
  </r>
  <r>
    <x v="0"/>
    <s v="Egypt"/>
    <x v="41"/>
    <x v="208"/>
    <x v="208"/>
    <m/>
    <m/>
    <s v="Break 30 Morning"/>
    <d v="1899-12-30T15:30:00"/>
    <d v="1899-12-30T16:00:00"/>
    <n v="0"/>
    <x v="1"/>
  </r>
  <r>
    <x v="0"/>
    <s v="Egypt"/>
    <x v="41"/>
    <x v="208"/>
    <x v="208"/>
    <d v="2025-06-14T00:00:00"/>
    <d v="1899-12-30T08:15:00"/>
    <s v="Non Telecom Assyot"/>
    <d v="1899-12-30T11:00:00"/>
    <d v="1899-12-30T19:15:00"/>
    <n v="29700"/>
    <x v="0"/>
  </r>
  <r>
    <x v="0"/>
    <s v="Egypt"/>
    <x v="41"/>
    <x v="208"/>
    <x v="208"/>
    <m/>
    <m/>
    <s v="Break 15 Morning"/>
    <d v="1899-12-30T13:00:00"/>
    <d v="1899-12-30T13:15:00"/>
    <n v="0"/>
    <x v="1"/>
  </r>
  <r>
    <x v="0"/>
    <s v="Egypt"/>
    <x v="41"/>
    <x v="208"/>
    <x v="208"/>
    <m/>
    <m/>
    <s v="One to One"/>
    <d v="1899-12-30T15:15:00"/>
    <d v="1899-12-30T15:30:00"/>
    <n v="0"/>
    <x v="1"/>
  </r>
  <r>
    <x v="0"/>
    <s v="Egypt"/>
    <x v="41"/>
    <x v="208"/>
    <x v="208"/>
    <m/>
    <m/>
    <s v="Break 30 Morning"/>
    <d v="1899-12-30T16:15:00"/>
    <d v="1899-12-30T16:45:00"/>
    <n v="0"/>
    <x v="1"/>
  </r>
  <r>
    <x v="0"/>
    <s v="Egypt"/>
    <x v="41"/>
    <x v="208"/>
    <x v="208"/>
    <d v="2025-06-15T00:00:00"/>
    <d v="1899-12-30T08:15:00"/>
    <s v="Annual Exception"/>
    <m/>
    <m/>
    <n v="29700"/>
    <x v="1"/>
  </r>
  <r>
    <x v="0"/>
    <s v="Egypt"/>
    <x v="41"/>
    <x v="208"/>
    <x v="208"/>
    <d v="2025-06-16T00:00:00"/>
    <m/>
    <s v="Day Off"/>
    <m/>
    <m/>
    <n v="0"/>
    <x v="1"/>
  </r>
  <r>
    <x v="0"/>
    <s v="Egypt"/>
    <x v="41"/>
    <x v="208"/>
    <x v="208"/>
    <d v="2025-06-17T00:00:00"/>
    <m/>
    <s v="Day Off"/>
    <m/>
    <m/>
    <n v="0"/>
    <x v="1"/>
  </r>
  <r>
    <x v="0"/>
    <s v="Egypt"/>
    <x v="41"/>
    <x v="208"/>
    <x v="208"/>
    <d v="2025-06-18T00:00:00"/>
    <d v="1899-12-30T00:00:00"/>
    <s v="Resigned Unplanned"/>
    <d v="1899-12-30T14:00:00"/>
    <d v="1899-12-30T22:15:00"/>
    <n v="0"/>
    <x v="1"/>
  </r>
  <r>
    <x v="0"/>
    <s v="Egypt"/>
    <x v="41"/>
    <x v="208"/>
    <x v="208"/>
    <d v="2025-06-19T00:00:00"/>
    <d v="1899-12-30T00:00:00"/>
    <s v="Resigned Unplanned"/>
    <d v="1899-12-30T14:00:00"/>
    <d v="1899-12-30T22:15:00"/>
    <n v="0"/>
    <x v="1"/>
  </r>
  <r>
    <x v="0"/>
    <s v="Egypt"/>
    <x v="41"/>
    <x v="208"/>
    <x v="208"/>
    <d v="2025-06-20T00:00:00"/>
    <d v="1899-12-30T00:00:00"/>
    <s v="Resigned Unplanned"/>
    <d v="1899-12-30T14:00:00"/>
    <d v="1899-12-30T22:15:00"/>
    <n v="0"/>
    <x v="1"/>
  </r>
  <r>
    <x v="0"/>
    <s v="Egypt"/>
    <x v="41"/>
    <x v="208"/>
    <x v="208"/>
    <d v="2025-06-21T00:00:00"/>
    <d v="1899-12-30T00:00:00"/>
    <s v="Resigned Unplanned"/>
    <d v="1899-12-30T14:00:00"/>
    <d v="1899-12-30T22:15:00"/>
    <n v="0"/>
    <x v="1"/>
  </r>
  <r>
    <x v="0"/>
    <s v="Egypt"/>
    <x v="41"/>
    <x v="208"/>
    <x v="208"/>
    <d v="2025-06-22T00:00:00"/>
    <d v="1899-12-30T00:00:00"/>
    <s v="Resigned"/>
    <m/>
    <m/>
    <n v="0"/>
    <x v="1"/>
  </r>
  <r>
    <x v="0"/>
    <s v="Egypt"/>
    <x v="41"/>
    <x v="208"/>
    <x v="208"/>
    <d v="2025-06-23T00:00:00"/>
    <d v="1899-12-30T00:00:00"/>
    <s v="Resigned"/>
    <m/>
    <m/>
    <n v="0"/>
    <x v="1"/>
  </r>
  <r>
    <x v="0"/>
    <s v="Egypt"/>
    <x v="41"/>
    <x v="208"/>
    <x v="208"/>
    <d v="2025-06-24T00:00:00"/>
    <d v="1899-12-30T00:00:00"/>
    <s v="Resigned"/>
    <m/>
    <m/>
    <n v="0"/>
    <x v="1"/>
  </r>
  <r>
    <x v="0"/>
    <s v="Egypt"/>
    <x v="41"/>
    <x v="208"/>
    <x v="208"/>
    <d v="2025-06-25T00:00:00"/>
    <d v="1899-12-30T00:00:00"/>
    <s v="Resigned"/>
    <m/>
    <m/>
    <n v="0"/>
    <x v="1"/>
  </r>
  <r>
    <x v="0"/>
    <s v="Egypt"/>
    <x v="41"/>
    <x v="208"/>
    <x v="208"/>
    <d v="2025-06-26T00:00:00"/>
    <d v="1899-12-30T00:00:00"/>
    <s v="Resigned"/>
    <m/>
    <m/>
    <n v="0"/>
    <x v="1"/>
  </r>
  <r>
    <x v="0"/>
    <s v="Egypt"/>
    <x v="41"/>
    <x v="208"/>
    <x v="208"/>
    <d v="2025-06-27T00:00:00"/>
    <d v="1899-12-30T00:00:00"/>
    <s v="Resigned"/>
    <m/>
    <m/>
    <n v="0"/>
    <x v="1"/>
  </r>
  <r>
    <x v="0"/>
    <s v="Egypt"/>
    <x v="41"/>
    <x v="208"/>
    <x v="208"/>
    <d v="2025-06-28T00:00:00"/>
    <d v="1899-12-30T00:00:00"/>
    <s v="Resigned"/>
    <m/>
    <m/>
    <n v="0"/>
    <x v="1"/>
  </r>
  <r>
    <x v="0"/>
    <s v="Egypt"/>
    <x v="18"/>
    <x v="209"/>
    <x v="209"/>
    <d v="2025-06-01T00:00:00"/>
    <m/>
    <s v="Day Off"/>
    <m/>
    <m/>
    <n v="0"/>
    <x v="1"/>
  </r>
  <r>
    <x v="0"/>
    <s v="Egypt"/>
    <x v="18"/>
    <x v="209"/>
    <x v="209"/>
    <d v="2025-06-02T00:00:00"/>
    <d v="1899-12-30T08:15:00"/>
    <s v="Non Telecom"/>
    <d v="1899-12-30T21:00:00"/>
    <s v="+5:15 AM"/>
    <n v="29700"/>
    <x v="0"/>
  </r>
  <r>
    <x v="0"/>
    <s v="Egypt"/>
    <x v="18"/>
    <x v="209"/>
    <x v="209"/>
    <m/>
    <m/>
    <s v="Break 15 Night"/>
    <d v="1899-12-30T22:15:00"/>
    <d v="1899-12-30T22:30:00"/>
    <n v="0"/>
    <x v="1"/>
  </r>
  <r>
    <x v="0"/>
    <s v="Egypt"/>
    <x v="18"/>
    <x v="209"/>
    <x v="209"/>
    <m/>
    <m/>
    <s v="Break 30 Night"/>
    <s v="+1:45 AM"/>
    <s v="+2:15 AM"/>
    <n v="0"/>
    <x v="1"/>
  </r>
  <r>
    <x v="0"/>
    <s v="Egypt"/>
    <x v="18"/>
    <x v="209"/>
    <x v="209"/>
    <d v="2025-06-03T00:00:00"/>
    <d v="1899-12-30T08:15:00"/>
    <s v="Annual Exception"/>
    <m/>
    <m/>
    <n v="29700"/>
    <x v="1"/>
  </r>
  <r>
    <x v="0"/>
    <s v="Egypt"/>
    <x v="18"/>
    <x v="209"/>
    <x v="209"/>
    <d v="2025-06-04T00:00:00"/>
    <d v="1899-12-30T08:15:00"/>
    <s v="Non Telecom"/>
    <d v="1899-12-30T21:00:00"/>
    <s v="+5:15 AM"/>
    <n v="29700"/>
    <x v="0"/>
  </r>
  <r>
    <x v="0"/>
    <s v="Egypt"/>
    <x v="18"/>
    <x v="209"/>
    <x v="209"/>
    <m/>
    <m/>
    <s v="Break 15 Night"/>
    <d v="1899-12-30T22:00:00"/>
    <d v="1899-12-30T22:15:00"/>
    <n v="0"/>
    <x v="1"/>
  </r>
  <r>
    <x v="0"/>
    <s v="Egypt"/>
    <x v="18"/>
    <x v="209"/>
    <x v="209"/>
    <m/>
    <m/>
    <s v="Break 30 Night"/>
    <s v="+1:00 AM"/>
    <s v="+1:30 AM"/>
    <n v="0"/>
    <x v="1"/>
  </r>
  <r>
    <x v="0"/>
    <s v="Egypt"/>
    <x v="18"/>
    <x v="209"/>
    <x v="209"/>
    <d v="2025-06-05T00:00:00"/>
    <d v="1899-12-30T08:15:00"/>
    <s v="Non Telecom"/>
    <d v="1899-12-30T21:00:00"/>
    <s v="+5:15 AM"/>
    <n v="29700"/>
    <x v="0"/>
  </r>
  <r>
    <x v="0"/>
    <s v="Egypt"/>
    <x v="18"/>
    <x v="209"/>
    <x v="209"/>
    <m/>
    <m/>
    <s v="Break 15 Night"/>
    <d v="1899-12-30T22:00:00"/>
    <d v="1899-12-30T22:15:00"/>
    <n v="0"/>
    <x v="1"/>
  </r>
  <r>
    <x v="0"/>
    <s v="Egypt"/>
    <x v="18"/>
    <x v="209"/>
    <x v="209"/>
    <m/>
    <m/>
    <s v="Break 30 Night"/>
    <s v="+1:00 AM"/>
    <s v="+1:30 AM"/>
    <n v="0"/>
    <x v="1"/>
  </r>
  <r>
    <x v="0"/>
    <s v="Egypt"/>
    <x v="18"/>
    <x v="209"/>
    <x v="209"/>
    <d v="2025-06-06T00:00:00"/>
    <d v="1899-12-30T08:15:00"/>
    <s v="Non Telecom"/>
    <d v="1899-12-30T21:00:00"/>
    <s v="+5:15 AM"/>
    <n v="29700"/>
    <x v="0"/>
  </r>
  <r>
    <x v="0"/>
    <s v="Egypt"/>
    <x v="18"/>
    <x v="209"/>
    <x v="209"/>
    <m/>
    <m/>
    <s v="Break 15 Night"/>
    <d v="1899-12-30T22:00:00"/>
    <d v="1899-12-30T22:15:00"/>
    <n v="0"/>
    <x v="1"/>
  </r>
  <r>
    <x v="0"/>
    <s v="Egypt"/>
    <x v="18"/>
    <x v="209"/>
    <x v="209"/>
    <m/>
    <m/>
    <s v="Break 30 Night"/>
    <s v="+1:00 AM"/>
    <s v="+1:30 AM"/>
    <n v="0"/>
    <x v="1"/>
  </r>
  <r>
    <x v="0"/>
    <s v="Egypt"/>
    <x v="18"/>
    <x v="209"/>
    <x v="209"/>
    <d v="2025-06-07T00:00:00"/>
    <m/>
    <s v="Day Off"/>
    <m/>
    <m/>
    <n v="0"/>
    <x v="1"/>
  </r>
  <r>
    <x v="0"/>
    <s v="Egypt"/>
    <x v="18"/>
    <x v="209"/>
    <x v="209"/>
    <d v="2025-06-08T00:00:00"/>
    <m/>
    <s v="Day Off"/>
    <m/>
    <m/>
    <n v="0"/>
    <x v="1"/>
  </r>
  <r>
    <x v="0"/>
    <s v="Egypt"/>
    <x v="18"/>
    <x v="209"/>
    <x v="209"/>
    <d v="2025-06-09T00:00:00"/>
    <m/>
    <s v="Day Off"/>
    <m/>
    <m/>
    <n v="0"/>
    <x v="1"/>
  </r>
  <r>
    <x v="0"/>
    <s v="Egypt"/>
    <x v="18"/>
    <x v="209"/>
    <x v="209"/>
    <d v="2025-06-10T00:00:00"/>
    <d v="1899-12-30T08:15:00"/>
    <s v="Support Training"/>
    <m/>
    <m/>
    <n v="29700"/>
    <x v="1"/>
  </r>
  <r>
    <x v="0"/>
    <s v="Egypt"/>
    <x v="18"/>
    <x v="209"/>
    <x v="209"/>
    <d v="2025-06-11T00:00:00"/>
    <d v="1899-12-30T08:15:00"/>
    <s v="Support Training"/>
    <m/>
    <m/>
    <n v="29700"/>
    <x v="1"/>
  </r>
  <r>
    <x v="0"/>
    <s v="Egypt"/>
    <x v="18"/>
    <x v="209"/>
    <x v="209"/>
    <d v="2025-06-12T00:00:00"/>
    <d v="1899-12-30T08:15:00"/>
    <s v="Support Training"/>
    <m/>
    <m/>
    <n v="29700"/>
    <x v="1"/>
  </r>
  <r>
    <x v="0"/>
    <s v="Egypt"/>
    <x v="18"/>
    <x v="209"/>
    <x v="209"/>
    <d v="2025-06-13T00:00:00"/>
    <d v="1899-12-30T08:15:00"/>
    <s v="Support Training"/>
    <m/>
    <m/>
    <n v="29700"/>
    <x v="1"/>
  </r>
  <r>
    <x v="0"/>
    <s v="Egypt"/>
    <x v="18"/>
    <x v="209"/>
    <x v="209"/>
    <d v="2025-06-14T00:00:00"/>
    <d v="1899-12-30T08:15:00"/>
    <s v="Support Training"/>
    <m/>
    <m/>
    <n v="29700"/>
    <x v="1"/>
  </r>
  <r>
    <x v="0"/>
    <s v="Egypt"/>
    <x v="18"/>
    <x v="209"/>
    <x v="209"/>
    <d v="2025-06-15T00:00:00"/>
    <d v="1899-12-30T08:15:00"/>
    <s v="Support Training"/>
    <m/>
    <m/>
    <n v="29700"/>
    <x v="1"/>
  </r>
  <r>
    <x v="0"/>
    <s v="Egypt"/>
    <x v="18"/>
    <x v="209"/>
    <x v="209"/>
    <d v="2025-06-16T00:00:00"/>
    <d v="1899-12-30T08:15:00"/>
    <s v="Annual Exception"/>
    <m/>
    <m/>
    <n v="29700"/>
    <x v="1"/>
  </r>
  <r>
    <x v="0"/>
    <s v="Egypt"/>
    <x v="18"/>
    <x v="209"/>
    <x v="209"/>
    <d v="2025-06-17T00:00:00"/>
    <m/>
    <s v="Day Off"/>
    <m/>
    <m/>
    <n v="0"/>
    <x v="1"/>
  </r>
  <r>
    <x v="0"/>
    <s v="Egypt"/>
    <x v="18"/>
    <x v="209"/>
    <x v="209"/>
    <d v="2025-06-18T00:00:00"/>
    <m/>
    <s v="Day Off"/>
    <m/>
    <m/>
    <n v="0"/>
    <x v="1"/>
  </r>
  <r>
    <x v="0"/>
    <s v="Egypt"/>
    <x v="18"/>
    <x v="209"/>
    <x v="209"/>
    <d v="2025-06-19T00:00:00"/>
    <d v="1899-12-30T08:15:00"/>
    <s v="Annual Exception"/>
    <m/>
    <m/>
    <n v="29700"/>
    <x v="1"/>
  </r>
  <r>
    <x v="0"/>
    <s v="Egypt"/>
    <x v="18"/>
    <x v="209"/>
    <x v="209"/>
    <d v="2025-06-20T00:00:00"/>
    <d v="1899-12-30T08:15:00"/>
    <s v="Non Telecom"/>
    <d v="1899-12-30T20:00:00"/>
    <s v="+4:15 AM"/>
    <n v="29700"/>
    <x v="0"/>
  </r>
  <r>
    <x v="0"/>
    <s v="Egypt"/>
    <x v="18"/>
    <x v="209"/>
    <x v="209"/>
    <m/>
    <m/>
    <s v="Break 15 Night"/>
    <d v="1899-12-30T22:30:00"/>
    <d v="1899-12-30T22:45:00"/>
    <n v="0"/>
    <x v="1"/>
  </r>
  <r>
    <x v="0"/>
    <s v="Egypt"/>
    <x v="18"/>
    <x v="209"/>
    <x v="209"/>
    <m/>
    <m/>
    <s v="Break 30 Night"/>
    <s v="+1:15 AM"/>
    <s v="+1:45 AM"/>
    <n v="0"/>
    <x v="1"/>
  </r>
  <r>
    <x v="0"/>
    <s v="Egypt"/>
    <x v="18"/>
    <x v="209"/>
    <x v="209"/>
    <d v="2025-06-21T00:00:00"/>
    <d v="1899-12-30T08:15:00"/>
    <s v="Non Telecom"/>
    <d v="1899-12-30T20:00:00"/>
    <s v="+4:15 AM"/>
    <n v="29700"/>
    <x v="0"/>
  </r>
  <r>
    <x v="0"/>
    <s v="Egypt"/>
    <x v="18"/>
    <x v="209"/>
    <x v="209"/>
    <m/>
    <m/>
    <s v="Break 15 Night"/>
    <d v="1899-12-30T22:45:00"/>
    <d v="1899-12-30T23:00:00"/>
    <n v="0"/>
    <x v="1"/>
  </r>
  <r>
    <x v="0"/>
    <s v="Egypt"/>
    <x v="18"/>
    <x v="209"/>
    <x v="209"/>
    <m/>
    <m/>
    <s v="Break 30 Night"/>
    <s v="+2:00 AM"/>
    <s v="+2:30 AM"/>
    <n v="0"/>
    <x v="1"/>
  </r>
  <r>
    <x v="0"/>
    <s v="Egypt"/>
    <x v="18"/>
    <x v="209"/>
    <x v="209"/>
    <d v="2025-06-22T00:00:00"/>
    <d v="1899-12-30T08:15:00"/>
    <s v="Absent"/>
    <m/>
    <m/>
    <n v="29700"/>
    <x v="1"/>
  </r>
  <r>
    <x v="0"/>
    <s v="Egypt"/>
    <x v="18"/>
    <x v="209"/>
    <x v="209"/>
    <d v="2025-06-23T00:00:00"/>
    <d v="1899-12-30T08:15:00"/>
    <s v="Absent"/>
    <m/>
    <m/>
    <n v="29700"/>
    <x v="1"/>
  </r>
  <r>
    <x v="0"/>
    <s v="Egypt"/>
    <x v="18"/>
    <x v="209"/>
    <x v="209"/>
    <d v="2025-06-24T00:00:00"/>
    <d v="1899-12-30T08:15:00"/>
    <s v="Absent"/>
    <m/>
    <m/>
    <n v="29700"/>
    <x v="1"/>
  </r>
  <r>
    <x v="0"/>
    <s v="Egypt"/>
    <x v="18"/>
    <x v="209"/>
    <x v="209"/>
    <d v="2025-06-25T00:00:00"/>
    <m/>
    <s v="Day Off"/>
    <m/>
    <m/>
    <n v="0"/>
    <x v="1"/>
  </r>
  <r>
    <x v="0"/>
    <s v="Egypt"/>
    <x v="18"/>
    <x v="209"/>
    <x v="209"/>
    <d v="2025-06-26T00:00:00"/>
    <d v="1899-12-30T00:00:00"/>
    <s v="Resigned"/>
    <m/>
    <m/>
    <n v="0"/>
    <x v="1"/>
  </r>
  <r>
    <x v="0"/>
    <s v="Egypt"/>
    <x v="18"/>
    <x v="209"/>
    <x v="209"/>
    <d v="2025-06-27T00:00:00"/>
    <d v="1899-12-30T00:00:00"/>
    <s v="Resigned Unplanned"/>
    <m/>
    <m/>
    <n v="0"/>
    <x v="1"/>
  </r>
  <r>
    <x v="0"/>
    <s v="Egypt"/>
    <x v="18"/>
    <x v="209"/>
    <x v="209"/>
    <d v="2025-06-28T00:00:00"/>
    <d v="1899-12-30T00:00:00"/>
    <s v="Resigned Unplanned"/>
    <m/>
    <m/>
    <n v="0"/>
    <x v="1"/>
  </r>
  <r>
    <x v="0"/>
    <s v="Egypt"/>
    <x v="18"/>
    <x v="209"/>
    <x v="209"/>
    <d v="2025-06-29T00:00:00"/>
    <d v="1899-12-30T00:00:00"/>
    <s v="Resigned"/>
    <m/>
    <m/>
    <n v="0"/>
    <x v="1"/>
  </r>
  <r>
    <x v="0"/>
    <s v="Egypt"/>
    <x v="18"/>
    <x v="209"/>
    <x v="209"/>
    <d v="2025-06-30T00:00:00"/>
    <d v="1899-12-30T00:00:00"/>
    <s v="Resigned"/>
    <m/>
    <m/>
    <n v="0"/>
    <x v="1"/>
  </r>
  <r>
    <x v="0"/>
    <s v="Egypt"/>
    <x v="42"/>
    <x v="210"/>
    <x v="210"/>
    <d v="2025-06-01T00:00:00"/>
    <d v="1899-12-30T08:15:00"/>
    <s v="Non Telecom Assyot"/>
    <d v="1899-12-30T17:15:00"/>
    <s v="+1:30 AM"/>
    <n v="29700"/>
    <x v="0"/>
  </r>
  <r>
    <x v="0"/>
    <s v="Egypt"/>
    <x v="42"/>
    <x v="210"/>
    <x v="210"/>
    <m/>
    <m/>
    <s v="Break 15 Night"/>
    <d v="1899-12-30T19:30:00"/>
    <d v="1899-12-30T19:45:00"/>
    <n v="0"/>
    <x v="1"/>
  </r>
  <r>
    <x v="0"/>
    <s v="Egypt"/>
    <x v="42"/>
    <x v="210"/>
    <x v="210"/>
    <m/>
    <m/>
    <s v="Break 30 Night"/>
    <d v="1899-12-30T22:45:00"/>
    <d v="1899-12-30T23:15:00"/>
    <n v="0"/>
    <x v="1"/>
  </r>
  <r>
    <x v="0"/>
    <s v="Egypt"/>
    <x v="42"/>
    <x v="210"/>
    <x v="210"/>
    <d v="2025-06-02T00:00:00"/>
    <d v="1899-12-30T08:15:00"/>
    <s v="Non Telecom Assyot"/>
    <d v="1899-12-30T17:15:00"/>
    <s v="+1:30 AM"/>
    <n v="29700"/>
    <x v="0"/>
  </r>
  <r>
    <x v="0"/>
    <s v="Egypt"/>
    <x v="42"/>
    <x v="210"/>
    <x v="210"/>
    <m/>
    <m/>
    <s v="Break 15 Night"/>
    <d v="1899-12-30T19:45:00"/>
    <d v="1899-12-30T20:00:00"/>
    <n v="0"/>
    <x v="1"/>
  </r>
  <r>
    <x v="0"/>
    <s v="Egypt"/>
    <x v="42"/>
    <x v="210"/>
    <x v="210"/>
    <m/>
    <m/>
    <s v="Break 30 Night"/>
    <d v="1899-12-30T23:15:00"/>
    <d v="1899-12-30T23:45:00"/>
    <n v="0"/>
    <x v="1"/>
  </r>
  <r>
    <x v="0"/>
    <s v="Egypt"/>
    <x v="42"/>
    <x v="210"/>
    <x v="210"/>
    <d v="2025-06-03T00:00:00"/>
    <d v="1899-12-30T08:15:00"/>
    <s v="Absent"/>
    <m/>
    <m/>
    <n v="29700"/>
    <x v="1"/>
  </r>
  <r>
    <x v="0"/>
    <s v="Egypt"/>
    <x v="42"/>
    <x v="210"/>
    <x v="210"/>
    <d v="2025-06-04T00:00:00"/>
    <d v="1899-12-30T08:15:00"/>
    <s v="Absent"/>
    <m/>
    <m/>
    <n v="29700"/>
    <x v="1"/>
  </r>
  <r>
    <x v="0"/>
    <s v="Egypt"/>
    <x v="42"/>
    <x v="210"/>
    <x v="210"/>
    <d v="2025-06-05T00:00:00"/>
    <d v="1899-12-30T00:00:00"/>
    <s v="Resigned Unplanned"/>
    <m/>
    <m/>
    <n v="0"/>
    <x v="1"/>
  </r>
  <r>
    <x v="0"/>
    <s v="Egypt"/>
    <x v="42"/>
    <x v="210"/>
    <x v="210"/>
    <d v="2025-06-06T00:00:00"/>
    <m/>
    <s v="Day Off"/>
    <m/>
    <m/>
    <n v="0"/>
    <x v="1"/>
  </r>
  <r>
    <x v="0"/>
    <s v="Egypt"/>
    <x v="42"/>
    <x v="210"/>
    <x v="210"/>
    <d v="2025-06-07T00:00:00"/>
    <m/>
    <s v="Day Off"/>
    <m/>
    <m/>
    <n v="0"/>
    <x v="1"/>
  </r>
  <r>
    <x v="0"/>
    <s v="Egypt"/>
    <x v="42"/>
    <x v="210"/>
    <x v="210"/>
    <d v="2025-06-08T00:00:00"/>
    <d v="1899-12-30T00:00:00"/>
    <s v="Resigned"/>
    <m/>
    <m/>
    <n v="0"/>
    <x v="1"/>
  </r>
  <r>
    <x v="0"/>
    <s v="Egypt"/>
    <x v="42"/>
    <x v="210"/>
    <x v="210"/>
    <d v="2025-06-09T00:00:00"/>
    <d v="1899-12-30T00:00:00"/>
    <s v="Resigned"/>
    <m/>
    <m/>
    <n v="0"/>
    <x v="1"/>
  </r>
  <r>
    <x v="0"/>
    <s v="Egypt"/>
    <x v="42"/>
    <x v="210"/>
    <x v="210"/>
    <d v="2025-06-10T00:00:00"/>
    <d v="1899-12-30T00:00:00"/>
    <s v="Resigned"/>
    <m/>
    <m/>
    <n v="0"/>
    <x v="1"/>
  </r>
  <r>
    <x v="0"/>
    <s v="Egypt"/>
    <x v="42"/>
    <x v="210"/>
    <x v="210"/>
    <d v="2025-06-11T00:00:00"/>
    <d v="1899-12-30T00:00:00"/>
    <s v="Resigned"/>
    <m/>
    <m/>
    <n v="0"/>
    <x v="1"/>
  </r>
  <r>
    <x v="0"/>
    <s v="Egypt"/>
    <x v="42"/>
    <x v="210"/>
    <x v="210"/>
    <d v="2025-06-12T00:00:00"/>
    <d v="1899-12-30T00:00:00"/>
    <s v="Resigned"/>
    <m/>
    <m/>
    <n v="0"/>
    <x v="1"/>
  </r>
  <r>
    <x v="0"/>
    <s v="Egypt"/>
    <x v="42"/>
    <x v="210"/>
    <x v="210"/>
    <d v="2025-06-13T00:00:00"/>
    <d v="1899-12-30T00:00:00"/>
    <s v="Resigned"/>
    <m/>
    <m/>
    <n v="0"/>
    <x v="1"/>
  </r>
  <r>
    <x v="0"/>
    <s v="Egypt"/>
    <x v="42"/>
    <x v="210"/>
    <x v="210"/>
    <d v="2025-06-14T00:00:00"/>
    <d v="1899-12-30T00:00:00"/>
    <s v="Resigned"/>
    <m/>
    <m/>
    <n v="0"/>
    <x v="1"/>
  </r>
  <r>
    <x v="0"/>
    <s v="Egypt"/>
    <x v="13"/>
    <x v="211"/>
    <x v="211"/>
    <d v="2025-06-01T00:00:00"/>
    <d v="1899-12-30T08:15:00"/>
    <s v="Contract Not Renewed"/>
    <m/>
    <m/>
    <n v="29700"/>
    <x v="1"/>
  </r>
  <r>
    <x v="0"/>
    <s v="Egypt"/>
    <x v="13"/>
    <x v="211"/>
    <x v="211"/>
    <d v="2025-06-02T00:00:00"/>
    <d v="1899-12-30T08:15:00"/>
    <s v="Contract Not Renewed"/>
    <m/>
    <m/>
    <n v="29700"/>
    <x v="1"/>
  </r>
  <r>
    <x v="0"/>
    <s v="Egypt"/>
    <x v="13"/>
    <x v="211"/>
    <x v="211"/>
    <d v="2025-06-03T00:00:00"/>
    <d v="1899-12-30T08:15:00"/>
    <s v="Contract Not Renewed"/>
    <m/>
    <m/>
    <n v="29700"/>
    <x v="1"/>
  </r>
  <r>
    <x v="0"/>
    <s v="Egypt"/>
    <x v="13"/>
    <x v="211"/>
    <x v="211"/>
    <d v="2025-06-04T00:00:00"/>
    <d v="1899-12-30T08:15:00"/>
    <s v="Contract Not Renewed"/>
    <m/>
    <m/>
    <n v="29700"/>
    <x v="1"/>
  </r>
  <r>
    <x v="0"/>
    <s v="Egypt"/>
    <x v="13"/>
    <x v="211"/>
    <x v="211"/>
    <d v="2025-06-05T00:00:00"/>
    <d v="1899-12-30T08:15:00"/>
    <s v="Contract Not Renewed"/>
    <m/>
    <m/>
    <n v="29700"/>
    <x v="1"/>
  </r>
  <r>
    <x v="0"/>
    <s v="Egypt"/>
    <x v="13"/>
    <x v="211"/>
    <x v="211"/>
    <d v="2025-06-06T00:00:00"/>
    <d v="1899-12-30T08:15:00"/>
    <s v="Contract Not Renewed"/>
    <m/>
    <m/>
    <n v="29700"/>
    <x v="1"/>
  </r>
  <r>
    <x v="0"/>
    <s v="Egypt"/>
    <x v="13"/>
    <x v="211"/>
    <x v="211"/>
    <d v="2025-06-07T00:00:00"/>
    <d v="1899-12-30T08:15:00"/>
    <s v="Contract Not Renewed"/>
    <m/>
    <m/>
    <n v="29700"/>
    <x v="1"/>
  </r>
  <r>
    <x v="0"/>
    <s v="Egypt"/>
    <x v="13"/>
    <x v="211"/>
    <x v="211"/>
    <d v="2025-06-08T00:00:00"/>
    <d v="1899-12-30T08:15:00"/>
    <s v="Contract Not Renewed"/>
    <m/>
    <m/>
    <n v="29700"/>
    <x v="1"/>
  </r>
  <r>
    <x v="0"/>
    <s v="Egypt"/>
    <x v="13"/>
    <x v="211"/>
    <x v="211"/>
    <d v="2025-06-09T00:00:00"/>
    <d v="1899-12-30T08:15:00"/>
    <s v="Contract Not Renewed"/>
    <m/>
    <m/>
    <n v="29700"/>
    <x v="1"/>
  </r>
  <r>
    <x v="0"/>
    <s v="Egypt"/>
    <x v="13"/>
    <x v="211"/>
    <x v="211"/>
    <d v="2025-06-10T00:00:00"/>
    <d v="1899-12-30T08:15:00"/>
    <s v="Contract Not Renewed"/>
    <m/>
    <m/>
    <n v="29700"/>
    <x v="1"/>
  </r>
  <r>
    <x v="0"/>
    <s v="Egypt"/>
    <x v="13"/>
    <x v="211"/>
    <x v="211"/>
    <d v="2025-06-11T00:00:00"/>
    <d v="1899-12-30T08:15:00"/>
    <s v="Contract Not Renewed"/>
    <m/>
    <m/>
    <n v="29700"/>
    <x v="1"/>
  </r>
  <r>
    <x v="0"/>
    <s v="Egypt"/>
    <x v="13"/>
    <x v="211"/>
    <x v="211"/>
    <d v="2025-06-12T00:00:00"/>
    <d v="1899-12-30T08:15:00"/>
    <s v="Contract Not Renewed"/>
    <m/>
    <m/>
    <n v="29700"/>
    <x v="1"/>
  </r>
  <r>
    <x v="0"/>
    <s v="Egypt"/>
    <x v="13"/>
    <x v="211"/>
    <x v="211"/>
    <d v="2025-06-13T00:00:00"/>
    <d v="1899-12-30T08:15:00"/>
    <s v="Contract Not Renewed"/>
    <m/>
    <m/>
    <n v="29700"/>
    <x v="1"/>
  </r>
  <r>
    <x v="0"/>
    <s v="Egypt"/>
    <x v="13"/>
    <x v="211"/>
    <x v="211"/>
    <d v="2025-06-14T00:00:00"/>
    <d v="1899-12-30T08:15:00"/>
    <s v="Contract Not Renewed"/>
    <m/>
    <m/>
    <n v="29700"/>
    <x v="1"/>
  </r>
  <r>
    <x v="0"/>
    <s v="Egypt"/>
    <x v="13"/>
    <x v="211"/>
    <x v="211"/>
    <d v="2025-06-15T00:00:00"/>
    <d v="1899-12-30T08:15:00"/>
    <s v="Contract Not Renewed"/>
    <m/>
    <m/>
    <n v="29700"/>
    <x v="1"/>
  </r>
  <r>
    <x v="0"/>
    <s v="Egypt"/>
    <x v="13"/>
    <x v="211"/>
    <x v="211"/>
    <d v="2025-06-16T00:00:00"/>
    <d v="1899-12-30T08:15:00"/>
    <s v="Contract Not Renewed"/>
    <m/>
    <m/>
    <n v="29700"/>
    <x v="1"/>
  </r>
  <r>
    <x v="0"/>
    <s v="Egypt"/>
    <x v="13"/>
    <x v="211"/>
    <x v="211"/>
    <d v="2025-06-17T00:00:00"/>
    <d v="1899-12-30T08:15:00"/>
    <s v="Contract Not Renewed"/>
    <m/>
    <m/>
    <n v="29700"/>
    <x v="1"/>
  </r>
  <r>
    <x v="0"/>
    <s v="Egypt"/>
    <x v="13"/>
    <x v="211"/>
    <x v="211"/>
    <d v="2025-06-18T00:00:00"/>
    <d v="1899-12-30T08:15:00"/>
    <s v="Contract Not Renewed"/>
    <m/>
    <m/>
    <n v="29700"/>
    <x v="1"/>
  </r>
  <r>
    <x v="0"/>
    <s v="Egypt"/>
    <x v="13"/>
    <x v="211"/>
    <x v="211"/>
    <d v="2025-06-19T00:00:00"/>
    <d v="1899-12-30T08:15:00"/>
    <s v="Contract Not Renewed"/>
    <m/>
    <m/>
    <n v="29700"/>
    <x v="1"/>
  </r>
  <r>
    <x v="0"/>
    <s v="Egypt"/>
    <x v="13"/>
    <x v="211"/>
    <x v="211"/>
    <d v="2025-06-20T00:00:00"/>
    <d v="1899-12-30T08:15:00"/>
    <s v="Contract Not Renewed"/>
    <m/>
    <m/>
    <n v="29700"/>
    <x v="1"/>
  </r>
  <r>
    <x v="0"/>
    <s v="Egypt"/>
    <x v="13"/>
    <x v="211"/>
    <x v="211"/>
    <d v="2025-06-21T00:00:00"/>
    <d v="1899-12-30T08:15:00"/>
    <s v="Contract Not Renewed"/>
    <m/>
    <m/>
    <n v="29700"/>
    <x v="1"/>
  </r>
  <r>
    <x v="0"/>
    <s v="Egypt"/>
    <x v="13"/>
    <x v="211"/>
    <x v="211"/>
    <d v="2025-06-22T00:00:00"/>
    <d v="1899-12-30T08:15:00"/>
    <s v="Contract Not Renewed"/>
    <m/>
    <m/>
    <n v="29700"/>
    <x v="1"/>
  </r>
  <r>
    <x v="0"/>
    <s v="Egypt"/>
    <x v="13"/>
    <x v="211"/>
    <x v="211"/>
    <d v="2025-06-23T00:00:00"/>
    <d v="1899-12-30T08:15:00"/>
    <s v="Contract Not Renewed"/>
    <m/>
    <m/>
    <n v="29700"/>
    <x v="1"/>
  </r>
  <r>
    <x v="0"/>
    <s v="Egypt"/>
    <x v="13"/>
    <x v="211"/>
    <x v="211"/>
    <d v="2025-06-24T00:00:00"/>
    <d v="1899-12-30T08:15:00"/>
    <s v="Contract Not Renewed"/>
    <m/>
    <m/>
    <n v="29700"/>
    <x v="1"/>
  </r>
  <r>
    <x v="0"/>
    <s v="Egypt"/>
    <x v="13"/>
    <x v="211"/>
    <x v="211"/>
    <d v="2025-06-25T00:00:00"/>
    <d v="1899-12-30T08:15:00"/>
    <s v="Contract Not Renewed"/>
    <m/>
    <m/>
    <n v="29700"/>
    <x v="1"/>
  </r>
  <r>
    <x v="0"/>
    <s v="Egypt"/>
    <x v="13"/>
    <x v="211"/>
    <x v="211"/>
    <d v="2025-06-26T00:00:00"/>
    <d v="1899-12-30T08:15:00"/>
    <s v="Contract Not Renewed"/>
    <m/>
    <m/>
    <n v="29700"/>
    <x v="1"/>
  </r>
  <r>
    <x v="0"/>
    <s v="Egypt"/>
    <x v="13"/>
    <x v="211"/>
    <x v="211"/>
    <d v="2025-06-27T00:00:00"/>
    <d v="1899-12-30T08:15:00"/>
    <s v="Contract Not Renewed"/>
    <m/>
    <m/>
    <n v="29700"/>
    <x v="1"/>
  </r>
  <r>
    <x v="0"/>
    <s v="Egypt"/>
    <x v="13"/>
    <x v="211"/>
    <x v="211"/>
    <d v="2025-06-28T00:00:00"/>
    <d v="1899-12-30T08:15:00"/>
    <s v="Contract Not Renewed"/>
    <m/>
    <m/>
    <n v="29700"/>
    <x v="1"/>
  </r>
  <r>
    <x v="0"/>
    <s v="Egypt"/>
    <x v="13"/>
    <x v="211"/>
    <x v="211"/>
    <d v="2025-06-29T00:00:00"/>
    <d v="1899-12-30T08:15:00"/>
    <s v="Contract Not Renewed"/>
    <m/>
    <m/>
    <n v="29700"/>
    <x v="1"/>
  </r>
  <r>
    <x v="0"/>
    <s v="Egypt"/>
    <x v="13"/>
    <x v="211"/>
    <x v="211"/>
    <d v="2025-06-30T00:00:00"/>
    <d v="1899-12-30T08:15:00"/>
    <s v="Contract Not Renewed"/>
    <m/>
    <m/>
    <n v="29700"/>
    <x v="1"/>
  </r>
  <r>
    <x v="0"/>
    <s v="Egypt"/>
    <x v="14"/>
    <x v="212"/>
    <x v="212"/>
    <d v="2025-06-01T00:00:00"/>
    <d v="1899-12-30T08:15:00"/>
    <s v="Non Telecom"/>
    <d v="1899-12-30T10:00:00"/>
    <d v="1899-12-30T18:15:00"/>
    <n v="29700"/>
    <x v="0"/>
  </r>
  <r>
    <x v="0"/>
    <s v="Egypt"/>
    <x v="14"/>
    <x v="212"/>
    <x v="212"/>
    <m/>
    <m/>
    <s v="Break 15 Morning"/>
    <d v="1899-12-30T12:45:00"/>
    <d v="1899-12-30T13:00:00"/>
    <n v="0"/>
    <x v="1"/>
  </r>
  <r>
    <x v="0"/>
    <s v="Egypt"/>
    <x v="14"/>
    <x v="212"/>
    <x v="212"/>
    <m/>
    <m/>
    <s v="Break 30 Morning"/>
    <d v="1899-12-30T16:15:00"/>
    <d v="1899-12-30T16:45:00"/>
    <n v="0"/>
    <x v="1"/>
  </r>
  <r>
    <x v="0"/>
    <s v="Egypt"/>
    <x v="14"/>
    <x v="212"/>
    <x v="212"/>
    <d v="2025-06-02T00:00:00"/>
    <d v="1899-12-30T08:15:00"/>
    <s v="Non Telecom"/>
    <d v="1899-12-30T10:00:00"/>
    <d v="1899-12-30T18:15:00"/>
    <n v="29700"/>
    <x v="0"/>
  </r>
  <r>
    <x v="0"/>
    <s v="Egypt"/>
    <x v="14"/>
    <x v="212"/>
    <x v="212"/>
    <m/>
    <m/>
    <s v="Break 15 Morning"/>
    <d v="1899-12-30T12:45:00"/>
    <d v="1899-12-30T13:00:00"/>
    <n v="0"/>
    <x v="1"/>
  </r>
  <r>
    <x v="0"/>
    <s v="Egypt"/>
    <x v="14"/>
    <x v="212"/>
    <x v="212"/>
    <m/>
    <m/>
    <s v="Break 30 Morning"/>
    <d v="1899-12-30T16:15:00"/>
    <d v="1899-12-30T16:45:00"/>
    <n v="0"/>
    <x v="1"/>
  </r>
  <r>
    <x v="0"/>
    <s v="Egypt"/>
    <x v="14"/>
    <x v="212"/>
    <x v="212"/>
    <d v="2025-06-03T00:00:00"/>
    <d v="1899-12-30T00:00:00"/>
    <s v="Resigned Unplanned"/>
    <m/>
    <m/>
    <n v="0"/>
    <x v="1"/>
  </r>
  <r>
    <x v="0"/>
    <s v="Egypt"/>
    <x v="14"/>
    <x v="212"/>
    <x v="212"/>
    <d v="2025-06-04T00:00:00"/>
    <d v="1899-12-30T00:00:00"/>
    <s v="Resigned"/>
    <m/>
    <m/>
    <n v="0"/>
    <x v="1"/>
  </r>
  <r>
    <x v="0"/>
    <s v="Egypt"/>
    <x v="14"/>
    <x v="212"/>
    <x v="212"/>
    <d v="2025-06-05T00:00:00"/>
    <d v="1899-12-30T00:00:00"/>
    <s v="Resigned"/>
    <m/>
    <m/>
    <n v="0"/>
    <x v="1"/>
  </r>
  <r>
    <x v="0"/>
    <s v="Egypt"/>
    <x v="14"/>
    <x v="212"/>
    <x v="212"/>
    <d v="2025-06-06T00:00:00"/>
    <d v="1899-12-30T00:00:00"/>
    <s v="Resigned Unplanned"/>
    <m/>
    <m/>
    <n v="0"/>
    <x v="1"/>
  </r>
  <r>
    <x v="0"/>
    <s v="Egypt"/>
    <x v="14"/>
    <x v="212"/>
    <x v="212"/>
    <d v="2025-06-07T00:00:00"/>
    <d v="1899-12-30T00:00:00"/>
    <s v="Resigned Unplanned"/>
    <m/>
    <m/>
    <n v="0"/>
    <x v="1"/>
  </r>
  <r>
    <x v="0"/>
    <s v="Egypt"/>
    <x v="14"/>
    <x v="212"/>
    <x v="212"/>
    <d v="2025-06-08T00:00:00"/>
    <d v="1899-12-30T00:00:00"/>
    <s v="Resigned Unplanned"/>
    <m/>
    <m/>
    <n v="0"/>
    <x v="1"/>
  </r>
  <r>
    <x v="0"/>
    <s v="Egypt"/>
    <x v="14"/>
    <x v="212"/>
    <x v="212"/>
    <d v="2025-06-09T00:00:00"/>
    <d v="1899-12-30T00:00:00"/>
    <s v="Resigned Unplanned"/>
    <m/>
    <m/>
    <n v="0"/>
    <x v="1"/>
  </r>
  <r>
    <x v="0"/>
    <s v="Egypt"/>
    <x v="14"/>
    <x v="212"/>
    <x v="212"/>
    <d v="2025-06-10T00:00:00"/>
    <d v="1899-12-30T00:00:00"/>
    <s v="Resigned Unplanned"/>
    <m/>
    <m/>
    <n v="0"/>
    <x v="1"/>
  </r>
  <r>
    <x v="0"/>
    <s v="Egypt"/>
    <x v="14"/>
    <x v="212"/>
    <x v="212"/>
    <d v="2025-06-11T00:00:00"/>
    <d v="1899-12-30T00:00:00"/>
    <s v="Resigned"/>
    <m/>
    <m/>
    <n v="0"/>
    <x v="1"/>
  </r>
  <r>
    <x v="0"/>
    <s v="Egypt"/>
    <x v="14"/>
    <x v="212"/>
    <x v="212"/>
    <d v="2025-06-12T00:00:00"/>
    <d v="1899-12-30T00:00:00"/>
    <s v="Resigned"/>
    <m/>
    <m/>
    <n v="0"/>
    <x v="1"/>
  </r>
  <r>
    <x v="0"/>
    <s v="Egypt"/>
    <x v="14"/>
    <x v="212"/>
    <x v="212"/>
    <d v="2025-06-13T00:00:00"/>
    <d v="1899-12-30T00:00:00"/>
    <s v="Resigned Unplanned"/>
    <m/>
    <m/>
    <n v="0"/>
    <x v="1"/>
  </r>
  <r>
    <x v="0"/>
    <s v="Egypt"/>
    <x v="14"/>
    <x v="212"/>
    <x v="212"/>
    <d v="2025-06-14T00:00:00"/>
    <d v="1899-12-30T00:00:00"/>
    <s v="Resigned Unplanned"/>
    <m/>
    <m/>
    <n v="0"/>
    <x v="1"/>
  </r>
  <r>
    <x v="0"/>
    <s v="Egypt"/>
    <x v="14"/>
    <x v="212"/>
    <x v="212"/>
    <d v="2025-06-15T00:00:00"/>
    <d v="1899-12-30T00:00:00"/>
    <s v="Resigned Unplanned"/>
    <m/>
    <m/>
    <n v="0"/>
    <x v="1"/>
  </r>
  <r>
    <x v="0"/>
    <s v="Egypt"/>
    <x v="14"/>
    <x v="212"/>
    <x v="212"/>
    <d v="2025-06-16T00:00:00"/>
    <d v="1899-12-30T00:00:00"/>
    <s v="Resigned Unplanned"/>
    <m/>
    <m/>
    <n v="0"/>
    <x v="1"/>
  </r>
  <r>
    <x v="0"/>
    <s v="Egypt"/>
    <x v="14"/>
    <x v="212"/>
    <x v="212"/>
    <d v="2025-06-17T00:00:00"/>
    <d v="1899-12-30T00:00:00"/>
    <s v="Resigned"/>
    <m/>
    <m/>
    <n v="0"/>
    <x v="1"/>
  </r>
  <r>
    <x v="0"/>
    <s v="Egypt"/>
    <x v="14"/>
    <x v="212"/>
    <x v="212"/>
    <d v="2025-06-18T00:00:00"/>
    <d v="1899-12-30T00:00:00"/>
    <s v="Resigned"/>
    <m/>
    <m/>
    <n v="0"/>
    <x v="1"/>
  </r>
  <r>
    <x v="0"/>
    <s v="Egypt"/>
    <x v="14"/>
    <x v="212"/>
    <x v="212"/>
    <d v="2025-06-19T00:00:00"/>
    <d v="1899-12-30T00:00:00"/>
    <s v="Resigned Unplanned"/>
    <m/>
    <m/>
    <n v="0"/>
    <x v="1"/>
  </r>
  <r>
    <x v="0"/>
    <s v="Egypt"/>
    <x v="14"/>
    <x v="212"/>
    <x v="212"/>
    <d v="2025-06-20T00:00:00"/>
    <d v="1899-12-30T00:00:00"/>
    <s v="Resigned Unplanned"/>
    <m/>
    <m/>
    <n v="0"/>
    <x v="1"/>
  </r>
  <r>
    <x v="0"/>
    <s v="Egypt"/>
    <x v="14"/>
    <x v="212"/>
    <x v="212"/>
    <d v="2025-06-21T00:00:00"/>
    <d v="1899-12-30T00:00:00"/>
    <s v="Resigned Unplanned"/>
    <m/>
    <m/>
    <n v="0"/>
    <x v="1"/>
  </r>
  <r>
    <x v="0"/>
    <s v="Egypt"/>
    <x v="14"/>
    <x v="212"/>
    <x v="212"/>
    <d v="2025-06-22T00:00:00"/>
    <d v="1899-12-30T00:00:00"/>
    <s v="Resigned"/>
    <m/>
    <m/>
    <n v="0"/>
    <x v="1"/>
  </r>
  <r>
    <x v="0"/>
    <s v="Egypt"/>
    <x v="14"/>
    <x v="212"/>
    <x v="212"/>
    <d v="2025-06-23T00:00:00"/>
    <d v="1899-12-30T00:00:00"/>
    <s v="Resigned"/>
    <m/>
    <m/>
    <n v="0"/>
    <x v="1"/>
  </r>
  <r>
    <x v="0"/>
    <s v="Egypt"/>
    <x v="14"/>
    <x v="212"/>
    <x v="212"/>
    <d v="2025-06-24T00:00:00"/>
    <d v="1899-12-30T00:00:00"/>
    <s v="Resigned"/>
    <m/>
    <m/>
    <n v="0"/>
    <x v="1"/>
  </r>
  <r>
    <x v="0"/>
    <s v="Egypt"/>
    <x v="14"/>
    <x v="212"/>
    <x v="212"/>
    <d v="2025-06-25T00:00:00"/>
    <d v="1899-12-30T00:00:00"/>
    <s v="Resigned"/>
    <m/>
    <m/>
    <n v="0"/>
    <x v="1"/>
  </r>
  <r>
    <x v="0"/>
    <s v="Egypt"/>
    <x v="14"/>
    <x v="212"/>
    <x v="212"/>
    <d v="2025-06-26T00:00:00"/>
    <d v="1899-12-30T00:00:00"/>
    <s v="Resigned"/>
    <m/>
    <m/>
    <n v="0"/>
    <x v="1"/>
  </r>
  <r>
    <x v="0"/>
    <s v="Egypt"/>
    <x v="14"/>
    <x v="212"/>
    <x v="212"/>
    <d v="2025-06-27T00:00:00"/>
    <d v="1899-12-30T00:00:00"/>
    <s v="Resigned"/>
    <m/>
    <m/>
    <n v="0"/>
    <x v="1"/>
  </r>
  <r>
    <x v="0"/>
    <s v="Egypt"/>
    <x v="14"/>
    <x v="212"/>
    <x v="212"/>
    <d v="2025-06-28T00:00:00"/>
    <d v="1899-12-30T00:00:00"/>
    <s v="Resigned"/>
    <m/>
    <m/>
    <n v="0"/>
    <x v="1"/>
  </r>
  <r>
    <x v="0"/>
    <s v="Egypt"/>
    <x v="43"/>
    <x v="213"/>
    <x v="213"/>
    <d v="2025-06-01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15:00"/>
    <d v="1899-12-30T14:30:00"/>
    <n v="0"/>
    <x v="1"/>
  </r>
  <r>
    <x v="0"/>
    <s v="Egypt"/>
    <x v="43"/>
    <x v="213"/>
    <x v="213"/>
    <m/>
    <m/>
    <s v="Break 30 Morning"/>
    <d v="1899-12-30T18:00:00"/>
    <d v="1899-12-30T18:30:00"/>
    <n v="0"/>
    <x v="1"/>
  </r>
  <r>
    <x v="0"/>
    <s v="Egypt"/>
    <x v="43"/>
    <x v="213"/>
    <x v="213"/>
    <d v="2025-06-02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15:00"/>
    <d v="1899-12-30T14:30:00"/>
    <n v="0"/>
    <x v="1"/>
  </r>
  <r>
    <x v="0"/>
    <s v="Egypt"/>
    <x v="43"/>
    <x v="213"/>
    <x v="213"/>
    <m/>
    <m/>
    <s v="Break 30 Morning"/>
    <d v="1899-12-30T17:45:00"/>
    <d v="1899-12-30T18:15:00"/>
    <n v="0"/>
    <x v="1"/>
  </r>
  <r>
    <x v="0"/>
    <s v="Egypt"/>
    <x v="43"/>
    <x v="213"/>
    <x v="213"/>
    <d v="2025-06-03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15:00"/>
    <d v="1899-12-30T14:30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04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3:45:00"/>
    <d v="1899-12-30T14:00:00"/>
    <n v="0"/>
    <x v="1"/>
  </r>
  <r>
    <x v="0"/>
    <s v="Egypt"/>
    <x v="43"/>
    <x v="213"/>
    <x v="213"/>
    <m/>
    <m/>
    <s v="Break 30 Morning"/>
    <d v="1899-12-30T16:45:00"/>
    <d v="1899-12-30T17:15:00"/>
    <n v="0"/>
    <x v="1"/>
  </r>
  <r>
    <x v="0"/>
    <s v="Egypt"/>
    <x v="43"/>
    <x v="213"/>
    <x v="213"/>
    <d v="2025-06-05T00:00:00"/>
    <d v="1899-12-30T08:15:00"/>
    <s v="Absent"/>
    <m/>
    <m/>
    <n v="29700"/>
    <x v="1"/>
  </r>
  <r>
    <x v="0"/>
    <s v="Egypt"/>
    <x v="43"/>
    <x v="213"/>
    <x v="213"/>
    <d v="2025-06-06T00:00:00"/>
    <m/>
    <s v="Day Off"/>
    <m/>
    <m/>
    <n v="0"/>
    <x v="1"/>
  </r>
  <r>
    <x v="0"/>
    <s v="Egypt"/>
    <x v="43"/>
    <x v="213"/>
    <x v="213"/>
    <d v="2025-06-07T00:00:00"/>
    <m/>
    <s v="Day Off"/>
    <m/>
    <m/>
    <n v="0"/>
    <x v="1"/>
  </r>
  <r>
    <x v="0"/>
    <s v="Egypt"/>
    <x v="43"/>
    <x v="213"/>
    <x v="213"/>
    <d v="2025-06-08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3:45:00"/>
    <d v="1899-12-30T14:00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09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3:45:00"/>
    <d v="1899-12-30T14:00:00"/>
    <n v="0"/>
    <x v="1"/>
  </r>
  <r>
    <x v="0"/>
    <s v="Egypt"/>
    <x v="43"/>
    <x v="213"/>
    <x v="213"/>
    <m/>
    <m/>
    <s v="Break 30 Morning"/>
    <d v="1899-12-30T17:00:00"/>
    <d v="1899-12-30T17:30:00"/>
    <n v="0"/>
    <x v="1"/>
  </r>
  <r>
    <x v="0"/>
    <s v="Egypt"/>
    <x v="43"/>
    <x v="213"/>
    <x v="213"/>
    <d v="2025-06-10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2:00:00"/>
    <d v="1899-12-30T12:15:00"/>
    <n v="0"/>
    <x v="1"/>
  </r>
  <r>
    <x v="0"/>
    <s v="Egypt"/>
    <x v="43"/>
    <x v="213"/>
    <x v="213"/>
    <m/>
    <m/>
    <s v="Break 30 Morning"/>
    <d v="1899-12-30T15:15:00"/>
    <d v="1899-12-30T15:45:00"/>
    <n v="0"/>
    <x v="1"/>
  </r>
  <r>
    <x v="0"/>
    <s v="Egypt"/>
    <x v="43"/>
    <x v="213"/>
    <x v="213"/>
    <d v="2025-06-11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00:00"/>
    <d v="1899-12-30T14:15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12T00:00:00"/>
    <m/>
    <s v="Day Off"/>
    <m/>
    <m/>
    <n v="0"/>
    <x v="1"/>
  </r>
  <r>
    <x v="0"/>
    <s v="Egypt"/>
    <x v="43"/>
    <x v="213"/>
    <x v="213"/>
    <d v="2025-06-13T00:00:00"/>
    <m/>
    <s v="Day Off"/>
    <m/>
    <m/>
    <n v="0"/>
    <x v="1"/>
  </r>
  <r>
    <x v="0"/>
    <s v="Egypt"/>
    <x v="43"/>
    <x v="213"/>
    <x v="213"/>
    <d v="2025-06-14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15:00"/>
    <d v="1899-12-30T14:30:00"/>
    <n v="0"/>
    <x v="1"/>
  </r>
  <r>
    <x v="0"/>
    <s v="Egypt"/>
    <x v="43"/>
    <x v="213"/>
    <x v="213"/>
    <m/>
    <m/>
    <s v="Break 30 Morning"/>
    <d v="1899-12-30T17:45:00"/>
    <d v="1899-12-30T18:15:00"/>
    <n v="0"/>
    <x v="1"/>
  </r>
  <r>
    <x v="0"/>
    <s v="Egypt"/>
    <x v="43"/>
    <x v="213"/>
    <x v="213"/>
    <d v="2025-06-15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00:00"/>
    <d v="1899-12-30T14:15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16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3:45:00"/>
    <d v="1899-12-30T14:00:00"/>
    <n v="0"/>
    <x v="1"/>
  </r>
  <r>
    <x v="0"/>
    <s v="Egypt"/>
    <x v="43"/>
    <x v="213"/>
    <x v="213"/>
    <m/>
    <m/>
    <s v="Break 30 Morning"/>
    <d v="1899-12-30T16:45:00"/>
    <d v="1899-12-30T17:15:00"/>
    <n v="0"/>
    <x v="1"/>
  </r>
  <r>
    <x v="0"/>
    <s v="Egypt"/>
    <x v="43"/>
    <x v="213"/>
    <x v="213"/>
    <d v="2025-06-17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1:00:00"/>
    <d v="1899-12-30T11:15:00"/>
    <n v="0"/>
    <x v="1"/>
  </r>
  <r>
    <x v="0"/>
    <s v="Egypt"/>
    <x v="43"/>
    <x v="213"/>
    <x v="213"/>
    <m/>
    <m/>
    <s v="Break 30 Morning"/>
    <d v="1899-12-30T14:15:00"/>
    <d v="1899-12-30T14:45:00"/>
    <n v="0"/>
    <x v="1"/>
  </r>
  <r>
    <x v="0"/>
    <s v="Egypt"/>
    <x v="43"/>
    <x v="213"/>
    <x v="213"/>
    <d v="2025-06-18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30:00"/>
    <d v="1899-12-30T14:45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19T00:00:00"/>
    <m/>
    <s v="Day Off"/>
    <m/>
    <m/>
    <n v="0"/>
    <x v="1"/>
  </r>
  <r>
    <x v="0"/>
    <s v="Egypt"/>
    <x v="43"/>
    <x v="213"/>
    <x v="213"/>
    <d v="2025-06-20T00:00:00"/>
    <m/>
    <s v="Day Off"/>
    <m/>
    <m/>
    <n v="0"/>
    <x v="1"/>
  </r>
  <r>
    <x v="0"/>
    <s v="Egypt"/>
    <x v="43"/>
    <x v="213"/>
    <x v="213"/>
    <d v="2025-06-21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4:15:00"/>
    <d v="1899-12-30T14:30:00"/>
    <n v="0"/>
    <x v="1"/>
  </r>
  <r>
    <x v="0"/>
    <s v="Egypt"/>
    <x v="43"/>
    <x v="213"/>
    <x v="213"/>
    <m/>
    <m/>
    <s v="Break 30 Morning"/>
    <d v="1899-12-30T17:15:00"/>
    <d v="1899-12-30T17:45:00"/>
    <n v="0"/>
    <x v="1"/>
  </r>
  <r>
    <x v="0"/>
    <s v="Egypt"/>
    <x v="43"/>
    <x v="213"/>
    <x v="213"/>
    <d v="2025-06-22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2:30:00"/>
    <d v="1899-12-30T12:45:00"/>
    <n v="0"/>
    <x v="1"/>
  </r>
  <r>
    <x v="0"/>
    <s v="Egypt"/>
    <x v="43"/>
    <x v="213"/>
    <x v="213"/>
    <m/>
    <m/>
    <s v="Break 30 Morning"/>
    <d v="1899-12-30T15:15:00"/>
    <d v="1899-12-30T15:45:00"/>
    <n v="0"/>
    <x v="1"/>
  </r>
  <r>
    <x v="0"/>
    <s v="Egypt"/>
    <x v="43"/>
    <x v="213"/>
    <x v="213"/>
    <d v="2025-06-23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2:15:00"/>
    <d v="1899-12-30T12:30:00"/>
    <n v="0"/>
    <x v="1"/>
  </r>
  <r>
    <x v="0"/>
    <s v="Egypt"/>
    <x v="43"/>
    <x v="213"/>
    <x v="213"/>
    <m/>
    <m/>
    <s v="Break 30 Morning"/>
    <d v="1899-12-30T14:45:00"/>
    <d v="1899-12-30T15:15:00"/>
    <n v="0"/>
    <x v="1"/>
  </r>
  <r>
    <x v="0"/>
    <s v="Egypt"/>
    <x v="43"/>
    <x v="213"/>
    <x v="213"/>
    <d v="2025-06-24T00:00:00"/>
    <m/>
    <s v="Day Off"/>
    <m/>
    <m/>
    <n v="0"/>
    <x v="1"/>
  </r>
  <r>
    <x v="0"/>
    <s v="Egypt"/>
    <x v="43"/>
    <x v="213"/>
    <x v="213"/>
    <d v="2025-06-25T00:00:00"/>
    <m/>
    <s v="Day Off"/>
    <m/>
    <m/>
    <n v="0"/>
    <x v="1"/>
  </r>
  <r>
    <x v="0"/>
    <s v="Egypt"/>
    <x v="43"/>
    <x v="213"/>
    <x v="213"/>
    <d v="2025-06-26T00:00:00"/>
    <d v="1899-12-30T08:15:00"/>
    <s v="Non Telecom Assyot"/>
    <d v="1899-12-30T11:00:00"/>
    <d v="1899-12-30T19:15:00"/>
    <n v="29700"/>
    <x v="0"/>
  </r>
  <r>
    <x v="0"/>
    <s v="Egypt"/>
    <x v="43"/>
    <x v="213"/>
    <x v="213"/>
    <m/>
    <m/>
    <s v="Break 15 Morning"/>
    <d v="1899-12-30T13:00:00"/>
    <d v="1899-12-30T13:15:00"/>
    <n v="0"/>
    <x v="1"/>
  </r>
  <r>
    <x v="0"/>
    <s v="Egypt"/>
    <x v="43"/>
    <x v="213"/>
    <x v="213"/>
    <m/>
    <m/>
    <s v="Break 30 Morning"/>
    <d v="1899-12-30T16:15:00"/>
    <d v="1899-12-30T16:45:00"/>
    <n v="0"/>
    <x v="1"/>
  </r>
  <r>
    <x v="0"/>
    <s v="Egypt"/>
    <x v="43"/>
    <x v="213"/>
    <x v="213"/>
    <d v="2025-06-27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2:30:00"/>
    <d v="1899-12-30T12:45:00"/>
    <n v="0"/>
    <x v="1"/>
  </r>
  <r>
    <x v="0"/>
    <s v="Egypt"/>
    <x v="43"/>
    <x v="213"/>
    <x v="213"/>
    <m/>
    <m/>
    <s v="Break 30 Morning"/>
    <d v="1899-12-30T14:00:00"/>
    <d v="1899-12-30T14:30:00"/>
    <n v="0"/>
    <x v="1"/>
  </r>
  <r>
    <x v="0"/>
    <s v="Egypt"/>
    <x v="43"/>
    <x v="213"/>
    <x v="213"/>
    <d v="2025-06-28T00:00:00"/>
    <d v="1899-12-30T08:15:00"/>
    <s v="Non Telecom Assyot"/>
    <d v="1899-12-30T09:00:00"/>
    <d v="1899-12-30T17:15:00"/>
    <n v="29700"/>
    <x v="0"/>
  </r>
  <r>
    <x v="0"/>
    <s v="Egypt"/>
    <x v="43"/>
    <x v="213"/>
    <x v="213"/>
    <m/>
    <m/>
    <s v="Break 15 Morning"/>
    <d v="1899-12-30T12:30:00"/>
    <d v="1899-12-30T12:45:00"/>
    <n v="0"/>
    <x v="1"/>
  </r>
  <r>
    <x v="0"/>
    <s v="Egypt"/>
    <x v="43"/>
    <x v="213"/>
    <x v="213"/>
    <m/>
    <m/>
    <s v="Break 30 Morning"/>
    <d v="1899-12-30T15:45:00"/>
    <d v="1899-12-30T16:15:00"/>
    <n v="0"/>
    <x v="1"/>
  </r>
  <r>
    <x v="0"/>
    <s v="Egypt"/>
    <x v="43"/>
    <x v="213"/>
    <x v="213"/>
    <d v="2025-06-29T00:00:00"/>
    <d v="1899-12-30T08:15:00"/>
    <s v="Absent"/>
    <m/>
    <m/>
    <n v="29700"/>
    <x v="1"/>
  </r>
  <r>
    <x v="0"/>
    <s v="Egypt"/>
    <x v="43"/>
    <x v="213"/>
    <x v="213"/>
    <d v="2025-06-30T00:00:00"/>
    <d v="1899-12-30T00:00:00"/>
    <s v="Resigned"/>
    <m/>
    <m/>
    <n v="0"/>
    <x v="1"/>
  </r>
  <r>
    <x v="0"/>
    <s v="Egypt"/>
    <x v="6"/>
    <x v="214"/>
    <x v="214"/>
    <d v="2025-06-01T00:00:00"/>
    <d v="1899-12-30T08:15:00"/>
    <s v="Annual Exception"/>
    <m/>
    <m/>
    <n v="29700"/>
    <x v="1"/>
  </r>
  <r>
    <x v="0"/>
    <s v="Egypt"/>
    <x v="6"/>
    <x v="214"/>
    <x v="214"/>
    <d v="2025-06-02T00:00:00"/>
    <m/>
    <s v="Day Off"/>
    <m/>
    <m/>
    <n v="0"/>
    <x v="1"/>
  </r>
  <r>
    <x v="0"/>
    <s v="Egypt"/>
    <x v="6"/>
    <x v="214"/>
    <x v="214"/>
    <d v="2025-06-03T00:00:00"/>
    <m/>
    <s v="Day Off"/>
    <m/>
    <m/>
    <n v="0"/>
    <x v="1"/>
  </r>
  <r>
    <x v="0"/>
    <s v="Egypt"/>
    <x v="6"/>
    <x v="214"/>
    <x v="214"/>
    <d v="2025-06-04T00:00:00"/>
    <d v="1899-12-30T08:15:00"/>
    <s v="Annual Exception"/>
    <m/>
    <m/>
    <n v="29700"/>
    <x v="1"/>
  </r>
  <r>
    <x v="0"/>
    <s v="Egypt"/>
    <x v="6"/>
    <x v="214"/>
    <x v="214"/>
    <d v="2025-06-05T00:00:00"/>
    <d v="1899-12-30T08:15:00"/>
    <s v="Non Telecom"/>
    <d v="1899-12-30T21:00:00"/>
    <s v="+5:15 AM"/>
    <n v="29700"/>
    <x v="0"/>
  </r>
  <r>
    <x v="0"/>
    <s v="Egypt"/>
    <x v="6"/>
    <x v="214"/>
    <x v="214"/>
    <m/>
    <m/>
    <s v="Break 15 Night"/>
    <d v="1899-12-30T23:45:00"/>
    <s v="+12:00 AM"/>
    <n v="0"/>
    <x v="1"/>
  </r>
  <r>
    <x v="0"/>
    <s v="Egypt"/>
    <x v="6"/>
    <x v="214"/>
    <x v="214"/>
    <m/>
    <m/>
    <s v="Break 30 Night"/>
    <s v="+3:15 AM"/>
    <s v="+3:45 AM"/>
    <n v="0"/>
    <x v="1"/>
  </r>
  <r>
    <x v="0"/>
    <s v="Egypt"/>
    <x v="6"/>
    <x v="214"/>
    <x v="214"/>
    <d v="2025-06-06T00:00:00"/>
    <d v="1899-12-30T08:15:00"/>
    <s v="Non Telecom"/>
    <d v="1899-12-30T16:15:00"/>
    <s v="+12:30 AM"/>
    <n v="29700"/>
    <x v="0"/>
  </r>
  <r>
    <x v="0"/>
    <s v="Egypt"/>
    <x v="6"/>
    <x v="214"/>
    <x v="214"/>
    <m/>
    <m/>
    <s v="Break 15 Night"/>
    <d v="1899-12-30T18:30:00"/>
    <d v="1899-12-30T18:45:00"/>
    <n v="0"/>
    <x v="1"/>
  </r>
  <r>
    <x v="0"/>
    <s v="Egypt"/>
    <x v="6"/>
    <x v="214"/>
    <x v="214"/>
    <m/>
    <m/>
    <s v="Break 30 Night"/>
    <d v="1899-12-30T21:30:00"/>
    <d v="1899-12-30T22:00:00"/>
    <n v="0"/>
    <x v="1"/>
  </r>
  <r>
    <x v="0"/>
    <s v="Egypt"/>
    <x v="6"/>
    <x v="214"/>
    <x v="214"/>
    <d v="2025-06-07T00:00:00"/>
    <d v="1899-12-30T08:15:00"/>
    <s v="Non Telecom"/>
    <d v="1899-12-30T21:00:00"/>
    <s v="+5:15 AM"/>
    <n v="29700"/>
    <x v="0"/>
  </r>
  <r>
    <x v="0"/>
    <s v="Egypt"/>
    <x v="6"/>
    <x v="214"/>
    <x v="214"/>
    <m/>
    <m/>
    <s v="Break 15 Night"/>
    <d v="1899-12-30T22:45:00"/>
    <d v="1899-12-30T23:00:00"/>
    <n v="0"/>
    <x v="1"/>
  </r>
  <r>
    <x v="0"/>
    <s v="Egypt"/>
    <x v="6"/>
    <x v="214"/>
    <x v="214"/>
    <m/>
    <m/>
    <s v="Break 30 Night"/>
    <s v="+2:15 AM"/>
    <s v="+2:45 AM"/>
    <n v="0"/>
    <x v="1"/>
  </r>
  <r>
    <x v="0"/>
    <s v="Egypt"/>
    <x v="6"/>
    <x v="214"/>
    <x v="214"/>
    <d v="2025-06-08T00:00:00"/>
    <m/>
    <s v="Day Off"/>
    <m/>
    <m/>
    <n v="0"/>
    <x v="1"/>
  </r>
  <r>
    <x v="0"/>
    <s v="Egypt"/>
    <x v="6"/>
    <x v="214"/>
    <x v="214"/>
    <d v="2025-06-09T00:00:00"/>
    <m/>
    <s v="Day Off"/>
    <m/>
    <m/>
    <n v="0"/>
    <x v="1"/>
  </r>
  <r>
    <x v="0"/>
    <s v="Egypt"/>
    <x v="6"/>
    <x v="214"/>
    <x v="214"/>
    <d v="2025-06-10T00:00:00"/>
    <d v="1899-12-30T08:15:00"/>
    <s v="Support Training"/>
    <m/>
    <m/>
    <n v="29700"/>
    <x v="1"/>
  </r>
  <r>
    <x v="0"/>
    <s v="Egypt"/>
    <x v="6"/>
    <x v="214"/>
    <x v="214"/>
    <d v="2025-06-11T00:00:00"/>
    <d v="1899-12-30T08:15:00"/>
    <s v="Support Training"/>
    <m/>
    <m/>
    <n v="29700"/>
    <x v="1"/>
  </r>
  <r>
    <x v="0"/>
    <s v="Egypt"/>
    <x v="6"/>
    <x v="214"/>
    <x v="214"/>
    <d v="2025-06-12T00:00:00"/>
    <d v="1899-12-30T08:15:00"/>
    <s v="Support Training"/>
    <m/>
    <m/>
    <n v="29700"/>
    <x v="1"/>
  </r>
  <r>
    <x v="0"/>
    <s v="Egypt"/>
    <x v="6"/>
    <x v="214"/>
    <x v="214"/>
    <d v="2025-06-13T00:00:00"/>
    <d v="1899-12-30T08:15:00"/>
    <s v="Support Training"/>
    <m/>
    <m/>
    <n v="29700"/>
    <x v="1"/>
  </r>
  <r>
    <x v="0"/>
    <s v="Egypt"/>
    <x v="6"/>
    <x v="214"/>
    <x v="214"/>
    <d v="2025-06-14T00:00:00"/>
    <d v="1899-12-30T08:15:00"/>
    <s v="Support Training"/>
    <m/>
    <m/>
    <n v="29700"/>
    <x v="1"/>
  </r>
  <r>
    <x v="0"/>
    <s v="Egypt"/>
    <x v="6"/>
    <x v="214"/>
    <x v="214"/>
    <d v="2025-06-15T00:00:00"/>
    <d v="1899-12-30T08:15:00"/>
    <s v="Support Training"/>
    <m/>
    <m/>
    <n v="29700"/>
    <x v="1"/>
  </r>
  <r>
    <x v="0"/>
    <s v="Egypt"/>
    <x v="6"/>
    <x v="214"/>
    <x v="214"/>
    <d v="2025-06-16T00:00:00"/>
    <d v="1899-12-30T08:15:00"/>
    <s v="Annual Exception"/>
    <m/>
    <m/>
    <n v="29700"/>
    <x v="1"/>
  </r>
  <r>
    <x v="0"/>
    <s v="Egypt"/>
    <x v="6"/>
    <x v="214"/>
    <x v="214"/>
    <d v="2025-06-17T00:00:00"/>
    <m/>
    <s v="Day Off"/>
    <m/>
    <m/>
    <n v="0"/>
    <x v="1"/>
  </r>
  <r>
    <x v="0"/>
    <s v="Egypt"/>
    <x v="6"/>
    <x v="214"/>
    <x v="214"/>
    <d v="2025-06-18T00:00:00"/>
    <m/>
    <s v="Day Off"/>
    <m/>
    <m/>
    <n v="0"/>
    <x v="1"/>
  </r>
  <r>
    <x v="0"/>
    <s v="Egypt"/>
    <x v="6"/>
    <x v="214"/>
    <x v="214"/>
    <d v="2025-06-19T00:00:00"/>
    <d v="1899-12-30T00:00:00"/>
    <s v="Resigned Unplanned"/>
    <m/>
    <m/>
    <n v="0"/>
    <x v="1"/>
  </r>
  <r>
    <x v="0"/>
    <s v="Egypt"/>
    <x v="6"/>
    <x v="214"/>
    <x v="214"/>
    <d v="2025-06-20T00:00:00"/>
    <d v="1899-12-30T00:00:00"/>
    <s v="Resigned Unplanned"/>
    <m/>
    <m/>
    <n v="0"/>
    <x v="1"/>
  </r>
  <r>
    <x v="0"/>
    <s v="Egypt"/>
    <x v="6"/>
    <x v="214"/>
    <x v="214"/>
    <d v="2025-06-21T00:00:00"/>
    <d v="1899-12-30T00:00:00"/>
    <s v="Resigned Unplanned"/>
    <m/>
    <m/>
    <n v="0"/>
    <x v="1"/>
  </r>
  <r>
    <x v="0"/>
    <s v="Egypt"/>
    <x v="6"/>
    <x v="214"/>
    <x v="214"/>
    <d v="2025-06-22T00:00:00"/>
    <d v="1899-12-30T00:00:00"/>
    <s v="Resigned"/>
    <m/>
    <m/>
    <n v="0"/>
    <x v="1"/>
  </r>
  <r>
    <x v="0"/>
    <s v="Egypt"/>
    <x v="6"/>
    <x v="214"/>
    <x v="214"/>
    <d v="2025-06-23T00:00:00"/>
    <d v="1899-12-30T00:00:00"/>
    <s v="Resigned"/>
    <m/>
    <m/>
    <n v="0"/>
    <x v="1"/>
  </r>
  <r>
    <x v="0"/>
    <s v="Egypt"/>
    <x v="6"/>
    <x v="214"/>
    <x v="214"/>
    <d v="2025-06-24T00:00:00"/>
    <d v="1899-12-30T00:00:00"/>
    <s v="Resigned"/>
    <m/>
    <m/>
    <n v="0"/>
    <x v="1"/>
  </r>
  <r>
    <x v="0"/>
    <s v="Egypt"/>
    <x v="6"/>
    <x v="214"/>
    <x v="214"/>
    <d v="2025-06-25T00:00:00"/>
    <d v="1899-12-30T00:00:00"/>
    <s v="Resigned"/>
    <m/>
    <m/>
    <n v="0"/>
    <x v="1"/>
  </r>
  <r>
    <x v="0"/>
    <s v="Egypt"/>
    <x v="6"/>
    <x v="214"/>
    <x v="214"/>
    <d v="2025-06-26T00:00:00"/>
    <d v="1899-12-30T00:00:00"/>
    <s v="Resigned"/>
    <m/>
    <m/>
    <n v="0"/>
    <x v="1"/>
  </r>
  <r>
    <x v="0"/>
    <s v="Egypt"/>
    <x v="6"/>
    <x v="214"/>
    <x v="214"/>
    <d v="2025-06-27T00:00:00"/>
    <d v="1899-12-30T00:00:00"/>
    <s v="Resigned"/>
    <m/>
    <m/>
    <n v="0"/>
    <x v="1"/>
  </r>
  <r>
    <x v="0"/>
    <s v="Egypt"/>
    <x v="6"/>
    <x v="214"/>
    <x v="214"/>
    <d v="2025-06-28T00:00:00"/>
    <d v="1899-12-30T00:00:00"/>
    <s v="Resigned"/>
    <m/>
    <m/>
    <n v="0"/>
    <x v="1"/>
  </r>
  <r>
    <x v="0"/>
    <s v="Egypt"/>
    <x v="2"/>
    <x v="215"/>
    <x v="215"/>
    <d v="2025-06-01T00:00:00"/>
    <d v="1899-12-30T08:15:00"/>
    <s v="Non Telecom"/>
    <d v="1899-12-30T10:00:00"/>
    <d v="1899-12-30T18:15:00"/>
    <n v="29700"/>
    <x v="0"/>
  </r>
  <r>
    <x v="0"/>
    <s v="Egypt"/>
    <x v="2"/>
    <x v="215"/>
    <x v="215"/>
    <m/>
    <m/>
    <s v="Break 15 Morning"/>
    <d v="1899-12-30T13:00:00"/>
    <d v="1899-12-30T13:15:00"/>
    <n v="0"/>
    <x v="1"/>
  </r>
  <r>
    <x v="0"/>
    <s v="Egypt"/>
    <x v="2"/>
    <x v="215"/>
    <x v="215"/>
    <m/>
    <m/>
    <s v="Break 30 Morning"/>
    <d v="1899-12-30T16:15:00"/>
    <d v="1899-12-30T16:45:00"/>
    <n v="0"/>
    <x v="1"/>
  </r>
  <r>
    <x v="0"/>
    <s v="Egypt"/>
    <x v="2"/>
    <x v="215"/>
    <x v="215"/>
    <d v="2025-06-02T00:00:00"/>
    <m/>
    <s v="Day Off"/>
    <m/>
    <m/>
    <n v="0"/>
    <x v="1"/>
  </r>
  <r>
    <x v="0"/>
    <s v="Egypt"/>
    <x v="2"/>
    <x v="215"/>
    <x v="215"/>
    <d v="2025-06-03T00:00:00"/>
    <m/>
    <s v="Day Off"/>
    <m/>
    <m/>
    <n v="0"/>
    <x v="1"/>
  </r>
  <r>
    <x v="0"/>
    <s v="Egypt"/>
    <x v="2"/>
    <x v="215"/>
    <x v="215"/>
    <d v="2025-06-04T00:00:00"/>
    <d v="1899-12-30T00:00:00"/>
    <s v="Resigned Unplanned"/>
    <m/>
    <m/>
    <n v="0"/>
    <x v="1"/>
  </r>
  <r>
    <x v="0"/>
    <s v="Egypt"/>
    <x v="2"/>
    <x v="215"/>
    <x v="215"/>
    <d v="2025-06-05T00:00:00"/>
    <d v="1899-12-30T00:00:00"/>
    <s v="Resigned Unplanned"/>
    <m/>
    <m/>
    <n v="0"/>
    <x v="1"/>
  </r>
  <r>
    <x v="0"/>
    <s v="Egypt"/>
    <x v="2"/>
    <x v="215"/>
    <x v="215"/>
    <d v="2025-06-06T00:00:00"/>
    <d v="1899-12-30T00:00:00"/>
    <s v="Resigned Unplanned"/>
    <m/>
    <m/>
    <n v="0"/>
    <x v="1"/>
  </r>
  <r>
    <x v="0"/>
    <s v="Egypt"/>
    <x v="2"/>
    <x v="215"/>
    <x v="215"/>
    <d v="2025-06-07T00:00:00"/>
    <d v="1899-12-30T00:00:00"/>
    <s v="Resigned Unplanned"/>
    <m/>
    <m/>
    <n v="0"/>
    <x v="1"/>
  </r>
  <r>
    <x v="0"/>
    <s v="Egypt"/>
    <x v="2"/>
    <x v="215"/>
    <x v="215"/>
    <d v="2025-06-08T00:00:00"/>
    <d v="1899-12-30T00:00:00"/>
    <s v="Resigned"/>
    <m/>
    <m/>
    <n v="0"/>
    <x v="1"/>
  </r>
  <r>
    <x v="0"/>
    <s v="Egypt"/>
    <x v="2"/>
    <x v="215"/>
    <x v="215"/>
    <d v="2025-06-09T00:00:00"/>
    <d v="1899-12-30T00:00:00"/>
    <s v="Resigned"/>
    <m/>
    <m/>
    <n v="0"/>
    <x v="1"/>
  </r>
  <r>
    <x v="0"/>
    <s v="Egypt"/>
    <x v="2"/>
    <x v="215"/>
    <x v="215"/>
    <d v="2025-06-10T00:00:00"/>
    <d v="1899-12-30T00:00:00"/>
    <s v="Resigned Unplanned"/>
    <m/>
    <m/>
    <n v="0"/>
    <x v="1"/>
  </r>
  <r>
    <x v="0"/>
    <s v="Egypt"/>
    <x v="2"/>
    <x v="215"/>
    <x v="215"/>
    <d v="2025-06-11T00:00:00"/>
    <d v="1899-12-30T00:00:00"/>
    <s v="Resigned Unplanned"/>
    <m/>
    <m/>
    <n v="0"/>
    <x v="1"/>
  </r>
  <r>
    <x v="0"/>
    <s v="Egypt"/>
    <x v="2"/>
    <x v="215"/>
    <x v="215"/>
    <d v="2025-06-12T00:00:00"/>
    <d v="1899-12-30T00:00:00"/>
    <s v="Resigned Unplanned"/>
    <m/>
    <m/>
    <n v="0"/>
    <x v="1"/>
  </r>
  <r>
    <x v="0"/>
    <s v="Egypt"/>
    <x v="2"/>
    <x v="215"/>
    <x v="215"/>
    <d v="2025-06-13T00:00:00"/>
    <d v="1899-12-30T00:00:00"/>
    <s v="Resigned Unplanned"/>
    <m/>
    <m/>
    <n v="0"/>
    <x v="1"/>
  </r>
  <r>
    <x v="0"/>
    <s v="Egypt"/>
    <x v="2"/>
    <x v="215"/>
    <x v="215"/>
    <d v="2025-06-14T00:00:00"/>
    <d v="1899-12-30T00:00:00"/>
    <s v="Resigned Unplanned"/>
    <m/>
    <m/>
    <n v="0"/>
    <x v="1"/>
  </r>
  <r>
    <x v="0"/>
    <s v="Egypt"/>
    <x v="2"/>
    <x v="215"/>
    <x v="215"/>
    <d v="2025-06-15T00:00:00"/>
    <d v="1899-12-30T00:00:00"/>
    <s v="Resigned"/>
    <m/>
    <m/>
    <n v="0"/>
    <x v="1"/>
  </r>
  <r>
    <x v="0"/>
    <s v="Egypt"/>
    <x v="2"/>
    <x v="215"/>
    <x v="215"/>
    <d v="2025-06-16T00:00:00"/>
    <d v="1899-12-30T00:00:00"/>
    <s v="Resigned Unplanned"/>
    <m/>
    <m/>
    <n v="0"/>
    <x v="1"/>
  </r>
  <r>
    <x v="0"/>
    <s v="Egypt"/>
    <x v="2"/>
    <x v="215"/>
    <x v="215"/>
    <d v="2025-06-17T00:00:00"/>
    <d v="1899-12-30T00:00:00"/>
    <s v="Resigned Unplanned"/>
    <m/>
    <m/>
    <n v="0"/>
    <x v="1"/>
  </r>
  <r>
    <x v="0"/>
    <s v="Egypt"/>
    <x v="2"/>
    <x v="215"/>
    <x v="215"/>
    <d v="2025-06-18T00:00:00"/>
    <d v="1899-12-30T00:00:00"/>
    <s v="Resigned Unplanned"/>
    <m/>
    <m/>
    <n v="0"/>
    <x v="1"/>
  </r>
  <r>
    <x v="0"/>
    <s v="Egypt"/>
    <x v="2"/>
    <x v="215"/>
    <x v="215"/>
    <d v="2025-06-19T00:00:00"/>
    <d v="1899-12-30T00:00:00"/>
    <s v="Resigned Unplanned"/>
    <m/>
    <m/>
    <n v="0"/>
    <x v="1"/>
  </r>
  <r>
    <x v="0"/>
    <s v="Egypt"/>
    <x v="2"/>
    <x v="215"/>
    <x v="215"/>
    <d v="2025-06-20T00:00:00"/>
    <d v="1899-12-30T00:00:00"/>
    <s v="Resigned Unplanned"/>
    <m/>
    <m/>
    <n v="0"/>
    <x v="1"/>
  </r>
  <r>
    <x v="0"/>
    <s v="Egypt"/>
    <x v="2"/>
    <x v="215"/>
    <x v="215"/>
    <d v="2025-06-21T00:00:00"/>
    <d v="1899-12-30T00:00:00"/>
    <s v="Resigned"/>
    <m/>
    <m/>
    <n v="0"/>
    <x v="1"/>
  </r>
  <r>
    <x v="0"/>
    <s v="Egypt"/>
    <x v="2"/>
    <x v="215"/>
    <x v="215"/>
    <d v="2025-06-22T00:00:00"/>
    <d v="1899-12-30T00:00:00"/>
    <s v="Resigned"/>
    <m/>
    <m/>
    <n v="0"/>
    <x v="1"/>
  </r>
  <r>
    <x v="0"/>
    <s v="Egypt"/>
    <x v="2"/>
    <x v="215"/>
    <x v="215"/>
    <d v="2025-06-23T00:00:00"/>
    <d v="1899-12-30T00:00:00"/>
    <s v="Resigned"/>
    <m/>
    <m/>
    <n v="0"/>
    <x v="1"/>
  </r>
  <r>
    <x v="0"/>
    <s v="Egypt"/>
    <x v="2"/>
    <x v="215"/>
    <x v="215"/>
    <d v="2025-06-24T00:00:00"/>
    <d v="1899-12-30T00:00:00"/>
    <s v="Resigned"/>
    <m/>
    <m/>
    <n v="0"/>
    <x v="1"/>
  </r>
  <r>
    <x v="0"/>
    <s v="Egypt"/>
    <x v="2"/>
    <x v="215"/>
    <x v="215"/>
    <d v="2025-06-25T00:00:00"/>
    <d v="1899-12-30T00:00:00"/>
    <s v="Resigned"/>
    <m/>
    <m/>
    <n v="0"/>
    <x v="1"/>
  </r>
  <r>
    <x v="0"/>
    <s v="Egypt"/>
    <x v="2"/>
    <x v="215"/>
    <x v="215"/>
    <d v="2025-06-26T00:00:00"/>
    <d v="1899-12-30T00:00:00"/>
    <s v="Resigned"/>
    <m/>
    <m/>
    <n v="0"/>
    <x v="1"/>
  </r>
  <r>
    <x v="0"/>
    <s v="Egypt"/>
    <x v="2"/>
    <x v="215"/>
    <x v="215"/>
    <d v="2025-06-27T00:00:00"/>
    <d v="1899-12-30T00:00:00"/>
    <s v="Resigned"/>
    <m/>
    <m/>
    <n v="0"/>
    <x v="1"/>
  </r>
  <r>
    <x v="0"/>
    <s v="Egypt"/>
    <x v="2"/>
    <x v="215"/>
    <x v="215"/>
    <d v="2025-06-28T00:00:00"/>
    <d v="1899-12-30T00:00:00"/>
    <s v="Resigned"/>
    <m/>
    <m/>
    <n v="0"/>
    <x v="1"/>
  </r>
  <r>
    <x v="1"/>
    <m/>
    <x v="44"/>
    <x v="216"/>
    <x v="216"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2744C-E70B-4AF9-888F-7949BBF68734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6" indent="0" outline="1" outlineData="1" multipleFieldFilters="0" rowHeaderCaption="Site">
  <location ref="A3:C220" firstHeaderRow="1" firstDataRow="1" firstDataCol="3"/>
  <pivotFields count="12">
    <pivotField axis="axisRow" outline="0" showAll="0" defaultSubtotal="0">
      <items count="3">
        <item m="1" x="2"/>
        <item h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outline="0" showAll="0" sortType="ascending" defaultSubtotal="0">
      <items count="93">
        <item h="1" m="1" x="46"/>
        <item m="1" x="86"/>
        <item m="1" x="53"/>
        <item m="1" x="70"/>
        <item m="1" x="67"/>
        <item h="1" m="1" x="83"/>
        <item h="1" m="1" x="85"/>
        <item h="1" m="1" x="89"/>
        <item h="1" m="1" x="58"/>
        <item m="1" x="68"/>
        <item m="1" x="79"/>
        <item m="1" x="54"/>
        <item m="1" x="76"/>
        <item m="1" x="57"/>
        <item h="1" m="1" x="82"/>
        <item m="1" x="88"/>
        <item h="1" m="1" x="90"/>
        <item h="1" m="1" x="78"/>
        <item m="1" x="74"/>
        <item m="1" x="71"/>
        <item h="1" m="1" x="45"/>
        <item h="1" m="1" x="92"/>
        <item m="1" x="84"/>
        <item m="1" x="69"/>
        <item m="1" x="72"/>
        <item h="1" m="1" x="87"/>
        <item m="1" x="75"/>
        <item h="1" x="41"/>
        <item h="1" m="1" x="73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m="1" x="59"/>
        <item h="1" x="27"/>
        <item h="1" x="40"/>
        <item h="1" x="28"/>
        <item h="1" m="1" x="60"/>
        <item h="1" x="29"/>
        <item h="1" m="1" x="47"/>
        <item h="1" x="30"/>
        <item h="1" m="1" x="61"/>
        <item h="1" x="31"/>
        <item h="1" m="1" x="48"/>
        <item h="1" x="32"/>
        <item h="1" m="1" x="62"/>
        <item h="1" x="33"/>
        <item h="1" m="1" x="49"/>
        <item h="1" x="34"/>
        <item h="1" m="1" x="63"/>
        <item h="1" x="35"/>
        <item h="1" m="1" x="50"/>
        <item h="1" x="36"/>
        <item h="1" m="1" x="64"/>
        <item h="1" x="37"/>
        <item h="1" m="1" x="51"/>
        <item h="1" x="38"/>
        <item h="1" x="43"/>
        <item h="1" x="39"/>
        <item h="1" x="42"/>
        <item h="1" m="1" x="65"/>
        <item h="1" m="1" x="52"/>
        <item m="1" x="81"/>
        <item h="1" m="1" x="77"/>
        <item m="1" x="55"/>
        <item h="1" m="1" x="91"/>
        <item h="1" m="1" x="56"/>
        <item h="1" m="1" x="66"/>
        <item h="1" m="1" x="80"/>
        <item h="1"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outline="0" showAll="0" defaultSubtotal="0">
      <items count="449">
        <item m="1" x="313"/>
        <item m="1" x="236"/>
        <item m="1" x="356"/>
        <item m="1" x="432"/>
        <item m="1" x="220"/>
        <item m="1" x="332"/>
        <item m="1" x="343"/>
        <item m="1" x="374"/>
        <item m="1" x="410"/>
        <item m="1" x="250"/>
        <item m="1" x="274"/>
        <item m="1" x="326"/>
        <item m="1" x="350"/>
        <item x="213"/>
        <item m="1" x="389"/>
        <item m="1" x="417"/>
        <item m="1" x="443"/>
        <item m="1" x="222"/>
        <item m="1" x="290"/>
        <item m="1" x="244"/>
        <item m="1" x="224"/>
        <item m="1" x="446"/>
        <item m="1" x="257"/>
        <item m="1" x="372"/>
        <item m="1" x="358"/>
        <item m="1" x="308"/>
        <item m="1" x="427"/>
        <item m="1" x="227"/>
        <item m="1" x="240"/>
        <item m="1" x="431"/>
        <item m="1" x="366"/>
        <item m="1" x="394"/>
        <item m="1" x="401"/>
        <item m="1" x="280"/>
        <item m="1" x="318"/>
        <item x="216"/>
        <item m="1" x="295"/>
        <item m="1" x="231"/>
        <item m="1" x="234"/>
        <item m="1" x="282"/>
        <item m="1" x="265"/>
        <item m="1" x="320"/>
        <item m="1" x="362"/>
        <item m="1" x="230"/>
        <item m="1" x="396"/>
        <item m="1" x="245"/>
        <item m="1" x="423"/>
        <item m="1" x="398"/>
        <item m="1" x="278"/>
        <item m="1" x="418"/>
        <item m="1" x="324"/>
        <item m="1" x="381"/>
        <item m="1" x="405"/>
        <item m="1" x="382"/>
        <item m="1" x="225"/>
        <item x="204"/>
        <item m="1" x="312"/>
        <item m="1" x="415"/>
        <item m="1" x="292"/>
        <item m="1" x="357"/>
        <item m="1" x="217"/>
        <item m="1" x="297"/>
        <item x="70"/>
        <item m="1" x="336"/>
        <item x="88"/>
        <item x="109"/>
        <item m="1" x="409"/>
        <item x="21"/>
        <item m="1" x="322"/>
        <item m="1" x="351"/>
        <item x="26"/>
        <item m="1" x="360"/>
        <item m="1" x="218"/>
        <item x="209"/>
        <item x="1"/>
        <item x="101"/>
        <item m="1" x="263"/>
        <item x="95"/>
        <item m="1" x="286"/>
        <item x="78"/>
        <item m="1" x="294"/>
        <item m="1" x="261"/>
        <item x="140"/>
        <item m="1" x="276"/>
        <item m="1" x="341"/>
        <item x="96"/>
        <item x="30"/>
        <item m="1" x="311"/>
        <item m="1" x="445"/>
        <item m="1" x="407"/>
        <item m="1" x="300"/>
        <item m="1" x="293"/>
        <item m="1" x="251"/>
        <item m="1" x="397"/>
        <item x="65"/>
        <item m="1" x="283"/>
        <item m="1" x="302"/>
        <item m="1" x="296"/>
        <item m="1" x="298"/>
        <item x="128"/>
        <item x="92"/>
        <item m="1" x="260"/>
        <item m="1" x="425"/>
        <item m="1" x="441"/>
        <item m="1" x="256"/>
        <item m="1" x="325"/>
        <item x="85"/>
        <item m="1" x="334"/>
        <item m="1" x="406"/>
        <item m="1" x="387"/>
        <item m="1" x="247"/>
        <item m="1" x="433"/>
        <item m="1" x="402"/>
        <item x="20"/>
        <item x="212"/>
        <item m="1" x="235"/>
        <item m="1" x="365"/>
        <item m="1" x="258"/>
        <item x="69"/>
        <item m="1" x="271"/>
        <item m="1" x="264"/>
        <item m="1" x="408"/>
        <item x="107"/>
        <item x="27"/>
        <item m="1" x="430"/>
        <item x="48"/>
        <item m="1" x="419"/>
        <item m="1" x="335"/>
        <item x="31"/>
        <item x="47"/>
        <item m="1" x="411"/>
        <item m="1" x="249"/>
        <item x="10"/>
        <item x="43"/>
        <item x="53"/>
        <item x="14"/>
        <item m="1" x="436"/>
        <item m="1" x="388"/>
        <item m="1" x="339"/>
        <item m="1" x="354"/>
        <item m="1" x="319"/>
        <item x="215"/>
        <item x="114"/>
        <item m="1" x="340"/>
        <item x="84"/>
        <item m="1" x="404"/>
        <item x="52"/>
        <item m="1" x="352"/>
        <item x="25"/>
        <item x="51"/>
        <item m="1" x="444"/>
        <item m="1" x="243"/>
        <item m="1" x="314"/>
        <item x="83"/>
        <item m="1" x="447"/>
        <item x="7"/>
        <item m="1" x="363"/>
        <item m="1" x="395"/>
        <item m="1" x="321"/>
        <item m="1" x="428"/>
        <item m="1" x="434"/>
        <item m="1" x="347"/>
        <item x="100"/>
        <item m="1" x="392"/>
        <item m="1" x="346"/>
        <item x="110"/>
        <item m="1" x="289"/>
        <item x="4"/>
        <item x="150"/>
        <item m="1" x="310"/>
        <item m="1" x="301"/>
        <item m="1" x="386"/>
        <item m="1" x="269"/>
        <item m="1" x="226"/>
        <item m="1" x="229"/>
        <item m="1" x="219"/>
        <item m="1" x="259"/>
        <item m="1" x="329"/>
        <item m="1" x="393"/>
        <item m="1" x="232"/>
        <item m="1" x="309"/>
        <item m="1" x="378"/>
        <item x="119"/>
        <item m="1" x="273"/>
        <item m="1" x="253"/>
        <item m="1" x="254"/>
        <item x="8"/>
        <item m="1" x="384"/>
        <item m="1" x="373"/>
        <item x="0"/>
        <item m="1" x="370"/>
        <item x="81"/>
        <item m="1" x="426"/>
        <item x="35"/>
        <item m="1" x="277"/>
        <item x="108"/>
        <item x="9"/>
        <item m="1" x="348"/>
        <item x="77"/>
        <item x="5"/>
        <item x="206"/>
        <item x="115"/>
        <item x="18"/>
        <item m="1" x="338"/>
        <item m="1" x="299"/>
        <item x="6"/>
        <item x="207"/>
        <item m="1" x="438"/>
        <item m="1" x="437"/>
        <item x="98"/>
        <item x="50"/>
        <item m="1" x="349"/>
        <item x="49"/>
        <item m="1" x="268"/>
        <item x="2"/>
        <item x="214"/>
        <item x="97"/>
        <item m="1" x="270"/>
        <item m="1" x="246"/>
        <item m="1" x="306"/>
        <item m="1" x="380"/>
        <item m="1" x="315"/>
        <item x="42"/>
        <item x="79"/>
        <item m="1" x="442"/>
        <item x="205"/>
        <item x="41"/>
        <item m="1" x="337"/>
        <item m="1" x="238"/>
        <item x="102"/>
        <item m="1" x="448"/>
        <item m="1" x="262"/>
        <item m="1" x="403"/>
        <item m="1" x="266"/>
        <item x="17"/>
        <item m="1" x="344"/>
        <item x="129"/>
        <item m="1" x="424"/>
        <item m="1" x="412"/>
        <item m="1" x="307"/>
        <item m="1" x="288"/>
        <item m="1" x="368"/>
        <item m="1" x="429"/>
        <item x="80"/>
        <item m="1" x="330"/>
        <item x="23"/>
        <item m="1" x="353"/>
        <item x="60"/>
        <item x="62"/>
        <item m="1" x="285"/>
        <item x="99"/>
        <item m="1" x="400"/>
        <item x="116"/>
        <item m="1" x="342"/>
        <item x="28"/>
        <item x="29"/>
        <item m="1" x="440"/>
        <item x="57"/>
        <item m="1" x="223"/>
        <item x="72"/>
        <item x="73"/>
        <item x="211"/>
        <item x="63"/>
        <item m="1" x="367"/>
        <item x="82"/>
        <item x="87"/>
        <item m="1" x="355"/>
        <item x="105"/>
        <item m="1" x="323"/>
        <item m="1" x="281"/>
        <item x="12"/>
        <item m="1" x="345"/>
        <item x="16"/>
        <item x="11"/>
        <item x="24"/>
        <item m="1" x="233"/>
        <item x="36"/>
        <item m="1" x="287"/>
        <item m="1" x="383"/>
        <item m="1" x="364"/>
        <item m="1" x="399"/>
        <item m="1" x="327"/>
        <item x="54"/>
        <item x="55"/>
        <item x="44"/>
        <item x="46"/>
        <item x="58"/>
        <item m="1" x="371"/>
        <item x="64"/>
        <item x="126"/>
        <item x="68"/>
        <item m="1" x="279"/>
        <item m="1" x="379"/>
        <item m="1" x="416"/>
        <item x="90"/>
        <item x="86"/>
        <item x="93"/>
        <item m="1" x="239"/>
        <item m="1" x="377"/>
        <item x="106"/>
        <item x="117"/>
        <item m="1" x="413"/>
        <item x="104"/>
        <item x="13"/>
        <item x="202"/>
        <item m="1" x="284"/>
        <item m="1" x="331"/>
        <item m="1" x="304"/>
        <item m="1" x="252"/>
        <item m="1" x="390"/>
        <item x="59"/>
        <item m="1" x="272"/>
        <item x="75"/>
        <item x="66"/>
        <item x="67"/>
        <item x="143"/>
        <item x="22"/>
        <item m="1" x="317"/>
        <item x="118"/>
        <item m="1" x="435"/>
        <item m="1" x="369"/>
        <item x="103"/>
        <item x="91"/>
        <item x="15"/>
        <item x="3"/>
        <item x="19"/>
        <item x="37"/>
        <item x="38"/>
        <item x="39"/>
        <item x="40"/>
        <item m="1" x="275"/>
        <item m="1" x="420"/>
        <item x="61"/>
        <item x="71"/>
        <item x="89"/>
        <item m="1" x="291"/>
        <item m="1" x="242"/>
        <item x="94"/>
        <item m="1" x="248"/>
        <item x="112"/>
        <item x="113"/>
        <item m="1" x="359"/>
        <item m="1" x="237"/>
        <item m="1" x="391"/>
        <item x="32"/>
        <item x="33"/>
        <item x="34"/>
        <item x="45"/>
        <item x="56"/>
        <item m="1" x="305"/>
        <item m="1" x="333"/>
        <item x="76"/>
        <item x="74"/>
        <item x="111"/>
        <item m="1" x="228"/>
        <item m="1" x="376"/>
        <item x="123"/>
        <item x="132"/>
        <item x="135"/>
        <item x="136"/>
        <item x="138"/>
        <item x="141"/>
        <item x="144"/>
        <item x="145"/>
        <item x="147"/>
        <item x="149"/>
        <item x="152"/>
        <item x="153"/>
        <item x="157"/>
        <item x="160"/>
        <item x="161"/>
        <item x="163"/>
        <item x="164"/>
        <item x="167"/>
        <item x="168"/>
        <item x="169"/>
        <item x="172"/>
        <item m="1" x="439"/>
        <item x="175"/>
        <item x="178"/>
        <item x="181"/>
        <item x="184"/>
        <item x="185"/>
        <item x="186"/>
        <item x="187"/>
        <item x="193"/>
        <item x="195"/>
        <item x="198"/>
        <item x="210"/>
        <item x="199"/>
        <item x="201"/>
        <item x="121"/>
        <item x="125"/>
        <item x="134"/>
        <item m="1" x="328"/>
        <item x="176"/>
        <item m="1" x="361"/>
        <item m="1" x="303"/>
        <item m="1" x="316"/>
        <item m="1" x="241"/>
        <item m="1" x="375"/>
        <item m="1" x="414"/>
        <item m="1" x="422"/>
        <item m="1" x="255"/>
        <item m="1" x="267"/>
        <item m="1" x="421"/>
        <item m="1" x="385"/>
        <item x="122"/>
        <item x="203"/>
        <item x="131"/>
        <item x="139"/>
        <item x="148"/>
        <item x="155"/>
        <item x="156"/>
        <item x="162"/>
        <item x="170"/>
        <item x="182"/>
        <item x="183"/>
        <item x="188"/>
        <item x="191"/>
        <item x="197"/>
        <item m="1" x="221"/>
        <item x="120"/>
        <item x="124"/>
        <item x="127"/>
        <item x="130"/>
        <item x="133"/>
        <item x="137"/>
        <item x="142"/>
        <item x="146"/>
        <item x="151"/>
        <item x="154"/>
        <item x="158"/>
        <item x="159"/>
        <item x="165"/>
        <item x="166"/>
        <item x="171"/>
        <item x="173"/>
        <item x="174"/>
        <item x="177"/>
        <item x="179"/>
        <item x="180"/>
        <item x="189"/>
        <item x="190"/>
        <item x="192"/>
        <item x="194"/>
        <item x="196"/>
        <item x="200"/>
        <item x="2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489">
        <item m="1" x="223"/>
        <item m="1" x="353"/>
        <item m="1" x="378"/>
        <item m="1" x="346"/>
        <item m="1" x="341"/>
        <item m="1" x="468"/>
        <item m="1" x="359"/>
        <item m="1" x="371"/>
        <item m="1" x="343"/>
        <item m="1" x="321"/>
        <item m="1" x="445"/>
        <item m="1" x="263"/>
        <item m="1" x="293"/>
        <item m="1" x="434"/>
        <item m="1" x="442"/>
        <item m="1" x="221"/>
        <item m="1" x="424"/>
        <item m="1" x="459"/>
        <item m="1" x="356"/>
        <item m="1" x="324"/>
        <item m="1" x="226"/>
        <item m="1" x="464"/>
        <item m="1" x="284"/>
        <item m="1" x="297"/>
        <item m="1" x="295"/>
        <item m="1" x="345"/>
        <item m="1" x="482"/>
        <item m="1" x="453"/>
        <item m="1" x="349"/>
        <item m="1" x="248"/>
        <item m="1" x="335"/>
        <item m="1" x="455"/>
        <item m="1" x="469"/>
        <item m="1" x="457"/>
        <item m="1" x="412"/>
        <item x="216"/>
        <item m="1" x="294"/>
        <item m="1" x="243"/>
        <item m="1" x="300"/>
        <item m="1" x="253"/>
        <item m="1" x="314"/>
        <item m="1" x="238"/>
        <item m="1" x="233"/>
        <item m="1" x="420"/>
        <item m="1" x="432"/>
        <item m="1" x="415"/>
        <item m="1" x="301"/>
        <item m="1" x="242"/>
        <item m="1" x="307"/>
        <item m="1" x="280"/>
        <item m="1" x="299"/>
        <item m="1" x="328"/>
        <item m="1" x="485"/>
        <item m="1" x="327"/>
        <item m="1" x="377"/>
        <item m="1" x="363"/>
        <item m="1" x="427"/>
        <item m="1" x="318"/>
        <item m="1" x="338"/>
        <item m="1" x="436"/>
        <item m="1" x="298"/>
        <item m="1" x="234"/>
        <item m="1" x="452"/>
        <item x="70"/>
        <item m="1" x="306"/>
        <item x="88"/>
        <item x="109"/>
        <item m="1" x="323"/>
        <item x="21"/>
        <item m="1" x="479"/>
        <item m="1" x="227"/>
        <item x="26"/>
        <item m="1" x="247"/>
        <item m="1" x="285"/>
        <item x="209"/>
        <item x="1"/>
        <item x="101"/>
        <item m="1" x="352"/>
        <item x="95"/>
        <item m="1" x="219"/>
        <item x="78"/>
        <item m="1" x="222"/>
        <item m="1" x="414"/>
        <item m="1" x="228"/>
        <item m="1" x="425"/>
        <item m="1" x="470"/>
        <item x="96"/>
        <item n="MOSTAFA .SHOKRY" x="30"/>
        <item m="1" x="360"/>
        <item m="1" x="265"/>
        <item m="1" x="257"/>
        <item m="1" x="272"/>
        <item m="1" x="456"/>
        <item m="1" x="423"/>
        <item m="1" x="365"/>
        <item x="65"/>
        <item m="1" x="381"/>
        <item m="1" x="403"/>
        <item m="1" x="340"/>
        <item m="1" x="408"/>
        <item m="1" x="225"/>
        <item x="92"/>
        <item m="1" x="283"/>
        <item m="1" x="386"/>
        <item m="1" x="273"/>
        <item m="1" x="260"/>
        <item m="1" x="250"/>
        <item x="85"/>
        <item m="1" x="239"/>
        <item m="1" x="309"/>
        <item m="1" x="276"/>
        <item m="1" x="384"/>
        <item m="1" x="229"/>
        <item m="1" x="266"/>
        <item x="20"/>
        <item x="212"/>
        <item m="1" x="286"/>
        <item m="1" x="332"/>
        <item m="1" x="330"/>
        <item x="69"/>
        <item m="1" x="474"/>
        <item m="1" x="264"/>
        <item m="1" x="437"/>
        <item x="107"/>
        <item x="27"/>
        <item m="1" x="429"/>
        <item m="1" x="399"/>
        <item m="1" x="326"/>
        <item m="1" x="380"/>
        <item x="31"/>
        <item x="47"/>
        <item m="1" x="390"/>
        <item m="1" x="261"/>
        <item x="10"/>
        <item x="43"/>
        <item x="53"/>
        <item x="14"/>
        <item m="1" x="220"/>
        <item m="1" x="428"/>
        <item m="1" x="235"/>
        <item m="1" x="444"/>
        <item m="1" x="475"/>
        <item x="215"/>
        <item m="1" x="435"/>
        <item m="1" x="355"/>
        <item x="84"/>
        <item m="1" x="268"/>
        <item x="52"/>
        <item m="1" x="292"/>
        <item m="1" x="362"/>
        <item x="51"/>
        <item m="1" x="472"/>
        <item m="1" x="252"/>
        <item m="1" x="465"/>
        <item x="83"/>
        <item m="1" x="311"/>
        <item x="7"/>
        <item m="1" x="270"/>
        <item m="1" x="383"/>
        <item m="1" x="329"/>
        <item m="1" x="333"/>
        <item m="1" x="389"/>
        <item m="1" x="267"/>
        <item x="100"/>
        <item m="1" x="373"/>
        <item m="1" x="476"/>
        <item x="110"/>
        <item m="1" x="334"/>
        <item x="4"/>
        <item m="1" x="438"/>
        <item m="1" x="370"/>
        <item m="1" x="354"/>
        <item m="1" x="320"/>
        <item m="1" x="277"/>
        <item m="1" x="409"/>
        <item m="1" x="450"/>
        <item m="1" x="443"/>
        <item m="1" x="451"/>
        <item m="1" x="388"/>
        <item m="1" x="400"/>
        <item m="1" x="357"/>
        <item m="1" x="302"/>
        <item m="1" x="291"/>
        <item m="1" x="406"/>
        <item m="1" x="254"/>
        <item m="1" x="433"/>
        <item m="1" x="387"/>
        <item m="1" x="416"/>
        <item x="8"/>
        <item m="1" x="344"/>
        <item m="1" x="251"/>
        <item m="1" x="339"/>
        <item x="0"/>
        <item m="1" x="369"/>
        <item x="81"/>
        <item m="1" x="376"/>
        <item x="35"/>
        <item m="1" x="278"/>
        <item x="108"/>
        <item x="9"/>
        <item m="1" x="481"/>
        <item m="1" x="394"/>
        <item x="5"/>
        <item x="206"/>
        <item x="115"/>
        <item x="18"/>
        <item m="1" x="471"/>
        <item m="1" x="404"/>
        <item x="6"/>
        <item x="207"/>
        <item m="1" x="396"/>
        <item m="1" x="296"/>
        <item x="114"/>
        <item x="98"/>
        <item x="48"/>
        <item x="50"/>
        <item m="1" x="290"/>
        <item x="49"/>
        <item m="1" x="402"/>
        <item x="2"/>
        <item x="214"/>
        <item x="97"/>
        <item m="1" x="282"/>
        <item m="1" x="255"/>
        <item m="1" x="484"/>
        <item m="1" x="258"/>
        <item m="1" x="410"/>
        <item x="204"/>
        <item m="1" x="237"/>
        <item x="42"/>
        <item x="79"/>
        <item m="1" x="441"/>
        <item x="205"/>
        <item x="41"/>
        <item m="1" x="244"/>
        <item m="1" x="351"/>
        <item x="77"/>
        <item m="1" x="218"/>
        <item m="1" x="287"/>
        <item x="102"/>
        <item m="1" x="372"/>
        <item m="1" x="477"/>
        <item m="1" x="304"/>
        <item m="1" x="398"/>
        <item m="1" x="316"/>
        <item m="1" x="375"/>
        <item m="1" x="249"/>
        <item m="1" x="364"/>
        <item m="1" x="259"/>
        <item m="1" x="305"/>
        <item m="1" x="405"/>
        <item m="1" x="367"/>
        <item m="1" x="421"/>
        <item m="1" x="448"/>
        <item m="1" x="430"/>
        <item x="23"/>
        <item m="1" x="325"/>
        <item x="60"/>
        <item x="62"/>
        <item m="1" x="407"/>
        <item x="99"/>
        <item m="1" x="358"/>
        <item m="1" x="487"/>
        <item m="1" x="281"/>
        <item x="17"/>
        <item m="1" x="461"/>
        <item x="28"/>
        <item x="29"/>
        <item m="1" x="232"/>
        <item x="57"/>
        <item m="1" x="466"/>
        <item m="1" x="486"/>
        <item x="72"/>
        <item x="73"/>
        <item x="211"/>
        <item x="63"/>
        <item m="1" x="231"/>
        <item x="82"/>
        <item x="87"/>
        <item m="1" x="342"/>
        <item m="1" x="274"/>
        <item x="105"/>
        <item m="1" x="439"/>
        <item m="1" x="310"/>
        <item x="12"/>
        <item m="1" x="336"/>
        <item x="16"/>
        <item x="11"/>
        <item x="24"/>
        <item m="1" x="395"/>
        <item x="36"/>
        <item m="1" x="454"/>
        <item m="1" x="262"/>
        <item m="1" x="401"/>
        <item m="1" x="317"/>
        <item m="1" x="275"/>
        <item x="54"/>
        <item x="55"/>
        <item x="44"/>
        <item x="46"/>
        <item x="58"/>
        <item m="1" x="366"/>
        <item x="64"/>
        <item m="1" x="379"/>
        <item x="68"/>
        <item m="1" x="382"/>
        <item m="1" x="431"/>
        <item m="1" x="322"/>
        <item m="1" x="240"/>
        <item x="90"/>
        <item x="86"/>
        <item x="93"/>
        <item x="80"/>
        <item m="1" x="319"/>
        <item m="1" x="483"/>
        <item x="106"/>
        <item x="116"/>
        <item x="117"/>
        <item m="1" x="303"/>
        <item x="104"/>
        <item x="13"/>
        <item x="202"/>
        <item m="1" x="361"/>
        <item m="1" x="347"/>
        <item m="1" x="467"/>
        <item x="25"/>
        <item m="1" x="217"/>
        <item m="1" x="312"/>
        <item x="59"/>
        <item m="1" x="313"/>
        <item x="75"/>
        <item x="66"/>
        <item x="67"/>
        <item m="1" x="337"/>
        <item x="22"/>
        <item m="1" x="417"/>
        <item x="118"/>
        <item m="1" x="288"/>
        <item m="1" x="480"/>
        <item x="103"/>
        <item x="91"/>
        <item x="15"/>
        <item x="3"/>
        <item x="19"/>
        <item x="37"/>
        <item x="38"/>
        <item x="39"/>
        <item x="40"/>
        <item m="1" x="331"/>
        <item m="1" x="350"/>
        <item x="61"/>
        <item x="71"/>
        <item x="89"/>
        <item m="1" x="391"/>
        <item m="1" x="348"/>
        <item x="94"/>
        <item m="1" x="426"/>
        <item x="112"/>
        <item x="113"/>
        <item m="1" x="315"/>
        <item m="1" x="246"/>
        <item x="119"/>
        <item m="1" x="460"/>
        <item m="1" x="241"/>
        <item m="1" x="446"/>
        <item m="1" x="236"/>
        <item m="1" x="449"/>
        <item m="1" x="224"/>
        <item m="1" x="230"/>
        <item m="1" x="440"/>
        <item m="1" x="463"/>
        <item m="1" x="462"/>
        <item m="1" x="308"/>
        <item m="1" x="473"/>
        <item x="32"/>
        <item x="33"/>
        <item x="34"/>
        <item x="45"/>
        <item m="1" x="447"/>
        <item x="56"/>
        <item m="1" x="289"/>
        <item m="1" x="419"/>
        <item x="76"/>
        <item x="74"/>
        <item x="111"/>
        <item m="1" x="418"/>
        <item m="1" x="478"/>
        <item m="1" x="392"/>
        <item x="123"/>
        <item x="132"/>
        <item x="135"/>
        <item x="136"/>
        <item x="138"/>
        <item x="140"/>
        <item x="141"/>
        <item x="144"/>
        <item x="145"/>
        <item x="147"/>
        <item x="149"/>
        <item x="152"/>
        <item x="153"/>
        <item x="157"/>
        <item x="160"/>
        <item x="161"/>
        <item x="163"/>
        <item x="164"/>
        <item x="167"/>
        <item x="168"/>
        <item x="169"/>
        <item x="172"/>
        <item m="1" x="269"/>
        <item x="175"/>
        <item x="178"/>
        <item x="181"/>
        <item x="184"/>
        <item x="185"/>
        <item x="186"/>
        <item x="187"/>
        <item x="193"/>
        <item x="195"/>
        <item x="198"/>
        <item x="210"/>
        <item x="199"/>
        <item x="201"/>
        <item x="121"/>
        <item x="125"/>
        <item x="134"/>
        <item m="1" x="422"/>
        <item x="176"/>
        <item m="1" x="458"/>
        <item m="1" x="279"/>
        <item m="1" x="368"/>
        <item m="1" x="397"/>
        <item m="1" x="411"/>
        <item m="1" x="413"/>
        <item m="1" x="374"/>
        <item m="1" x="271"/>
        <item m="1" x="256"/>
        <item m="1" x="385"/>
        <item m="1" x="245"/>
        <item x="122"/>
        <item x="126"/>
        <item x="203"/>
        <item x="128"/>
        <item x="129"/>
        <item x="131"/>
        <item x="139"/>
        <item x="143"/>
        <item x="148"/>
        <item x="150"/>
        <item x="155"/>
        <item x="156"/>
        <item x="162"/>
        <item x="170"/>
        <item x="182"/>
        <item x="183"/>
        <item x="188"/>
        <item x="191"/>
        <item x="213"/>
        <item x="197"/>
        <item m="1" x="393"/>
        <item x="120"/>
        <item x="124"/>
        <item x="127"/>
        <item x="130"/>
        <item x="133"/>
        <item x="137"/>
        <item x="142"/>
        <item x="146"/>
        <item x="151"/>
        <item x="154"/>
        <item x="158"/>
        <item x="159"/>
        <item x="165"/>
        <item x="166"/>
        <item x="171"/>
        <item x="173"/>
        <item x="174"/>
        <item x="177"/>
        <item x="179"/>
        <item x="180"/>
        <item x="189"/>
        <item x="190"/>
        <item x="192"/>
        <item x="194"/>
        <item x="196"/>
        <item x="200"/>
        <item x="20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3"/>
    <field x="4"/>
  </rowFields>
  <rowItems count="217">
    <i>
      <x v="2"/>
      <x v="13"/>
      <x v="458"/>
    </i>
    <i r="1">
      <x v="55"/>
      <x v="227"/>
    </i>
    <i r="1">
      <x v="62"/>
      <x v="63"/>
    </i>
    <i r="1">
      <x v="64"/>
      <x v="65"/>
    </i>
    <i r="1">
      <x v="65"/>
      <x v="66"/>
    </i>
    <i r="1">
      <x v="67"/>
      <x v="68"/>
    </i>
    <i r="1">
      <x v="70"/>
      <x v="71"/>
    </i>
    <i r="1">
      <x v="73"/>
      <x v="74"/>
    </i>
    <i r="1">
      <x v="74"/>
      <x v="75"/>
    </i>
    <i r="1">
      <x v="75"/>
      <x v="76"/>
    </i>
    <i r="1">
      <x v="77"/>
      <x v="78"/>
    </i>
    <i r="1">
      <x v="79"/>
      <x v="80"/>
    </i>
    <i r="1">
      <x v="82"/>
      <x v="393"/>
    </i>
    <i r="1">
      <x v="85"/>
      <x v="86"/>
    </i>
    <i r="1">
      <x v="86"/>
      <x v="87"/>
    </i>
    <i r="1">
      <x v="94"/>
      <x v="95"/>
    </i>
    <i r="1">
      <x v="99"/>
      <x v="443"/>
    </i>
    <i r="1">
      <x v="100"/>
      <x v="101"/>
    </i>
    <i r="1">
      <x v="106"/>
      <x v="107"/>
    </i>
    <i r="1">
      <x v="113"/>
      <x v="114"/>
    </i>
    <i r="1">
      <x v="114"/>
      <x v="115"/>
    </i>
    <i r="1">
      <x v="118"/>
      <x v="119"/>
    </i>
    <i r="1">
      <x v="122"/>
      <x v="123"/>
    </i>
    <i r="1">
      <x v="123"/>
      <x v="124"/>
    </i>
    <i r="1">
      <x v="125"/>
      <x v="214"/>
    </i>
    <i r="1">
      <x v="128"/>
      <x v="129"/>
    </i>
    <i r="1">
      <x v="129"/>
      <x v="130"/>
    </i>
    <i r="1">
      <x v="132"/>
      <x v="133"/>
    </i>
    <i r="1">
      <x v="133"/>
      <x v="134"/>
    </i>
    <i r="1">
      <x v="134"/>
      <x v="135"/>
    </i>
    <i r="1">
      <x v="135"/>
      <x v="136"/>
    </i>
    <i r="1">
      <x v="141"/>
      <x v="142"/>
    </i>
    <i r="1">
      <x v="142"/>
      <x v="212"/>
    </i>
    <i r="1">
      <x v="144"/>
      <x v="145"/>
    </i>
    <i r="1">
      <x v="146"/>
      <x v="147"/>
    </i>
    <i r="1">
      <x v="148"/>
      <x v="325"/>
    </i>
    <i r="1">
      <x v="149"/>
      <x v="150"/>
    </i>
    <i r="1">
      <x v="153"/>
      <x v="154"/>
    </i>
    <i r="1">
      <x v="155"/>
      <x v="156"/>
    </i>
    <i r="1">
      <x v="162"/>
      <x v="163"/>
    </i>
    <i r="1">
      <x v="165"/>
      <x v="166"/>
    </i>
    <i r="1">
      <x v="167"/>
      <x v="168"/>
    </i>
    <i r="1">
      <x v="168"/>
      <x v="449"/>
    </i>
    <i r="1">
      <x v="182"/>
      <x v="361"/>
    </i>
    <i r="1">
      <x v="186"/>
      <x v="188"/>
    </i>
    <i r="1">
      <x v="189"/>
      <x v="192"/>
    </i>
    <i r="1">
      <x v="191"/>
      <x v="194"/>
    </i>
    <i r="1">
      <x v="193"/>
      <x v="196"/>
    </i>
    <i r="1">
      <x v="195"/>
      <x v="198"/>
    </i>
    <i r="1">
      <x v="196"/>
      <x v="199"/>
    </i>
    <i r="1">
      <x v="198"/>
      <x v="236"/>
    </i>
    <i r="1">
      <x v="199"/>
      <x v="202"/>
    </i>
    <i r="1">
      <x v="200"/>
      <x v="203"/>
    </i>
    <i r="1">
      <x v="201"/>
      <x v="204"/>
    </i>
    <i r="1">
      <x v="202"/>
      <x v="205"/>
    </i>
    <i r="1">
      <x v="205"/>
      <x v="208"/>
    </i>
    <i r="1">
      <x v="206"/>
      <x v="209"/>
    </i>
    <i r="1">
      <x v="209"/>
      <x v="213"/>
    </i>
    <i r="1">
      <x v="210"/>
      <x v="215"/>
    </i>
    <i r="1">
      <x v="212"/>
      <x v="217"/>
    </i>
    <i r="1">
      <x v="214"/>
      <x v="219"/>
    </i>
    <i r="1">
      <x v="215"/>
      <x v="220"/>
    </i>
    <i r="1">
      <x v="216"/>
      <x v="221"/>
    </i>
    <i r="1">
      <x v="222"/>
      <x v="229"/>
    </i>
    <i r="1">
      <x v="223"/>
      <x v="230"/>
    </i>
    <i r="1">
      <x v="225"/>
      <x v="232"/>
    </i>
    <i r="1">
      <x v="226"/>
      <x v="233"/>
    </i>
    <i r="1">
      <x v="229"/>
      <x v="239"/>
    </i>
    <i r="1">
      <x v="234"/>
      <x v="264"/>
    </i>
    <i r="1">
      <x v="236"/>
      <x v="444"/>
    </i>
    <i r="1">
      <x v="243"/>
      <x v="312"/>
    </i>
    <i r="1">
      <x v="245"/>
      <x v="255"/>
    </i>
    <i r="1">
      <x v="247"/>
      <x v="257"/>
    </i>
    <i r="1">
      <x v="248"/>
      <x v="258"/>
    </i>
    <i r="1">
      <x v="250"/>
      <x v="260"/>
    </i>
    <i r="1">
      <x v="252"/>
      <x v="316"/>
    </i>
    <i r="1">
      <x v="254"/>
      <x v="266"/>
    </i>
    <i r="1">
      <x v="255"/>
      <x v="267"/>
    </i>
    <i r="1">
      <x v="257"/>
      <x v="269"/>
    </i>
    <i r="1">
      <x v="259"/>
      <x v="272"/>
    </i>
    <i r="1">
      <x v="260"/>
      <x v="273"/>
    </i>
    <i r="1">
      <x v="261"/>
      <x v="274"/>
    </i>
    <i r="1">
      <x v="262"/>
      <x v="275"/>
    </i>
    <i r="1">
      <x v="264"/>
      <x v="277"/>
    </i>
    <i r="1">
      <x v="265"/>
      <x v="278"/>
    </i>
    <i r="1">
      <x v="267"/>
      <x v="281"/>
    </i>
    <i r="1">
      <x v="270"/>
      <x v="284"/>
    </i>
    <i r="1">
      <x v="272"/>
      <x v="286"/>
    </i>
    <i r="1">
      <x v="273"/>
      <x v="287"/>
    </i>
    <i r="1">
      <x v="274"/>
      <x v="288"/>
    </i>
    <i r="1">
      <x v="276"/>
      <x v="290"/>
    </i>
    <i r="1">
      <x v="282"/>
      <x v="296"/>
    </i>
    <i r="1">
      <x v="283"/>
      <x v="297"/>
    </i>
    <i r="1">
      <x v="284"/>
      <x v="298"/>
    </i>
    <i r="1">
      <x v="285"/>
      <x v="299"/>
    </i>
    <i r="1">
      <x v="286"/>
      <x v="300"/>
    </i>
    <i r="1">
      <x v="288"/>
      <x v="302"/>
    </i>
    <i r="1">
      <x v="289"/>
      <x v="441"/>
    </i>
    <i r="1">
      <x v="290"/>
      <x v="304"/>
    </i>
    <i r="1">
      <x v="294"/>
      <x v="309"/>
    </i>
    <i r="1">
      <x v="295"/>
      <x v="310"/>
    </i>
    <i r="1">
      <x v="296"/>
      <x v="311"/>
    </i>
    <i r="1">
      <x v="299"/>
      <x v="315"/>
    </i>
    <i r="1">
      <x v="300"/>
      <x v="317"/>
    </i>
    <i r="1">
      <x v="302"/>
      <x v="319"/>
    </i>
    <i r="1">
      <x v="303"/>
      <x v="320"/>
    </i>
    <i r="1">
      <x v="304"/>
      <x v="321"/>
    </i>
    <i r="1">
      <x v="310"/>
      <x v="328"/>
    </i>
    <i r="1">
      <x v="312"/>
      <x v="330"/>
    </i>
    <i r="1">
      <x v="313"/>
      <x v="331"/>
    </i>
    <i r="1">
      <x v="314"/>
      <x v="332"/>
    </i>
    <i r="1">
      <x v="315"/>
      <x v="447"/>
    </i>
    <i r="1">
      <x v="316"/>
      <x v="334"/>
    </i>
    <i r="1">
      <x v="318"/>
      <x v="336"/>
    </i>
    <i r="1">
      <x v="321"/>
      <x v="339"/>
    </i>
    <i r="1">
      <x v="322"/>
      <x v="340"/>
    </i>
    <i r="1">
      <x v="323"/>
      <x v="341"/>
    </i>
    <i r="1">
      <x v="324"/>
      <x v="342"/>
    </i>
    <i r="1">
      <x v="325"/>
      <x v="343"/>
    </i>
    <i r="1">
      <x v="326"/>
      <x v="344"/>
    </i>
    <i r="1">
      <x v="327"/>
      <x v="345"/>
    </i>
    <i r="1">
      <x v="328"/>
      <x v="346"/>
    </i>
    <i r="1">
      <x v="329"/>
      <x v="347"/>
    </i>
    <i r="1">
      <x v="332"/>
      <x v="350"/>
    </i>
    <i r="1">
      <x v="333"/>
      <x v="351"/>
    </i>
    <i r="1">
      <x v="334"/>
      <x v="352"/>
    </i>
    <i r="1">
      <x v="337"/>
      <x v="355"/>
    </i>
    <i r="1">
      <x v="339"/>
      <x v="357"/>
    </i>
    <i r="1">
      <x v="340"/>
      <x v="358"/>
    </i>
    <i r="1">
      <x v="344"/>
      <x v="374"/>
    </i>
    <i r="1">
      <x v="345"/>
      <x v="375"/>
    </i>
    <i r="1">
      <x v="346"/>
      <x v="376"/>
    </i>
    <i r="1">
      <x v="347"/>
      <x v="377"/>
    </i>
    <i r="1">
      <x v="348"/>
      <x v="379"/>
    </i>
    <i r="1">
      <x v="351"/>
      <x v="382"/>
    </i>
    <i r="1">
      <x v="352"/>
      <x v="383"/>
    </i>
    <i r="1">
      <x v="353"/>
      <x v="384"/>
    </i>
    <i r="1">
      <x v="356"/>
      <x v="388"/>
    </i>
    <i r="1">
      <x v="357"/>
      <x v="389"/>
    </i>
    <i r="1">
      <x v="358"/>
      <x v="390"/>
    </i>
    <i r="1">
      <x v="359"/>
      <x v="391"/>
    </i>
    <i r="1">
      <x v="360"/>
      <x v="392"/>
    </i>
    <i r="1">
      <x v="361"/>
      <x v="394"/>
    </i>
    <i r="1">
      <x v="362"/>
      <x v="395"/>
    </i>
    <i r="1">
      <x v="363"/>
      <x v="396"/>
    </i>
    <i r="1">
      <x v="364"/>
      <x v="397"/>
    </i>
    <i r="1">
      <x v="365"/>
      <x v="398"/>
    </i>
    <i r="1">
      <x v="366"/>
      <x v="399"/>
    </i>
    <i r="1">
      <x v="367"/>
      <x v="400"/>
    </i>
    <i r="1">
      <x v="368"/>
      <x v="401"/>
    </i>
    <i r="1">
      <x v="369"/>
      <x v="402"/>
    </i>
    <i r="1">
      <x v="370"/>
      <x v="403"/>
    </i>
    <i r="1">
      <x v="371"/>
      <x v="404"/>
    </i>
    <i r="1">
      <x v="372"/>
      <x v="405"/>
    </i>
    <i r="1">
      <x v="373"/>
      <x v="406"/>
    </i>
    <i r="1">
      <x v="374"/>
      <x v="407"/>
    </i>
    <i r="1">
      <x v="375"/>
      <x v="408"/>
    </i>
    <i r="1">
      <x v="376"/>
      <x v="409"/>
    </i>
    <i r="1">
      <x v="378"/>
      <x v="411"/>
    </i>
    <i r="1">
      <x v="379"/>
      <x v="412"/>
    </i>
    <i r="1">
      <x v="380"/>
      <x v="413"/>
    </i>
    <i r="1">
      <x v="381"/>
      <x v="414"/>
    </i>
    <i r="1">
      <x v="382"/>
      <x v="415"/>
    </i>
    <i r="1">
      <x v="383"/>
      <x v="416"/>
    </i>
    <i r="1">
      <x v="384"/>
      <x v="417"/>
    </i>
    <i r="1">
      <x v="385"/>
      <x v="418"/>
    </i>
    <i r="1">
      <x v="386"/>
      <x v="419"/>
    </i>
    <i r="1">
      <x v="387"/>
      <x v="420"/>
    </i>
    <i r="1">
      <x v="388"/>
      <x v="421"/>
    </i>
    <i r="1">
      <x v="389"/>
      <x v="422"/>
    </i>
    <i r="1">
      <x v="390"/>
      <x v="423"/>
    </i>
    <i r="1">
      <x v="391"/>
      <x v="424"/>
    </i>
    <i r="1">
      <x v="392"/>
      <x v="425"/>
    </i>
    <i r="1">
      <x v="393"/>
      <x v="426"/>
    </i>
    <i r="1">
      <x v="395"/>
      <x v="428"/>
    </i>
    <i r="1">
      <x v="407"/>
      <x v="440"/>
    </i>
    <i r="1">
      <x v="408"/>
      <x v="442"/>
    </i>
    <i r="1">
      <x v="409"/>
      <x v="445"/>
    </i>
    <i r="1">
      <x v="410"/>
      <x v="446"/>
    </i>
    <i r="1">
      <x v="411"/>
      <x v="448"/>
    </i>
    <i r="1">
      <x v="412"/>
      <x v="450"/>
    </i>
    <i r="1">
      <x v="413"/>
      <x v="451"/>
    </i>
    <i r="1">
      <x v="414"/>
      <x v="452"/>
    </i>
    <i r="1">
      <x v="415"/>
      <x v="453"/>
    </i>
    <i r="1">
      <x v="416"/>
      <x v="454"/>
    </i>
    <i r="1">
      <x v="417"/>
      <x v="455"/>
    </i>
    <i r="1">
      <x v="418"/>
      <x v="456"/>
    </i>
    <i r="1">
      <x v="419"/>
      <x v="457"/>
    </i>
    <i r="1">
      <x v="420"/>
      <x v="459"/>
    </i>
    <i r="1">
      <x v="422"/>
      <x v="461"/>
    </i>
    <i r="1">
      <x v="423"/>
      <x v="462"/>
    </i>
    <i r="1">
      <x v="424"/>
      <x v="463"/>
    </i>
    <i r="1">
      <x v="425"/>
      <x v="464"/>
    </i>
    <i r="1">
      <x v="426"/>
      <x v="465"/>
    </i>
    <i r="1">
      <x v="427"/>
      <x v="466"/>
    </i>
    <i r="1">
      <x v="428"/>
      <x v="467"/>
    </i>
    <i r="1">
      <x v="429"/>
      <x v="468"/>
    </i>
    <i r="1">
      <x v="430"/>
      <x v="469"/>
    </i>
    <i r="1">
      <x v="431"/>
      <x v="470"/>
    </i>
    <i r="1">
      <x v="432"/>
      <x v="471"/>
    </i>
    <i r="1">
      <x v="433"/>
      <x v="472"/>
    </i>
    <i r="1">
      <x v="434"/>
      <x v="473"/>
    </i>
    <i r="1">
      <x v="435"/>
      <x v="474"/>
    </i>
    <i r="1">
      <x v="436"/>
      <x v="475"/>
    </i>
    <i r="1">
      <x v="437"/>
      <x v="476"/>
    </i>
    <i r="1">
      <x v="438"/>
      <x v="477"/>
    </i>
    <i r="1">
      <x v="439"/>
      <x v="478"/>
    </i>
    <i r="1">
      <x v="440"/>
      <x v="479"/>
    </i>
    <i r="1">
      <x v="441"/>
      <x v="480"/>
    </i>
    <i r="1">
      <x v="442"/>
      <x v="481"/>
    </i>
    <i r="1">
      <x v="443"/>
      <x v="482"/>
    </i>
    <i r="1">
      <x v="444"/>
      <x v="483"/>
    </i>
    <i r="1">
      <x v="445"/>
      <x v="484"/>
    </i>
    <i r="1">
      <x v="446"/>
      <x v="485"/>
    </i>
    <i r="1">
      <x v="447"/>
      <x v="486"/>
    </i>
    <i r="1">
      <x v="448"/>
      <x v="487"/>
    </i>
    <i t="grand">
      <x/>
    </i>
  </rowItems>
  <colItems count="1">
    <i/>
  </colItems>
  <formats count="146">
    <format dxfId="1">
      <pivotArea field="2" type="button" dataOnly="0" labelOnly="1" outline="0"/>
    </format>
    <format dxfId="2">
      <pivotArea field="3" type="button" dataOnly="0" labelOnly="1" outline="0" axis="axisRow" fieldPosition="1"/>
    </format>
    <format dxfId="3">
      <pivotArea field="4" type="button" dataOnly="0" labelOnly="1" outline="0" axis="axisRow" fieldPosition="2"/>
    </format>
    <format dxfId="4">
      <pivotArea field="2" type="button" dataOnly="0" labelOnly="1" outline="0"/>
    </format>
    <format dxfId="5">
      <pivotArea field="3" type="button" dataOnly="0" labelOnly="1" outline="0" axis="axisRow" fieldPosition="1"/>
    </format>
    <format dxfId="6">
      <pivotArea field="4" type="button" dataOnly="0" labelOnly="1" outline="0" axis="axisRow" fieldPosition="2"/>
    </format>
    <format dxfId="7">
      <pivotArea field="2" type="button" dataOnly="0" labelOnly="1" outline="0"/>
    </format>
    <format dxfId="8">
      <pivotArea field="3" type="button" dataOnly="0" labelOnly="1" outline="0" axis="axisRow" fieldPosition="1"/>
    </format>
    <format dxfId="9">
      <pivotArea field="4" type="button" dataOnly="0" labelOnly="1" outline="0" axis="axisRow" fieldPosition="2"/>
    </format>
    <format dxfId="10">
      <pivotArea field="2" type="button" dataOnly="0" labelOnly="1" outline="0"/>
    </format>
    <format dxfId="11">
      <pivotArea field="3" type="button" dataOnly="0" labelOnly="1" outline="0" axis="axisRow" fieldPosition="1"/>
    </format>
    <format dxfId="12">
      <pivotArea field="4" type="button" dataOnly="0" labelOnly="1" outline="0" axis="axisRow" fieldPosition="2"/>
    </format>
    <format dxfId="13">
      <pivotArea field="2" type="button" dataOnly="0" labelOnly="1" outline="0"/>
    </format>
    <format dxfId="14">
      <pivotArea field="3" type="button" dataOnly="0" labelOnly="1" outline="0" axis="axisRow" fieldPosition="1"/>
    </format>
    <format dxfId="15">
      <pivotArea field="4" type="button" dataOnly="0" labelOnly="1" outline="0" axis="axisRow" fieldPosition="2"/>
    </format>
    <format dxfId="16">
      <pivotArea field="2" type="button" dataOnly="0" labelOnly="1" outline="0"/>
    </format>
    <format dxfId="17">
      <pivotArea field="3" type="button" dataOnly="0" labelOnly="1" outline="0" axis="axisRow" fieldPosition="1"/>
    </format>
    <format dxfId="18">
      <pivotArea field="4" type="button" dataOnly="0" labelOnly="1" outline="0" axis="axisRow" fieldPosition="2"/>
    </format>
    <format dxfId="19">
      <pivotArea field="2" type="button" dataOnly="0" labelOnly="1" outline="0"/>
    </format>
    <format dxfId="20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2">
      <pivotArea field="2" type="button" dataOnly="0" labelOnly="1" outline="0"/>
    </format>
    <format dxfId="23">
      <pivotArea field="3" type="button" dataOnly="0" labelOnly="1" outline="0" axis="axisRow" fieldPosition="1"/>
    </format>
    <format dxfId="24">
      <pivotArea field="4" type="button" dataOnly="0" labelOnly="1" outline="0" axis="axisRow" fieldPosition="2"/>
    </format>
    <format dxfId="25">
      <pivotArea field="2" type="button" dataOnly="0" labelOnly="1" outline="0"/>
    </format>
    <format dxfId="26">
      <pivotArea field="3" type="button" dataOnly="0" labelOnly="1" outline="0" axis="axisRow" fieldPosition="1"/>
    </format>
    <format dxfId="27">
      <pivotArea field="4" type="button" dataOnly="0" labelOnly="1" outline="0" axis="axisRow" fieldPosition="2"/>
    </format>
    <format dxfId="28">
      <pivotArea field="2" type="button" dataOnly="0" labelOnly="1" outline="0"/>
    </format>
    <format dxfId="29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31">
      <pivotArea field="2" type="button" dataOnly="0" labelOnly="1" outline="0"/>
    </format>
    <format dxfId="32">
      <pivotArea field="3" type="button" dataOnly="0" labelOnly="1" outline="0" axis="axisRow" fieldPosition="1"/>
    </format>
    <format dxfId="33">
      <pivotArea field="4" type="button" dataOnly="0" labelOnly="1" outline="0" axis="axisRow" fieldPosition="2"/>
    </format>
    <format dxfId="34">
      <pivotArea field="2" type="button" dataOnly="0" labelOnly="1" outline="0"/>
    </format>
    <format dxfId="35">
      <pivotArea type="all" dataOnly="0" outline="0" fieldPosition="0"/>
    </format>
    <format dxfId="36">
      <pivotArea field="2" type="button" dataOnly="0" labelOnly="1" outline="0"/>
    </format>
    <format dxfId="37">
      <pivotArea field="3" type="button" dataOnly="0" labelOnly="1" outline="0" axis="axisRow" fieldPosition="1"/>
    </format>
    <format dxfId="38">
      <pivotArea field="4" type="button" dataOnly="0" labelOnly="1" outline="0" axis="axisRow" fieldPosition="2"/>
    </format>
    <format dxfId="39">
      <pivotArea dataOnly="0" labelOnly="1" grandRow="1" outline="0" fieldPosition="0"/>
    </format>
    <format dxfId="40">
      <pivotArea type="all" dataOnly="0" outline="0" fieldPosition="0"/>
    </format>
    <format dxfId="41">
      <pivotArea field="2" type="button" dataOnly="0" labelOnly="1" outline="0"/>
    </format>
    <format dxfId="42">
      <pivotArea field="3" type="button" dataOnly="0" labelOnly="1" outline="0" axis="axisRow" fieldPosition="1"/>
    </format>
    <format dxfId="43">
      <pivotArea field="4" type="button" dataOnly="0" labelOnly="1" outline="0" axis="axisRow" fieldPosition="2"/>
    </format>
    <format dxfId="44">
      <pivotArea dataOnly="0" labelOnly="1" grandRow="1" outline="0" fieldPosition="0"/>
    </format>
    <format dxfId="45">
      <pivotArea field="3" type="button" dataOnly="0" labelOnly="1" outline="0" axis="axisRow" fieldPosition="1"/>
    </format>
    <format dxfId="46">
      <pivotArea field="4" type="button" dataOnly="0" labelOnly="1" outline="0" axis="axisRow" fieldPosition="2"/>
    </format>
    <format dxfId="47">
      <pivotArea field="3" type="button" dataOnly="0" labelOnly="1" outline="0" axis="axisRow" fieldPosition="1"/>
    </format>
    <format dxfId="48">
      <pivotArea field="4" type="button" dataOnly="0" labelOnly="1" outline="0" axis="axisRow" fieldPosition="2"/>
    </format>
    <format dxfId="49">
      <pivotArea type="all" dataOnly="0" outline="0" fieldPosition="0"/>
    </format>
    <format dxfId="50">
      <pivotArea field="0" type="button" dataOnly="0" labelOnly="1" outline="0" axis="axisRow" fieldPosition="0"/>
    </format>
    <format dxfId="51">
      <pivotArea field="3" type="button" dataOnly="0" labelOnly="1" outline="0" axis="axisRow" fieldPosition="1"/>
    </format>
    <format dxfId="52">
      <pivotArea field="4" type="button" dataOnly="0" labelOnly="1" outline="0" axis="axisRow" fieldPosition="2"/>
    </format>
    <format dxfId="53">
      <pivotArea dataOnly="0" labelOnly="1" fieldPosition="0">
        <references count="1">
          <reference field="0" count="0"/>
        </references>
      </pivotArea>
    </format>
    <format dxfId="54">
      <pivotArea dataOnly="0" labelOnly="1" grandRow="1" outline="0" fieldPosition="0"/>
    </format>
    <format dxfId="55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87"/>
            <x v="92"/>
            <x v="93"/>
            <x v="94"/>
            <x v="96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9"/>
            <x v="153"/>
          </reference>
        </references>
      </pivotArea>
    </format>
    <format dxfId="56">
      <pivotArea dataOnly="0" labelOnly="1" fieldPosition="0">
        <references count="2">
          <reference field="0" count="0" selected="0"/>
          <reference field="3" count="50">
            <x v="155"/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4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18"/>
            <x v="219"/>
            <x v="221"/>
            <x v="222"/>
            <x v="223"/>
            <x v="225"/>
            <x v="226"/>
            <x v="227"/>
            <x v="229"/>
            <x v="232"/>
            <x v="234"/>
            <x v="236"/>
            <x v="237"/>
            <x v="238"/>
            <x v="239"/>
            <x v="241"/>
            <x v="243"/>
            <x v="244"/>
          </reference>
        </references>
      </pivotArea>
    </format>
    <format dxfId="57">
      <pivotArea dataOnly="0" labelOnly="1" fieldPosition="0">
        <references count="2">
          <reference field="0" count="0" selected="0"/>
          <reference field="3" count="50">
            <x v="245"/>
            <x v="246"/>
            <x v="247"/>
            <x v="248"/>
            <x v="250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</reference>
        </references>
      </pivotArea>
    </format>
    <format dxfId="58">
      <pivotArea dataOnly="0" labelOnly="1" fieldPosition="0">
        <references count="2">
          <reference field="0" count="0" selected="0"/>
          <reference field="3" count="5">
            <x v="298"/>
            <x v="299"/>
            <x v="300"/>
            <x v="301"/>
            <x v="302"/>
          </reference>
        </references>
      </pivotArea>
    </format>
    <format dxfId="59">
      <pivotArea field="3" type="button" dataOnly="0" labelOnly="1" outline="0" axis="axisRow" fieldPosition="1"/>
    </format>
    <format dxfId="60">
      <pivotArea field="4" type="button" dataOnly="0" labelOnly="1" outline="0" axis="axisRow" fieldPosition="2"/>
    </format>
    <format dxfId="61">
      <pivotArea type="all" dataOnly="0" outline="0" fieldPosition="0"/>
    </format>
    <format dxfId="62">
      <pivotArea field="0" type="button" dataOnly="0" labelOnly="1" outline="0" axis="axisRow" fieldPosition="0"/>
    </format>
    <format dxfId="63">
      <pivotArea field="3" type="button" dataOnly="0" labelOnly="1" outline="0" axis="axisRow" fieldPosition="1"/>
    </format>
    <format dxfId="64">
      <pivotArea field="4" type="button" dataOnly="0" labelOnly="1" outline="0" axis="axisRow" fieldPosition="2"/>
    </format>
    <format dxfId="65">
      <pivotArea dataOnly="0" labelOnly="1" fieldPosition="0">
        <references count="1">
          <reference field="0" count="0"/>
        </references>
      </pivotArea>
    </format>
    <format dxfId="66">
      <pivotArea dataOnly="0" labelOnly="1" grandRow="1" outline="0" fieldPosition="0"/>
    </format>
    <format dxfId="67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68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69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70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71">
      <pivotArea type="all" dataOnly="0" outline="0" fieldPosition="0"/>
    </format>
    <format dxfId="72">
      <pivotArea field="0" type="button" dataOnly="0" labelOnly="1" outline="0" axis="axisRow" fieldPosition="0"/>
    </format>
    <format dxfId="73">
      <pivotArea field="3" type="button" dataOnly="0" labelOnly="1" outline="0" axis="axisRow" fieldPosition="1"/>
    </format>
    <format dxfId="74">
      <pivotArea field="4" type="button" dataOnly="0" labelOnly="1" outline="0" axis="axisRow" fieldPosition="2"/>
    </format>
    <format dxfId="75">
      <pivotArea dataOnly="0" labelOnly="1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7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78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79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80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81">
      <pivotArea type="all" dataOnly="0" outline="0" fieldPosition="0"/>
    </format>
    <format dxfId="82">
      <pivotArea field="0" type="button" dataOnly="0" labelOnly="1" outline="0" axis="axisRow" fieldPosition="0"/>
    </format>
    <format dxfId="83">
      <pivotArea field="3" type="button" dataOnly="0" labelOnly="1" outline="0" axis="axisRow" fieldPosition="1"/>
    </format>
    <format dxfId="84">
      <pivotArea field="4" type="button" dataOnly="0" labelOnly="1" outline="0" axis="axisRow" fieldPosition="2"/>
    </format>
    <format dxfId="85">
      <pivotArea dataOnly="0" labelOnly="1" fieldPosition="0">
        <references count="1">
          <reference field="0" count="0"/>
        </references>
      </pivotArea>
    </format>
    <format dxfId="86">
      <pivotArea dataOnly="0" labelOnly="1" grandRow="1" outline="0" fieldPosition="0"/>
    </format>
    <format dxfId="87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88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89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90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91">
      <pivotArea type="all" dataOnly="0" outline="0" fieldPosition="0"/>
    </format>
    <format dxfId="92">
      <pivotArea field="0" type="button" dataOnly="0" labelOnly="1" outline="0" axis="axisRow" fieldPosition="0"/>
    </format>
    <format dxfId="93">
      <pivotArea field="3" type="button" dataOnly="0" labelOnly="1" outline="0" axis="axisRow" fieldPosition="1"/>
    </format>
    <format dxfId="94">
      <pivotArea field="4" type="button" dataOnly="0" labelOnly="1" outline="0" axis="axisRow" fieldPosition="2"/>
    </format>
    <format dxfId="95">
      <pivotArea dataOnly="0" labelOnly="1" fieldPosition="0">
        <references count="1">
          <reference field="0" count="0"/>
        </references>
      </pivotArea>
    </format>
    <format dxfId="96">
      <pivotArea dataOnly="0" labelOnly="1" grandRow="1" outline="0" fieldPosition="0"/>
    </format>
    <format dxfId="97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98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99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00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01">
      <pivotArea field="0" type="button" dataOnly="0" labelOnly="1" outline="0" axis="axisRow" fieldPosition="0"/>
    </format>
    <format dxfId="102">
      <pivotArea field="3" type="button" dataOnly="0" labelOnly="1" outline="0" axis="axisRow" fieldPosition="1"/>
    </format>
    <format dxfId="103">
      <pivotArea field="4" type="button" dataOnly="0" labelOnly="1" outline="0" axis="axisRow" fieldPosition="2"/>
    </format>
    <format dxfId="104">
      <pivotArea type="all" dataOnly="0" outline="0" fieldPosition="0"/>
    </format>
    <format dxfId="105">
      <pivotArea dataOnly="0" labelOnly="1" fieldPosition="0">
        <references count="1">
          <reference field="0" count="0"/>
        </references>
      </pivotArea>
    </format>
    <format dxfId="106">
      <pivotArea dataOnly="0" labelOnly="1" grandRow="1" outline="0" fieldPosition="0"/>
    </format>
    <format dxfId="107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108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109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10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11">
      <pivotArea type="all" dataOnly="0" outline="0" fieldPosition="0"/>
    </format>
    <format dxfId="112">
      <pivotArea dataOnly="0" labelOnly="1" fieldPosition="0">
        <references count="1">
          <reference field="0" count="0"/>
        </references>
      </pivotArea>
    </format>
    <format dxfId="113">
      <pivotArea dataOnly="0" labelOnly="1" grandRow="1" outline="0" fieldPosition="0"/>
    </format>
    <format dxfId="114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115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116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17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18">
      <pivotArea dataOnly="0" labelOnly="1" fieldPosition="0">
        <references count="1">
          <reference field="0" count="0"/>
        </references>
      </pivotArea>
    </format>
    <format dxfId="119">
      <pivotArea dataOnly="0" labelOnly="1" grandRow="1" outline="0" fieldPosition="0"/>
    </format>
    <format dxfId="120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121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122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23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24">
      <pivotArea type="all" dataOnly="0" outline="0" fieldPosition="0"/>
    </format>
    <format dxfId="125">
      <pivotArea field="0" type="button" dataOnly="0" labelOnly="1" outline="0" axis="axisRow" fieldPosition="0"/>
    </format>
    <format dxfId="126">
      <pivotArea field="3" type="button" dataOnly="0" labelOnly="1" outline="0" axis="axisRow" fieldPosition="1"/>
    </format>
    <format dxfId="127">
      <pivotArea field="4" type="button" dataOnly="0" labelOnly="1" outline="0" axis="axisRow" fieldPosition="2"/>
    </format>
    <format dxfId="128">
      <pivotArea dataOnly="0" labelOnly="1" fieldPosition="0">
        <references count="1">
          <reference field="0" count="0"/>
        </references>
      </pivotArea>
    </format>
    <format dxfId="129">
      <pivotArea dataOnly="0" labelOnly="1" grandRow="1" outline="0" fieldPosition="0"/>
    </format>
    <format dxfId="130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131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132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33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34">
      <pivotArea type="all" dataOnly="0" outline="0" fieldPosition="0"/>
    </format>
    <format dxfId="135">
      <pivotArea field="0" type="button" dataOnly="0" labelOnly="1" outline="0" axis="axisRow" fieldPosition="0"/>
    </format>
    <format dxfId="136">
      <pivotArea field="3" type="button" dataOnly="0" labelOnly="1" outline="0" axis="axisRow" fieldPosition="1"/>
    </format>
    <format dxfId="137">
      <pivotArea field="4" type="button" dataOnly="0" labelOnly="1" outline="0" axis="axisRow" fieldPosition="2"/>
    </format>
    <format dxfId="138">
      <pivotArea dataOnly="0" labelOnly="1" fieldPosition="0">
        <references count="1">
          <reference field="0" count="0"/>
        </references>
      </pivotArea>
    </format>
    <format dxfId="139">
      <pivotArea dataOnly="0" labelOnly="1" grandRow="1" outline="0" fieldPosition="0"/>
    </format>
    <format dxfId="140">
      <pivotArea dataOnly="0" labelOnly="1" fieldPosition="0">
        <references count="2">
          <reference field="0" count="0" selected="0"/>
          <reference field="3" count="50">
            <x v="13"/>
            <x v="55"/>
            <x v="62"/>
            <x v="64"/>
            <x v="65"/>
            <x v="67"/>
            <x v="70"/>
            <x v="73"/>
            <x v="74"/>
            <x v="75"/>
            <x v="77"/>
            <x v="79"/>
            <x v="83"/>
            <x v="84"/>
            <x v="85"/>
            <x v="86"/>
            <x v="92"/>
            <x v="93"/>
            <x v="94"/>
            <x v="100"/>
            <x v="106"/>
            <x v="113"/>
            <x v="114"/>
            <x v="117"/>
            <x v="118"/>
            <x v="120"/>
            <x v="121"/>
            <x v="122"/>
            <x v="123"/>
            <x v="124"/>
            <x v="125"/>
            <x v="126"/>
            <x v="127"/>
            <x v="128"/>
            <x v="129"/>
            <x v="132"/>
            <x v="133"/>
            <x v="134"/>
            <x v="135"/>
            <x v="140"/>
            <x v="141"/>
            <x v="142"/>
            <x v="144"/>
            <x v="145"/>
            <x v="146"/>
            <x v="147"/>
            <x v="148"/>
            <x v="149"/>
            <x v="153"/>
            <x v="155"/>
          </reference>
        </references>
      </pivotArea>
    </format>
    <format dxfId="141">
      <pivotArea dataOnly="0" labelOnly="1" fieldPosition="0">
        <references count="2">
          <reference field="0" count="0" selected="0"/>
          <reference field="3" count="50">
            <x v="162"/>
            <x v="163"/>
            <x v="165"/>
            <x v="167"/>
            <x v="168"/>
            <x v="185"/>
            <x v="186"/>
            <x v="187"/>
            <x v="189"/>
            <x v="190"/>
            <x v="191"/>
            <x v="193"/>
            <x v="195"/>
            <x v="196"/>
            <x v="197"/>
            <x v="198"/>
            <x v="199"/>
            <x v="200"/>
            <x v="201"/>
            <x v="202"/>
            <x v="205"/>
            <x v="206"/>
            <x v="208"/>
            <x v="209"/>
            <x v="210"/>
            <x v="212"/>
            <x v="214"/>
            <x v="215"/>
            <x v="216"/>
            <x v="217"/>
            <x v="221"/>
            <x v="222"/>
            <x v="223"/>
            <x v="225"/>
            <x v="226"/>
            <x v="227"/>
            <x v="229"/>
            <x v="232"/>
            <x v="234"/>
            <x v="236"/>
            <x v="238"/>
            <x v="239"/>
            <x v="241"/>
            <x v="243"/>
            <x v="244"/>
            <x v="245"/>
            <x v="247"/>
            <x v="248"/>
            <x v="250"/>
            <x v="252"/>
          </reference>
        </references>
      </pivotArea>
    </format>
    <format dxfId="142">
      <pivotArea dataOnly="0" labelOnly="1" fieldPosition="0">
        <references count="2">
          <reference field="0" count="0" selected="0"/>
          <reference field="3" count="50"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7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43">
      <pivotArea dataOnly="0" labelOnly="1" fieldPosition="0">
        <references count="2">
          <reference field="0" count="0" selected="0"/>
          <reference field="3" count="18"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</reference>
        </references>
      </pivotArea>
    </format>
    <format dxfId="144">
      <pivotArea field="0" type="button" dataOnly="0" labelOnly="1" outline="0" axis="axisRow" fieldPosition="0"/>
    </format>
    <format dxfId="145">
      <pivotArea field="3" type="button" dataOnly="0" labelOnly="1" outline="0" axis="axisRow" fieldPosition="1"/>
    </format>
    <format dxfId="146">
      <pivotArea field="4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B15B-F9C6-4794-9FD4-3ABE8F6334EF}">
  <dimension ref="A1:BM220"/>
  <sheetViews>
    <sheetView tabSelected="1" topLeftCell="Y1" workbookViewId="0">
      <selection activeCell="AG7" sqref="AG7"/>
    </sheetView>
  </sheetViews>
  <sheetFormatPr defaultRowHeight="15" x14ac:dyDescent="0.25"/>
  <cols>
    <col min="1" max="1" width="16.85546875" bestFit="1" customWidth="1"/>
    <col min="2" max="2" width="18.5703125" bestFit="1" customWidth="1"/>
    <col min="3" max="3" width="24.85546875" bestFit="1" customWidth="1"/>
    <col min="4" max="4" width="20.7109375" bestFit="1" customWidth="1"/>
    <col min="5" max="5" width="7.85546875" bestFit="1" customWidth="1"/>
    <col min="6" max="6" width="24.42578125" bestFit="1" customWidth="1"/>
    <col min="7" max="7" width="51.85546875" bestFit="1" customWidth="1"/>
    <col min="8" max="8" width="18.7109375" bestFit="1" customWidth="1"/>
    <col min="9" max="9" width="13.7109375" bestFit="1" customWidth="1"/>
    <col min="10" max="10" width="10.7109375" bestFit="1" customWidth="1"/>
    <col min="11" max="11" width="16" bestFit="1" customWidth="1"/>
    <col min="12" max="12" width="16.7109375" bestFit="1" customWidth="1"/>
    <col min="13" max="13" width="12.140625" bestFit="1" customWidth="1"/>
    <col min="14" max="14" width="19.85546875" bestFit="1" customWidth="1"/>
    <col min="15" max="16" width="14.7109375" bestFit="1" customWidth="1"/>
    <col min="17" max="17" width="17.140625" bestFit="1" customWidth="1"/>
    <col min="18" max="18" width="18" bestFit="1" customWidth="1"/>
    <col min="19" max="19" width="6.85546875" bestFit="1" customWidth="1"/>
    <col min="20" max="20" width="7.5703125" bestFit="1" customWidth="1"/>
    <col min="21" max="21" width="7.85546875" bestFit="1" customWidth="1"/>
    <col min="22" max="22" width="7.7109375" bestFit="1" customWidth="1"/>
    <col min="23" max="23" width="13.7109375" bestFit="1" customWidth="1"/>
    <col min="24" max="24" width="9" bestFit="1" customWidth="1"/>
    <col min="25" max="25" width="6.85546875" bestFit="1" customWidth="1"/>
    <col min="26" max="26" width="7.85546875" bestFit="1" customWidth="1"/>
    <col min="27" max="27" width="6.85546875" bestFit="1" customWidth="1"/>
    <col min="28" max="28" width="9.85546875" bestFit="1" customWidth="1"/>
    <col min="29" max="29" width="5.42578125" bestFit="1" customWidth="1"/>
    <col min="30" max="30" width="7.85546875" bestFit="1" customWidth="1"/>
    <col min="31" max="31" width="6.85546875" bestFit="1" customWidth="1"/>
    <col min="32" max="32" width="12.5703125" bestFit="1" customWidth="1"/>
    <col min="33" max="33" width="12" bestFit="1" customWidth="1"/>
    <col min="34" max="34" width="11.140625" bestFit="1" customWidth="1"/>
    <col min="35" max="35" width="6.85546875" bestFit="1" customWidth="1"/>
    <col min="36" max="36" width="9.28515625" bestFit="1" customWidth="1"/>
    <col min="37" max="38" width="6.85546875" bestFit="1" customWidth="1"/>
    <col min="39" max="39" width="17.140625" bestFit="1" customWidth="1"/>
    <col min="40" max="40" width="16.85546875" bestFit="1" customWidth="1"/>
    <col min="41" max="41" width="6.85546875" bestFit="1" customWidth="1"/>
    <col min="42" max="42" width="7.5703125" bestFit="1" customWidth="1"/>
    <col min="43" max="43" width="18" bestFit="1" customWidth="1"/>
    <col min="44" max="44" width="16.85546875" bestFit="1" customWidth="1"/>
    <col min="45" max="45" width="6.85546875" bestFit="1" customWidth="1"/>
    <col min="46" max="46" width="7.5703125" bestFit="1" customWidth="1"/>
    <col min="47" max="47" width="9.85546875" bestFit="1" customWidth="1"/>
    <col min="48" max="48" width="7.85546875" bestFit="1" customWidth="1"/>
    <col min="49" max="49" width="6.85546875" bestFit="1" customWidth="1"/>
    <col min="50" max="50" width="7.5703125" bestFit="1" customWidth="1"/>
    <col min="51" max="51" width="18" bestFit="1" customWidth="1"/>
    <col min="52" max="52" width="16.85546875" bestFit="1" customWidth="1"/>
    <col min="53" max="53" width="7.7109375" bestFit="1" customWidth="1"/>
    <col min="54" max="54" width="8.42578125" bestFit="1" customWidth="1"/>
    <col min="56" max="56" width="7.28515625" bestFit="1" customWidth="1"/>
    <col min="57" max="57" width="7.5703125" bestFit="1" customWidth="1"/>
    <col min="58" max="58" width="8.7109375" bestFit="1" customWidth="1"/>
    <col min="60" max="60" width="14.140625" bestFit="1" customWidth="1"/>
    <col min="61" max="61" width="10.7109375" bestFit="1" customWidth="1"/>
    <col min="62" max="62" width="7.28515625" bestFit="1" customWidth="1"/>
    <col min="63" max="63" width="17.140625" bestFit="1" customWidth="1"/>
    <col min="65" max="65" width="7.28515625" bestFit="1" customWidth="1"/>
  </cols>
  <sheetData>
    <row r="1" spans="1:6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2" t="str">
        <f t="shared" ref="K1" si="0">IF(L1&lt;5,"Less Than 5Days","KPI IN")</f>
        <v>Less Than 5Days</v>
      </c>
      <c r="L1" s="1"/>
      <c r="M1" s="1"/>
      <c r="N1" s="1"/>
      <c r="O1" s="1"/>
      <c r="P1" s="1"/>
      <c r="Q1" s="45" t="s">
        <v>0</v>
      </c>
      <c r="R1" s="45"/>
      <c r="S1" s="45" t="s">
        <v>1</v>
      </c>
      <c r="T1" s="42" t="s">
        <v>2</v>
      </c>
      <c r="U1" s="42" t="s">
        <v>3</v>
      </c>
      <c r="V1" s="42"/>
      <c r="W1" s="46" t="s">
        <v>4</v>
      </c>
      <c r="X1" s="42" t="s">
        <v>5</v>
      </c>
      <c r="Y1" s="42"/>
      <c r="Z1" s="42" t="s">
        <v>6</v>
      </c>
      <c r="AA1" s="42"/>
      <c r="AB1" s="42" t="s">
        <v>7</v>
      </c>
      <c r="AC1" s="42"/>
      <c r="AD1" s="42"/>
      <c r="AE1" s="42"/>
      <c r="AF1" s="39" t="s">
        <v>8</v>
      </c>
      <c r="AG1" s="3"/>
      <c r="AH1" s="42" t="s">
        <v>9</v>
      </c>
      <c r="AI1" s="42"/>
      <c r="AJ1" s="42" t="s">
        <v>10</v>
      </c>
      <c r="AK1" s="42"/>
      <c r="AL1" s="42"/>
      <c r="AM1" s="42" t="s">
        <v>11</v>
      </c>
      <c r="AN1" s="42"/>
      <c r="AO1" s="42"/>
      <c r="AP1" s="42"/>
      <c r="AQ1" s="42" t="s">
        <v>12</v>
      </c>
      <c r="AR1" s="42"/>
      <c r="AS1" s="42"/>
      <c r="AT1" s="42"/>
      <c r="AU1" s="39" t="s">
        <v>13</v>
      </c>
      <c r="AV1" s="42" t="s">
        <v>14</v>
      </c>
      <c r="AW1" s="42"/>
      <c r="AX1" s="42"/>
      <c r="AY1" s="42" t="s">
        <v>15</v>
      </c>
      <c r="AZ1" s="42"/>
      <c r="BA1" s="42"/>
      <c r="BB1" s="39" t="s">
        <v>9</v>
      </c>
      <c r="BC1" s="1"/>
      <c r="BD1" s="43" t="s">
        <v>16</v>
      </c>
      <c r="BE1" s="43" t="s">
        <v>17</v>
      </c>
      <c r="BF1" s="40" t="s">
        <v>18</v>
      </c>
      <c r="BG1" s="1"/>
      <c r="BH1" s="42" t="s">
        <v>19</v>
      </c>
      <c r="BI1" s="42"/>
      <c r="BJ1" s="42"/>
      <c r="BK1" s="42"/>
      <c r="BL1" s="1"/>
      <c r="BM1" s="3"/>
    </row>
    <row r="2" spans="1:65" ht="18" x14ac:dyDescent="0.25">
      <c r="A2" s="39" t="s">
        <v>20</v>
      </c>
      <c r="B2" s="39"/>
      <c r="C2" s="39"/>
      <c r="D2" s="39" t="s">
        <v>21</v>
      </c>
      <c r="E2" s="39"/>
      <c r="F2" s="39"/>
      <c r="G2" s="39"/>
      <c r="H2" s="39"/>
      <c r="I2" s="5">
        <v>45809</v>
      </c>
      <c r="J2" s="39"/>
      <c r="K2" s="39" t="s">
        <v>20</v>
      </c>
      <c r="L2" s="39"/>
      <c r="M2" s="39"/>
      <c r="N2" s="6" t="s">
        <v>22</v>
      </c>
      <c r="O2" s="7"/>
      <c r="P2" s="8"/>
      <c r="Q2" s="45"/>
      <c r="R2" s="45"/>
      <c r="S2" s="45"/>
      <c r="T2" s="42"/>
      <c r="U2" s="39" t="s">
        <v>23</v>
      </c>
      <c r="V2" s="39" t="s">
        <v>1</v>
      </c>
      <c r="W2" s="47"/>
      <c r="X2" s="39" t="s">
        <v>23</v>
      </c>
      <c r="Y2" s="39" t="s">
        <v>1</v>
      </c>
      <c r="Z2" s="39" t="s">
        <v>23</v>
      </c>
      <c r="AA2" s="39" t="s">
        <v>1</v>
      </c>
      <c r="AB2" s="39" t="s">
        <v>24</v>
      </c>
      <c r="AC2" s="39" t="s">
        <v>25</v>
      </c>
      <c r="AD2" s="39" t="s">
        <v>26</v>
      </c>
      <c r="AE2" s="39" t="s">
        <v>1</v>
      </c>
      <c r="AF2" s="39" t="s">
        <v>1</v>
      </c>
      <c r="AG2" s="9" t="s">
        <v>27</v>
      </c>
      <c r="AH2" s="39" t="s">
        <v>28</v>
      </c>
      <c r="AI2" s="39" t="s">
        <v>1</v>
      </c>
      <c r="AJ2" s="39" t="s">
        <v>29</v>
      </c>
      <c r="AK2" s="39" t="s">
        <v>30</v>
      </c>
      <c r="AL2" s="39" t="s">
        <v>1</v>
      </c>
      <c r="AM2" s="44" t="s">
        <v>31</v>
      </c>
      <c r="AN2" s="44"/>
      <c r="AO2" s="39" t="s">
        <v>1</v>
      </c>
      <c r="AP2" s="39" t="s">
        <v>2</v>
      </c>
      <c r="AQ2" s="44" t="s">
        <v>32</v>
      </c>
      <c r="AR2" s="44"/>
      <c r="AS2" s="39" t="s">
        <v>1</v>
      </c>
      <c r="AT2" s="39" t="s">
        <v>2</v>
      </c>
      <c r="AU2" s="39" t="s">
        <v>23</v>
      </c>
      <c r="AV2" s="39" t="s">
        <v>23</v>
      </c>
      <c r="AW2" s="39" t="s">
        <v>1</v>
      </c>
      <c r="AX2" s="39" t="s">
        <v>2</v>
      </c>
      <c r="AY2" s="39" t="s">
        <v>33</v>
      </c>
      <c r="AZ2" s="39" t="s">
        <v>34</v>
      </c>
      <c r="BA2" s="39" t="s">
        <v>1</v>
      </c>
      <c r="BB2" s="39" t="s">
        <v>1</v>
      </c>
      <c r="BC2" s="1"/>
      <c r="BD2" s="43"/>
      <c r="BE2" s="43"/>
      <c r="BF2" s="40" t="s">
        <v>35</v>
      </c>
      <c r="BG2" s="1"/>
      <c r="BH2" s="39" t="s">
        <v>7</v>
      </c>
      <c r="BI2" s="39" t="s">
        <v>14</v>
      </c>
      <c r="BJ2" s="39" t="s">
        <v>36</v>
      </c>
      <c r="BK2" s="39" t="s">
        <v>37</v>
      </c>
      <c r="BL2" s="1"/>
      <c r="BM2" s="10" t="s">
        <v>38</v>
      </c>
    </row>
    <row r="3" spans="1:65" ht="15.75" thickBot="1" x14ac:dyDescent="0.3">
      <c r="A3" s="36" t="s">
        <v>39</v>
      </c>
      <c r="B3" s="37" t="s">
        <v>40</v>
      </c>
      <c r="C3" s="37" t="s">
        <v>41</v>
      </c>
      <c r="D3" s="11" t="s">
        <v>42</v>
      </c>
      <c r="E3" s="11" t="s">
        <v>43</v>
      </c>
      <c r="F3" s="11" t="s">
        <v>44</v>
      </c>
      <c r="G3" s="11" t="s">
        <v>45</v>
      </c>
      <c r="H3" s="11" t="s">
        <v>46</v>
      </c>
      <c r="I3" s="11" t="s">
        <v>47</v>
      </c>
      <c r="J3" s="11" t="s">
        <v>48</v>
      </c>
      <c r="K3" s="11" t="s">
        <v>49</v>
      </c>
      <c r="L3" s="11" t="s">
        <v>50</v>
      </c>
      <c r="M3" s="11" t="s">
        <v>51</v>
      </c>
      <c r="N3" s="11" t="s">
        <v>52</v>
      </c>
      <c r="O3" s="11" t="s">
        <v>53</v>
      </c>
      <c r="P3" s="11" t="s">
        <v>54</v>
      </c>
      <c r="Q3" s="11" t="s">
        <v>55</v>
      </c>
      <c r="R3" s="11" t="s">
        <v>33</v>
      </c>
      <c r="S3" s="38">
        <v>0.1</v>
      </c>
      <c r="T3" s="38">
        <v>0.05</v>
      </c>
      <c r="U3" s="38">
        <v>0.83</v>
      </c>
      <c r="V3" s="38">
        <v>0.1</v>
      </c>
      <c r="W3" s="12">
        <f>V3+S3</f>
        <v>0.2</v>
      </c>
      <c r="X3" s="38">
        <v>0.95</v>
      </c>
      <c r="Y3" s="38">
        <v>0.04</v>
      </c>
      <c r="Z3" s="38">
        <v>0.95</v>
      </c>
      <c r="AA3" s="38">
        <v>0.04</v>
      </c>
      <c r="AB3" s="38">
        <v>0.09</v>
      </c>
      <c r="AC3" s="38">
        <v>0.05</v>
      </c>
      <c r="AD3" s="38">
        <v>0.05</v>
      </c>
      <c r="AE3" s="38">
        <v>0.09</v>
      </c>
      <c r="AF3" s="12">
        <f>AE3+AA3+Y3</f>
        <v>0.17</v>
      </c>
      <c r="AG3" s="13" t="s">
        <v>56</v>
      </c>
      <c r="AH3" s="38" t="s">
        <v>57</v>
      </c>
      <c r="AI3" s="38">
        <v>0.1</v>
      </c>
      <c r="AJ3" s="38">
        <v>0.1</v>
      </c>
      <c r="AK3" s="14">
        <v>0.05</v>
      </c>
      <c r="AL3" s="38">
        <v>0.1</v>
      </c>
      <c r="AM3" s="11" t="s">
        <v>58</v>
      </c>
      <c r="AN3" s="11" t="s">
        <v>59</v>
      </c>
      <c r="AO3" s="38">
        <v>0.08</v>
      </c>
      <c r="AP3" s="38">
        <v>0.03</v>
      </c>
      <c r="AQ3" s="11" t="s">
        <v>33</v>
      </c>
      <c r="AR3" s="38" t="s">
        <v>34</v>
      </c>
      <c r="AS3" s="38">
        <v>0.2</v>
      </c>
      <c r="AT3" s="38">
        <v>0.1</v>
      </c>
      <c r="AU3" s="38">
        <v>0.95</v>
      </c>
      <c r="AV3" s="11">
        <v>0</v>
      </c>
      <c r="AW3" s="38">
        <v>0.05</v>
      </c>
      <c r="AX3" s="38">
        <v>0.02</v>
      </c>
      <c r="AY3" s="41" t="s">
        <v>60</v>
      </c>
      <c r="AZ3" s="41"/>
      <c r="BA3" s="38">
        <v>0.1</v>
      </c>
      <c r="BB3" s="12">
        <f>AS3+AO3+AL3+AI3+AW3+BA3</f>
        <v>0.63</v>
      </c>
      <c r="BC3" s="15"/>
      <c r="BD3" s="16">
        <f t="shared" ref="BD3:BD66" si="1">BB3+AF3+W3</f>
        <v>1</v>
      </c>
      <c r="BE3" s="16">
        <f>AT3+T3+AX3+AP3</f>
        <v>0.2</v>
      </c>
      <c r="BF3" s="17"/>
      <c r="BG3" s="15"/>
      <c r="BH3" s="18" t="s">
        <v>61</v>
      </c>
      <c r="BI3" s="18" t="s">
        <v>61</v>
      </c>
      <c r="BJ3" s="18" t="s">
        <v>61</v>
      </c>
      <c r="BK3" s="18" t="s">
        <v>62</v>
      </c>
      <c r="BL3" s="15"/>
      <c r="BM3" s="38">
        <v>1.2</v>
      </c>
    </row>
    <row r="4" spans="1:65" ht="15.75" thickTop="1" x14ac:dyDescent="0.25">
      <c r="A4" s="4" t="s">
        <v>63</v>
      </c>
      <c r="B4" s="4">
        <v>71618</v>
      </c>
      <c r="C4" s="4" t="s">
        <v>64</v>
      </c>
      <c r="D4" s="19" t="s">
        <v>255</v>
      </c>
      <c r="E4" s="20">
        <v>400217</v>
      </c>
      <c r="F4" s="20" t="s">
        <v>256</v>
      </c>
      <c r="G4" s="20" t="s">
        <v>257</v>
      </c>
      <c r="H4" s="2">
        <v>45789</v>
      </c>
      <c r="I4" s="2" t="s">
        <v>258</v>
      </c>
      <c r="J4" s="2" t="s">
        <v>258</v>
      </c>
      <c r="K4" s="21">
        <v>19</v>
      </c>
      <c r="L4" s="21">
        <v>564300</v>
      </c>
      <c r="M4" s="21">
        <v>0</v>
      </c>
      <c r="N4" s="21">
        <v>788</v>
      </c>
      <c r="O4" s="21">
        <v>0</v>
      </c>
      <c r="P4" s="21">
        <v>536124</v>
      </c>
      <c r="Q4" s="22">
        <v>365.744923857868</v>
      </c>
      <c r="R4" s="22">
        <v>300</v>
      </c>
      <c r="S4" s="23">
        <v>0</v>
      </c>
      <c r="T4" s="23">
        <v>0</v>
      </c>
      <c r="U4" s="24">
        <v>0.95006911217437529</v>
      </c>
      <c r="V4" s="25">
        <v>0.1</v>
      </c>
      <c r="W4" s="26">
        <v>0.1</v>
      </c>
      <c r="X4" s="27">
        <v>0.89473684210526316</v>
      </c>
      <c r="Y4" s="25">
        <v>0</v>
      </c>
      <c r="Z4" s="24">
        <v>0.94736842105263153</v>
      </c>
      <c r="AA4" s="25">
        <v>0</v>
      </c>
      <c r="AB4" s="28">
        <v>2</v>
      </c>
      <c r="AC4" s="28">
        <v>0</v>
      </c>
      <c r="AD4" s="28">
        <v>0</v>
      </c>
      <c r="AE4" s="25">
        <v>0</v>
      </c>
      <c r="AF4" s="26">
        <v>0</v>
      </c>
      <c r="AG4" s="29" t="s">
        <v>729</v>
      </c>
      <c r="AH4" s="30">
        <v>0.97499999999999998</v>
      </c>
      <c r="AI4" s="26">
        <v>0.1</v>
      </c>
      <c r="AJ4" s="21">
        <v>0</v>
      </c>
      <c r="AK4" s="21">
        <v>0</v>
      </c>
      <c r="AL4" s="26">
        <v>0.1</v>
      </c>
      <c r="AM4" s="24">
        <v>0.69</v>
      </c>
      <c r="AN4" s="24">
        <v>0.73333333333333328</v>
      </c>
      <c r="AO4" s="31">
        <v>0.08</v>
      </c>
      <c r="AP4" s="31">
        <v>0.03</v>
      </c>
      <c r="AQ4" s="24">
        <v>0.82</v>
      </c>
      <c r="AR4" s="27">
        <v>0.86170212765957444</v>
      </c>
      <c r="AS4" s="26">
        <v>0.2</v>
      </c>
      <c r="AT4" s="26">
        <v>0.08</v>
      </c>
      <c r="AU4" s="24">
        <v>0.9950900163666121</v>
      </c>
      <c r="AV4" s="32">
        <v>13</v>
      </c>
      <c r="AW4" s="26">
        <v>0</v>
      </c>
      <c r="AX4" s="26">
        <v>0</v>
      </c>
      <c r="AY4" s="24">
        <v>0.74</v>
      </c>
      <c r="AZ4" s="24">
        <v>0.75207986688851913</v>
      </c>
      <c r="BA4" s="31">
        <v>0.1</v>
      </c>
      <c r="BB4" s="33">
        <v>0.57999999999999996</v>
      </c>
      <c r="BC4" s="21"/>
      <c r="BD4" s="26">
        <v>0.67999999999999994</v>
      </c>
      <c r="BE4" s="26">
        <v>0.11</v>
      </c>
      <c r="BF4" s="26" t="s">
        <v>729</v>
      </c>
      <c r="BG4" s="21"/>
      <c r="BH4" s="34">
        <v>0.05</v>
      </c>
      <c r="BI4" s="34">
        <v>0.09</v>
      </c>
      <c r="BJ4" s="34" t="s">
        <v>259</v>
      </c>
      <c r="BK4" s="34">
        <v>0.14000000000000001</v>
      </c>
      <c r="BL4" s="21"/>
      <c r="BM4" s="35">
        <v>0.64999999999999991</v>
      </c>
    </row>
    <row r="5" spans="1:65" x14ac:dyDescent="0.25">
      <c r="A5" s="4" t="s">
        <v>63</v>
      </c>
      <c r="B5" s="4">
        <v>71917</v>
      </c>
      <c r="C5" s="4" t="s">
        <v>65</v>
      </c>
      <c r="D5" s="19" t="s">
        <v>260</v>
      </c>
      <c r="E5" s="20">
        <v>46383</v>
      </c>
      <c r="F5" s="20" t="s">
        <v>261</v>
      </c>
      <c r="G5" s="20" t="s">
        <v>262</v>
      </c>
      <c r="H5" s="2">
        <v>45359</v>
      </c>
      <c r="I5" s="2" t="s">
        <v>253</v>
      </c>
      <c r="J5" s="2" t="s">
        <v>253</v>
      </c>
      <c r="K5" s="21">
        <v>1</v>
      </c>
      <c r="L5" s="21">
        <v>29700</v>
      </c>
      <c r="M5" s="21">
        <v>0</v>
      </c>
      <c r="N5" s="21">
        <v>39</v>
      </c>
      <c r="O5" s="21">
        <v>4</v>
      </c>
      <c r="P5" s="21">
        <v>19526</v>
      </c>
      <c r="Q5" s="22">
        <v>214.81395348837211</v>
      </c>
      <c r="R5" s="22">
        <v>300</v>
      </c>
      <c r="S5" s="23">
        <v>0.1</v>
      </c>
      <c r="T5" s="23">
        <v>0.05</v>
      </c>
      <c r="U5" s="24">
        <v>0.65744107744107749</v>
      </c>
      <c r="V5" s="25">
        <v>0</v>
      </c>
      <c r="W5" s="26">
        <v>0.1</v>
      </c>
      <c r="X5" s="27">
        <v>0</v>
      </c>
      <c r="Y5" s="25">
        <v>0</v>
      </c>
      <c r="Z5" s="24">
        <v>0</v>
      </c>
      <c r="AA5" s="25">
        <v>0</v>
      </c>
      <c r="AB5" s="28">
        <v>0</v>
      </c>
      <c r="AC5" s="28">
        <v>0</v>
      </c>
      <c r="AD5" s="28">
        <v>0</v>
      </c>
      <c r="AE5" s="25">
        <v>0.09</v>
      </c>
      <c r="AF5" s="26">
        <v>0.09</v>
      </c>
      <c r="AG5" s="29" t="s">
        <v>729</v>
      </c>
      <c r="AH5" s="30" t="s">
        <v>277</v>
      </c>
      <c r="AI5" s="26">
        <v>0.1</v>
      </c>
      <c r="AJ5" s="21">
        <v>0</v>
      </c>
      <c r="AK5" s="21">
        <v>0</v>
      </c>
      <c r="AL5" s="26">
        <v>0.1</v>
      </c>
      <c r="AM5" s="24">
        <v>0.69</v>
      </c>
      <c r="AN5" s="24">
        <v>1</v>
      </c>
      <c r="AO5" s="31">
        <v>0.08</v>
      </c>
      <c r="AP5" s="31">
        <v>0.03</v>
      </c>
      <c r="AQ5" s="24">
        <v>0.82</v>
      </c>
      <c r="AR5" s="27">
        <v>1</v>
      </c>
      <c r="AS5" s="26">
        <v>0</v>
      </c>
      <c r="AT5" s="26">
        <v>0</v>
      </c>
      <c r="AU5" s="24">
        <v>0.41463414634146339</v>
      </c>
      <c r="AV5" s="32">
        <v>0</v>
      </c>
      <c r="AW5" s="26">
        <v>0.05</v>
      </c>
      <c r="AX5" s="26">
        <v>0.02</v>
      </c>
      <c r="AY5" s="24">
        <v>0.71162162162162157</v>
      </c>
      <c r="AZ5" s="24">
        <v>0.43243243243243246</v>
      </c>
      <c r="BA5" s="31">
        <v>0</v>
      </c>
      <c r="BB5" s="33">
        <v>0.33</v>
      </c>
      <c r="BC5" s="21"/>
      <c r="BD5" s="26">
        <v>0.52</v>
      </c>
      <c r="BE5" s="26">
        <v>0.1</v>
      </c>
      <c r="BF5" s="26" t="s">
        <v>729</v>
      </c>
      <c r="BG5" s="21"/>
      <c r="BH5" s="34">
        <v>0</v>
      </c>
      <c r="BI5" s="34">
        <v>0</v>
      </c>
      <c r="BJ5" s="34" t="s">
        <v>259</v>
      </c>
      <c r="BK5" s="34">
        <v>0</v>
      </c>
      <c r="BL5" s="21"/>
      <c r="BM5" s="35">
        <v>0.62</v>
      </c>
    </row>
    <row r="6" spans="1:65" x14ac:dyDescent="0.25">
      <c r="A6" s="4" t="s">
        <v>63</v>
      </c>
      <c r="B6" s="4">
        <v>71574</v>
      </c>
      <c r="C6" s="4" t="s">
        <v>66</v>
      </c>
      <c r="D6" s="19" t="s">
        <v>264</v>
      </c>
      <c r="E6" s="20">
        <v>55854</v>
      </c>
      <c r="F6" s="20" t="s">
        <v>265</v>
      </c>
      <c r="G6" s="20" t="s">
        <v>266</v>
      </c>
      <c r="H6" s="2">
        <v>43830</v>
      </c>
      <c r="I6" s="2" t="s">
        <v>263</v>
      </c>
      <c r="J6" s="2" t="s">
        <v>263</v>
      </c>
      <c r="K6" s="21">
        <v>13</v>
      </c>
      <c r="L6" s="21">
        <v>386100</v>
      </c>
      <c r="M6" s="21">
        <v>0</v>
      </c>
      <c r="N6" s="21">
        <v>684</v>
      </c>
      <c r="O6" s="21">
        <v>0</v>
      </c>
      <c r="P6" s="21">
        <v>291340</v>
      </c>
      <c r="Q6" s="22">
        <v>285.42543859649123</v>
      </c>
      <c r="R6" s="22">
        <v>300</v>
      </c>
      <c r="S6" s="23">
        <v>0.1</v>
      </c>
      <c r="T6" s="23">
        <v>0.05</v>
      </c>
      <c r="U6" s="24">
        <v>0.7545713545713546</v>
      </c>
      <c r="V6" s="25">
        <v>0</v>
      </c>
      <c r="W6" s="26">
        <v>0.1</v>
      </c>
      <c r="X6" s="27">
        <v>0</v>
      </c>
      <c r="Y6" s="25">
        <v>0</v>
      </c>
      <c r="Z6" s="24">
        <v>0.76923076923076927</v>
      </c>
      <c r="AA6" s="25">
        <v>0</v>
      </c>
      <c r="AB6" s="28">
        <v>0</v>
      </c>
      <c r="AC6" s="28">
        <v>0</v>
      </c>
      <c r="AD6" s="28">
        <v>0</v>
      </c>
      <c r="AE6" s="25">
        <v>0.09</v>
      </c>
      <c r="AF6" s="26">
        <v>0.09</v>
      </c>
      <c r="AG6" s="29">
        <v>0.1</v>
      </c>
      <c r="AH6" s="30">
        <v>1</v>
      </c>
      <c r="AI6" s="26">
        <v>0.1</v>
      </c>
      <c r="AJ6" s="21">
        <v>0</v>
      </c>
      <c r="AK6" s="21">
        <v>0</v>
      </c>
      <c r="AL6" s="26">
        <v>0.1</v>
      </c>
      <c r="AM6" s="24">
        <v>0.67209302325581388</v>
      </c>
      <c r="AN6" s="24">
        <v>0.77906976744186052</v>
      </c>
      <c r="AO6" s="31">
        <v>0.08</v>
      </c>
      <c r="AP6" s="31">
        <v>0.03</v>
      </c>
      <c r="AQ6" s="24">
        <v>0.80573170731707311</v>
      </c>
      <c r="AR6" s="27">
        <v>0.82926829268292679</v>
      </c>
      <c r="AS6" s="26">
        <v>0.2</v>
      </c>
      <c r="AT6" s="26">
        <v>0.04</v>
      </c>
      <c r="AU6" s="24">
        <v>0.96864111498257843</v>
      </c>
      <c r="AV6" s="32">
        <v>2</v>
      </c>
      <c r="AW6" s="26">
        <v>0.03</v>
      </c>
      <c r="AX6" s="26">
        <v>0</v>
      </c>
      <c r="AY6" s="24">
        <v>0.69505263157894726</v>
      </c>
      <c r="AZ6" s="24">
        <v>0.72982456140350882</v>
      </c>
      <c r="BA6" s="31">
        <v>0.1</v>
      </c>
      <c r="BB6" s="33">
        <v>0.61</v>
      </c>
      <c r="BC6" s="21"/>
      <c r="BD6" s="26">
        <v>0.79999999999999993</v>
      </c>
      <c r="BE6" s="26">
        <v>0.12</v>
      </c>
      <c r="BF6" s="26">
        <v>0.1</v>
      </c>
      <c r="BG6" s="21"/>
      <c r="BH6" s="34">
        <v>0</v>
      </c>
      <c r="BI6" s="34">
        <v>0</v>
      </c>
      <c r="BJ6" s="34" t="s">
        <v>259</v>
      </c>
      <c r="BK6" s="34">
        <v>0</v>
      </c>
      <c r="BL6" s="21"/>
      <c r="BM6" s="35">
        <v>1.02</v>
      </c>
    </row>
    <row r="7" spans="1:65" x14ac:dyDescent="0.25">
      <c r="A7" s="4" t="s">
        <v>63</v>
      </c>
      <c r="B7" s="4">
        <v>71588</v>
      </c>
      <c r="C7" s="4" t="s">
        <v>67</v>
      </c>
      <c r="D7" s="19" t="s">
        <v>267</v>
      </c>
      <c r="E7" s="20">
        <v>58081</v>
      </c>
      <c r="F7" s="20" t="s">
        <v>268</v>
      </c>
      <c r="G7" s="20" t="s">
        <v>269</v>
      </c>
      <c r="H7" s="2">
        <v>44423</v>
      </c>
      <c r="I7" s="2" t="s">
        <v>263</v>
      </c>
      <c r="J7" s="2" t="s">
        <v>263</v>
      </c>
      <c r="K7" s="21">
        <v>9</v>
      </c>
      <c r="L7" s="21">
        <v>267300</v>
      </c>
      <c r="M7" s="21">
        <v>6300</v>
      </c>
      <c r="N7" s="21">
        <v>331</v>
      </c>
      <c r="O7" s="21">
        <v>0</v>
      </c>
      <c r="P7" s="21">
        <v>187968</v>
      </c>
      <c r="Q7" s="22">
        <v>408.55589123867071</v>
      </c>
      <c r="R7" s="22">
        <v>300</v>
      </c>
      <c r="S7" s="23">
        <v>0</v>
      </c>
      <c r="T7" s="23">
        <v>0</v>
      </c>
      <c r="U7" s="24">
        <v>0.72018390804597698</v>
      </c>
      <c r="V7" s="25">
        <v>0</v>
      </c>
      <c r="W7" s="26">
        <v>0</v>
      </c>
      <c r="X7" s="27">
        <v>0</v>
      </c>
      <c r="Y7" s="25">
        <v>0</v>
      </c>
      <c r="Z7" s="24">
        <v>0.66666666666666663</v>
      </c>
      <c r="AA7" s="25">
        <v>0</v>
      </c>
      <c r="AB7" s="28">
        <v>0</v>
      </c>
      <c r="AC7" s="28">
        <v>0</v>
      </c>
      <c r="AD7" s="28">
        <v>0</v>
      </c>
      <c r="AE7" s="25">
        <v>0.09</v>
      </c>
      <c r="AF7" s="26">
        <v>0.09</v>
      </c>
      <c r="AG7" s="29" t="s">
        <v>729</v>
      </c>
      <c r="AH7" s="30">
        <v>0.89500000000000002</v>
      </c>
      <c r="AI7" s="26">
        <v>0.05</v>
      </c>
      <c r="AJ7" s="21">
        <v>0</v>
      </c>
      <c r="AK7" s="21">
        <v>0</v>
      </c>
      <c r="AL7" s="26">
        <v>0.1</v>
      </c>
      <c r="AM7" s="24">
        <v>0.69</v>
      </c>
      <c r="AN7" s="24">
        <v>0.60465116279069764</v>
      </c>
      <c r="AO7" s="31">
        <v>0</v>
      </c>
      <c r="AP7" s="31">
        <v>0</v>
      </c>
      <c r="AQ7" s="24">
        <v>0.82</v>
      </c>
      <c r="AR7" s="27">
        <v>0.68292682926829273</v>
      </c>
      <c r="AS7" s="26">
        <v>0</v>
      </c>
      <c r="AT7" s="26">
        <v>0</v>
      </c>
      <c r="AU7" s="24">
        <v>0.96853146853146854</v>
      </c>
      <c r="AV7" s="32">
        <v>2</v>
      </c>
      <c r="AW7" s="26">
        <v>0.03</v>
      </c>
      <c r="AX7" s="26">
        <v>0</v>
      </c>
      <c r="AY7" s="24">
        <v>0.7016842105263158</v>
      </c>
      <c r="AZ7" s="24">
        <v>0.71578947368421053</v>
      </c>
      <c r="BA7" s="31">
        <v>0.1</v>
      </c>
      <c r="BB7" s="33">
        <v>0.28000000000000003</v>
      </c>
      <c r="BC7" s="21"/>
      <c r="BD7" s="26">
        <v>0.37</v>
      </c>
      <c r="BE7" s="26">
        <v>0</v>
      </c>
      <c r="BF7" s="26" t="s">
        <v>729</v>
      </c>
      <c r="BG7" s="21"/>
      <c r="BH7" s="34">
        <v>0</v>
      </c>
      <c r="BI7" s="34">
        <v>0</v>
      </c>
      <c r="BJ7" s="34" t="s">
        <v>259</v>
      </c>
      <c r="BK7" s="34">
        <v>0</v>
      </c>
      <c r="BL7" s="21"/>
      <c r="BM7" s="35">
        <v>0.37</v>
      </c>
    </row>
    <row r="8" spans="1:65" x14ac:dyDescent="0.25">
      <c r="A8" s="4" t="s">
        <v>63</v>
      </c>
      <c r="B8" s="4">
        <v>71446</v>
      </c>
      <c r="C8" s="4" t="s">
        <v>68</v>
      </c>
      <c r="D8" s="19" t="s">
        <v>270</v>
      </c>
      <c r="E8" s="20">
        <v>57903</v>
      </c>
      <c r="F8" s="20" t="s">
        <v>271</v>
      </c>
      <c r="G8" s="20" t="s">
        <v>272</v>
      </c>
      <c r="H8" s="2">
        <v>44437</v>
      </c>
      <c r="I8" s="2" t="s">
        <v>263</v>
      </c>
      <c r="J8" s="2" t="s">
        <v>263</v>
      </c>
      <c r="K8" s="21">
        <v>19</v>
      </c>
      <c r="L8" s="21">
        <v>564300</v>
      </c>
      <c r="M8" s="21">
        <v>0</v>
      </c>
      <c r="N8" s="21">
        <v>1065</v>
      </c>
      <c r="O8" s="21">
        <v>0</v>
      </c>
      <c r="P8" s="21">
        <v>503040</v>
      </c>
      <c r="Q8" s="22">
        <v>297.71830985915494</v>
      </c>
      <c r="R8" s="22">
        <v>300</v>
      </c>
      <c r="S8" s="23">
        <v>0.1</v>
      </c>
      <c r="T8" s="23">
        <v>0.02</v>
      </c>
      <c r="U8" s="24">
        <v>0.89144072301967037</v>
      </c>
      <c r="V8" s="25">
        <v>0.1</v>
      </c>
      <c r="W8" s="26">
        <v>0.2</v>
      </c>
      <c r="X8" s="27">
        <v>0.10526315789473684</v>
      </c>
      <c r="Y8" s="25">
        <v>0</v>
      </c>
      <c r="Z8" s="24">
        <v>1</v>
      </c>
      <c r="AA8" s="25">
        <v>0.04</v>
      </c>
      <c r="AB8" s="28">
        <v>0</v>
      </c>
      <c r="AC8" s="28">
        <v>0</v>
      </c>
      <c r="AD8" s="28">
        <v>0</v>
      </c>
      <c r="AE8" s="25">
        <v>0.09</v>
      </c>
      <c r="AF8" s="26">
        <v>0.13</v>
      </c>
      <c r="AG8" s="29" t="s">
        <v>729</v>
      </c>
      <c r="AH8" s="30">
        <v>0.97499999999999998</v>
      </c>
      <c r="AI8" s="26">
        <v>0.1</v>
      </c>
      <c r="AJ8" s="21">
        <v>0</v>
      </c>
      <c r="AK8" s="21">
        <v>0</v>
      </c>
      <c r="AL8" s="26">
        <v>0.1</v>
      </c>
      <c r="AM8" s="24">
        <v>0.68824999999999992</v>
      </c>
      <c r="AN8" s="24">
        <v>0.51249999999999996</v>
      </c>
      <c r="AO8" s="31">
        <v>0</v>
      </c>
      <c r="AP8" s="31">
        <v>0</v>
      </c>
      <c r="AQ8" s="24">
        <v>0.81828947368421046</v>
      </c>
      <c r="AR8" s="27">
        <v>0.64473684210526316</v>
      </c>
      <c r="AS8" s="26">
        <v>0</v>
      </c>
      <c r="AT8" s="26">
        <v>0</v>
      </c>
      <c r="AU8" s="24">
        <v>0.96444444444444444</v>
      </c>
      <c r="AV8" s="32">
        <v>2</v>
      </c>
      <c r="AW8" s="26">
        <v>0.03</v>
      </c>
      <c r="AX8" s="26">
        <v>0</v>
      </c>
      <c r="AY8" s="24">
        <v>0.69936241610738259</v>
      </c>
      <c r="AZ8" s="24">
        <v>0.69463087248322153</v>
      </c>
      <c r="BA8" s="31">
        <v>0.05</v>
      </c>
      <c r="BB8" s="33">
        <v>0.28000000000000003</v>
      </c>
      <c r="BC8" s="21"/>
      <c r="BD8" s="26">
        <v>0.6100000000000001</v>
      </c>
      <c r="BE8" s="26">
        <v>0.02</v>
      </c>
      <c r="BF8" s="26" t="s">
        <v>729</v>
      </c>
      <c r="BG8" s="21"/>
      <c r="BH8" s="34">
        <v>0</v>
      </c>
      <c r="BI8" s="34">
        <v>0</v>
      </c>
      <c r="BJ8" s="34" t="s">
        <v>259</v>
      </c>
      <c r="BK8" s="34">
        <v>0</v>
      </c>
      <c r="BL8" s="21"/>
      <c r="BM8" s="35">
        <v>0.63000000000000012</v>
      </c>
    </row>
    <row r="9" spans="1:65" x14ac:dyDescent="0.25">
      <c r="A9" s="4" t="s">
        <v>63</v>
      </c>
      <c r="B9" s="4">
        <v>73664</v>
      </c>
      <c r="C9" s="4" t="s">
        <v>69</v>
      </c>
      <c r="D9" s="19" t="s">
        <v>273</v>
      </c>
      <c r="E9" s="20">
        <v>52569</v>
      </c>
      <c r="F9" s="20" t="s">
        <v>274</v>
      </c>
      <c r="G9" s="20" t="s">
        <v>275</v>
      </c>
      <c r="H9" s="2">
        <v>43235</v>
      </c>
      <c r="I9" s="2" t="s">
        <v>253</v>
      </c>
      <c r="J9" s="2" t="s">
        <v>253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2">
        <v>0</v>
      </c>
      <c r="R9" s="22">
        <v>0</v>
      </c>
      <c r="S9" s="23">
        <v>0</v>
      </c>
      <c r="T9" s="23">
        <v>0</v>
      </c>
      <c r="U9" s="24" t="s">
        <v>276</v>
      </c>
      <c r="V9" s="25">
        <v>0</v>
      </c>
      <c r="W9" s="26">
        <v>0</v>
      </c>
      <c r="X9" s="27">
        <v>0.5</v>
      </c>
      <c r="Y9" s="25">
        <v>0</v>
      </c>
      <c r="Z9" s="24">
        <v>0.95</v>
      </c>
      <c r="AA9" s="25">
        <v>0.04</v>
      </c>
      <c r="AB9" s="28">
        <v>0</v>
      </c>
      <c r="AC9" s="28">
        <v>0</v>
      </c>
      <c r="AD9" s="28">
        <v>0</v>
      </c>
      <c r="AE9" s="25">
        <v>0.09</v>
      </c>
      <c r="AF9" s="26">
        <v>0.13</v>
      </c>
      <c r="AG9" s="29" t="s">
        <v>729</v>
      </c>
      <c r="AH9" s="30" t="s">
        <v>277</v>
      </c>
      <c r="AI9" s="26">
        <v>0.1</v>
      </c>
      <c r="AJ9" s="21">
        <v>0</v>
      </c>
      <c r="AK9" s="21">
        <v>0</v>
      </c>
      <c r="AL9" s="26">
        <v>0.1</v>
      </c>
      <c r="AM9" s="24">
        <v>0</v>
      </c>
      <c r="AN9" s="24">
        <v>0</v>
      </c>
      <c r="AO9" s="31">
        <v>0.08</v>
      </c>
      <c r="AP9" s="31">
        <v>0</v>
      </c>
      <c r="AQ9" s="24">
        <v>0</v>
      </c>
      <c r="AR9" s="27">
        <v>0</v>
      </c>
      <c r="AS9" s="26">
        <v>0.2</v>
      </c>
      <c r="AT9" s="26">
        <v>0</v>
      </c>
      <c r="AU9" s="24" t="s">
        <v>276</v>
      </c>
      <c r="AV9" s="32">
        <v>0</v>
      </c>
      <c r="AW9" s="26">
        <v>0.05</v>
      </c>
      <c r="AX9" s="26">
        <v>0.02</v>
      </c>
      <c r="AY9" s="24">
        <v>0</v>
      </c>
      <c r="AZ9" s="24">
        <v>0</v>
      </c>
      <c r="BA9" s="31">
        <v>0</v>
      </c>
      <c r="BB9" s="33">
        <v>0.53</v>
      </c>
      <c r="BC9" s="21"/>
      <c r="BD9" s="26">
        <v>0.66</v>
      </c>
      <c r="BE9" s="26">
        <v>0.02</v>
      </c>
      <c r="BF9" s="26" t="s">
        <v>729</v>
      </c>
      <c r="BG9" s="21"/>
      <c r="BH9" s="34">
        <v>0</v>
      </c>
      <c r="BI9" s="34">
        <v>0</v>
      </c>
      <c r="BJ9" s="34" t="s">
        <v>259</v>
      </c>
      <c r="BK9" s="34">
        <v>0</v>
      </c>
      <c r="BL9" s="21"/>
      <c r="BM9" s="35">
        <v>0.68</v>
      </c>
    </row>
    <row r="10" spans="1:65" x14ac:dyDescent="0.25">
      <c r="A10" s="4" t="s">
        <v>63</v>
      </c>
      <c r="B10" s="4">
        <v>72304</v>
      </c>
      <c r="C10" s="4" t="s">
        <v>70</v>
      </c>
      <c r="D10" s="19" t="s">
        <v>273</v>
      </c>
      <c r="E10" s="20">
        <v>55199</v>
      </c>
      <c r="F10" s="20" t="s">
        <v>278</v>
      </c>
      <c r="G10" s="20" t="s">
        <v>279</v>
      </c>
      <c r="H10" s="2">
        <v>43671</v>
      </c>
      <c r="I10" s="2" t="s">
        <v>263</v>
      </c>
      <c r="J10" s="2" t="s">
        <v>263</v>
      </c>
      <c r="K10" s="21">
        <v>9</v>
      </c>
      <c r="L10" s="21">
        <v>296100</v>
      </c>
      <c r="M10" s="21">
        <v>28800</v>
      </c>
      <c r="N10" s="21">
        <v>4</v>
      </c>
      <c r="O10" s="21">
        <v>0</v>
      </c>
      <c r="P10" s="21">
        <v>2251</v>
      </c>
      <c r="Q10" s="22">
        <v>531</v>
      </c>
      <c r="R10" s="22">
        <v>300</v>
      </c>
      <c r="S10" s="23">
        <v>0</v>
      </c>
      <c r="T10" s="23">
        <v>0</v>
      </c>
      <c r="U10" s="24">
        <v>8.4212495323606439E-3</v>
      </c>
      <c r="V10" s="25">
        <v>0</v>
      </c>
      <c r="W10" s="26">
        <v>0</v>
      </c>
      <c r="X10" s="27">
        <v>0.55555555555555558</v>
      </c>
      <c r="Y10" s="25">
        <v>0</v>
      </c>
      <c r="Z10" s="24">
        <v>0.77777777777777779</v>
      </c>
      <c r="AA10" s="25">
        <v>0</v>
      </c>
      <c r="AB10" s="28">
        <v>0</v>
      </c>
      <c r="AC10" s="28">
        <v>0</v>
      </c>
      <c r="AD10" s="28">
        <v>0</v>
      </c>
      <c r="AE10" s="25">
        <v>0.09</v>
      </c>
      <c r="AF10" s="26">
        <v>0.09</v>
      </c>
      <c r="AG10" s="29" t="s">
        <v>729</v>
      </c>
      <c r="AH10" s="30">
        <v>0.98499999999999999</v>
      </c>
      <c r="AI10" s="26">
        <v>0.1</v>
      </c>
      <c r="AJ10" s="21">
        <v>0</v>
      </c>
      <c r="AK10" s="21">
        <v>0</v>
      </c>
      <c r="AL10" s="26">
        <v>0.1</v>
      </c>
      <c r="AM10" s="24">
        <v>0.62</v>
      </c>
      <c r="AN10" s="24">
        <v>1</v>
      </c>
      <c r="AO10" s="31">
        <v>0.08</v>
      </c>
      <c r="AP10" s="31">
        <v>0.03</v>
      </c>
      <c r="AQ10" s="24">
        <v>0.75499999999999989</v>
      </c>
      <c r="AR10" s="27">
        <v>1</v>
      </c>
      <c r="AS10" s="26">
        <v>0.2</v>
      </c>
      <c r="AT10" s="26">
        <v>0.1</v>
      </c>
      <c r="AU10" s="24">
        <v>1</v>
      </c>
      <c r="AV10" s="32">
        <v>0</v>
      </c>
      <c r="AW10" s="26">
        <v>0.05</v>
      </c>
      <c r="AX10" s="26">
        <v>0.02</v>
      </c>
      <c r="AY10" s="24">
        <v>0.6875</v>
      </c>
      <c r="AZ10" s="24">
        <v>0.75</v>
      </c>
      <c r="BA10" s="31">
        <v>0.1</v>
      </c>
      <c r="BB10" s="33">
        <v>0.63</v>
      </c>
      <c r="BC10" s="21"/>
      <c r="BD10" s="26">
        <v>0.72</v>
      </c>
      <c r="BE10" s="26">
        <v>0.15000000000000002</v>
      </c>
      <c r="BF10" s="26" t="s">
        <v>729</v>
      </c>
      <c r="BG10" s="21"/>
      <c r="BH10" s="34">
        <v>0</v>
      </c>
      <c r="BI10" s="34">
        <v>0</v>
      </c>
      <c r="BJ10" s="34" t="s">
        <v>259</v>
      </c>
      <c r="BK10" s="34">
        <v>0</v>
      </c>
      <c r="BL10" s="21"/>
      <c r="BM10" s="35">
        <v>0.87</v>
      </c>
    </row>
    <row r="11" spans="1:65" x14ac:dyDescent="0.25">
      <c r="A11" s="4" t="s">
        <v>63</v>
      </c>
      <c r="B11" s="4">
        <v>71524</v>
      </c>
      <c r="C11" s="4" t="s">
        <v>71</v>
      </c>
      <c r="D11" s="19" t="s">
        <v>267</v>
      </c>
      <c r="E11" s="20">
        <v>53614</v>
      </c>
      <c r="F11" s="20" t="s">
        <v>280</v>
      </c>
      <c r="G11" s="20" t="s">
        <v>281</v>
      </c>
      <c r="H11" s="2">
        <v>43359</v>
      </c>
      <c r="I11" s="2" t="s">
        <v>263</v>
      </c>
      <c r="J11" s="2" t="s">
        <v>263</v>
      </c>
      <c r="K11" s="21">
        <v>6</v>
      </c>
      <c r="L11" s="21">
        <v>178200</v>
      </c>
      <c r="M11" s="21">
        <v>0</v>
      </c>
      <c r="N11" s="21">
        <v>282</v>
      </c>
      <c r="O11" s="21">
        <v>0</v>
      </c>
      <c r="P11" s="21">
        <v>150466</v>
      </c>
      <c r="Q11" s="22">
        <v>344.66312056737587</v>
      </c>
      <c r="R11" s="22">
        <v>300</v>
      </c>
      <c r="S11" s="23">
        <v>0</v>
      </c>
      <c r="T11" s="23">
        <v>0</v>
      </c>
      <c r="U11" s="24">
        <v>0.84436588103254773</v>
      </c>
      <c r="V11" s="25">
        <v>0.1</v>
      </c>
      <c r="W11" s="26">
        <v>0.1</v>
      </c>
      <c r="X11" s="27">
        <v>0.16666666666666666</v>
      </c>
      <c r="Y11" s="25">
        <v>0</v>
      </c>
      <c r="Z11" s="24">
        <v>0.33333333333333331</v>
      </c>
      <c r="AA11" s="25">
        <v>0</v>
      </c>
      <c r="AB11" s="28">
        <v>3</v>
      </c>
      <c r="AC11" s="28">
        <v>0</v>
      </c>
      <c r="AD11" s="28">
        <v>0</v>
      </c>
      <c r="AE11" s="25">
        <v>0</v>
      </c>
      <c r="AF11" s="26">
        <v>0</v>
      </c>
      <c r="AG11" s="29" t="s">
        <v>729</v>
      </c>
      <c r="AH11" s="30">
        <v>1</v>
      </c>
      <c r="AI11" s="26">
        <v>0.1</v>
      </c>
      <c r="AJ11" s="21">
        <v>0</v>
      </c>
      <c r="AK11" s="21">
        <v>0</v>
      </c>
      <c r="AL11" s="26">
        <v>0.1</v>
      </c>
      <c r="AM11" s="24">
        <v>0.67645161290322575</v>
      </c>
      <c r="AN11" s="24">
        <v>0.61290322580645162</v>
      </c>
      <c r="AO11" s="31">
        <v>0</v>
      </c>
      <c r="AP11" s="31">
        <v>0</v>
      </c>
      <c r="AQ11" s="24">
        <v>0.80655172413793108</v>
      </c>
      <c r="AR11" s="27">
        <v>0.65517241379310343</v>
      </c>
      <c r="AS11" s="26">
        <v>0</v>
      </c>
      <c r="AT11" s="26">
        <v>0</v>
      </c>
      <c r="AU11" s="24">
        <v>0.95736434108527135</v>
      </c>
      <c r="AV11" s="32">
        <v>1</v>
      </c>
      <c r="AW11" s="26">
        <v>0.05</v>
      </c>
      <c r="AX11" s="26">
        <v>0</v>
      </c>
      <c r="AY11" s="24">
        <v>0.70499999999999996</v>
      </c>
      <c r="AZ11" s="24">
        <v>0.72868217054263562</v>
      </c>
      <c r="BA11" s="31">
        <v>0.1</v>
      </c>
      <c r="BB11" s="33">
        <v>0.35</v>
      </c>
      <c r="BC11" s="21"/>
      <c r="BD11" s="26">
        <v>0.44999999999999996</v>
      </c>
      <c r="BE11" s="26">
        <v>0</v>
      </c>
      <c r="BF11" s="26" t="s">
        <v>729</v>
      </c>
      <c r="BG11" s="21"/>
      <c r="BH11" s="34">
        <v>0.1</v>
      </c>
      <c r="BI11" s="34">
        <v>0</v>
      </c>
      <c r="BJ11" s="34" t="s">
        <v>259</v>
      </c>
      <c r="BK11" s="34">
        <v>0.1</v>
      </c>
      <c r="BL11" s="21"/>
      <c r="BM11" s="35">
        <v>0.35</v>
      </c>
    </row>
    <row r="12" spans="1:65" x14ac:dyDescent="0.25">
      <c r="A12" s="4" t="s">
        <v>63</v>
      </c>
      <c r="B12" s="4">
        <v>72867</v>
      </c>
      <c r="C12" s="4" t="s">
        <v>72</v>
      </c>
      <c r="D12" s="19" t="s">
        <v>282</v>
      </c>
      <c r="E12" s="20">
        <v>43184</v>
      </c>
      <c r="F12" s="20" t="s">
        <v>283</v>
      </c>
      <c r="G12" s="20" t="s">
        <v>284</v>
      </c>
      <c r="H12" s="2">
        <v>44918</v>
      </c>
      <c r="I12" s="2" t="s">
        <v>263</v>
      </c>
      <c r="J12" s="2" t="s">
        <v>263</v>
      </c>
      <c r="K12" s="21">
        <v>19</v>
      </c>
      <c r="L12" s="21">
        <v>567900</v>
      </c>
      <c r="M12" s="21">
        <v>10800</v>
      </c>
      <c r="N12" s="21">
        <v>347</v>
      </c>
      <c r="O12" s="21">
        <v>0</v>
      </c>
      <c r="P12" s="21">
        <v>119337</v>
      </c>
      <c r="Q12" s="22">
        <v>254.09221902017291</v>
      </c>
      <c r="R12" s="22">
        <v>300</v>
      </c>
      <c r="S12" s="23">
        <v>0.1</v>
      </c>
      <c r="T12" s="23">
        <v>0.05</v>
      </c>
      <c r="U12" s="24">
        <v>0.21421109316101239</v>
      </c>
      <c r="V12" s="25">
        <v>0</v>
      </c>
      <c r="W12" s="26">
        <v>0.1</v>
      </c>
      <c r="X12" s="27">
        <v>0.21052631578947367</v>
      </c>
      <c r="Y12" s="25">
        <v>0</v>
      </c>
      <c r="Z12" s="24">
        <v>0.84210526315789469</v>
      </c>
      <c r="AA12" s="25">
        <v>0</v>
      </c>
      <c r="AB12" s="28">
        <v>0</v>
      </c>
      <c r="AC12" s="28">
        <v>0</v>
      </c>
      <c r="AD12" s="28">
        <v>0</v>
      </c>
      <c r="AE12" s="25">
        <v>0.09</v>
      </c>
      <c r="AF12" s="26">
        <v>0.09</v>
      </c>
      <c r="AG12" s="29" t="s">
        <v>729</v>
      </c>
      <c r="AH12" s="30">
        <v>1</v>
      </c>
      <c r="AI12" s="26">
        <v>0.1</v>
      </c>
      <c r="AJ12" s="21">
        <v>0</v>
      </c>
      <c r="AK12" s="21">
        <v>0</v>
      </c>
      <c r="AL12" s="26">
        <v>0.1</v>
      </c>
      <c r="AM12" s="24">
        <v>0.67046511627906968</v>
      </c>
      <c r="AN12" s="24">
        <v>0.53488372093023251</v>
      </c>
      <c r="AO12" s="31">
        <v>0</v>
      </c>
      <c r="AP12" s="31">
        <v>0</v>
      </c>
      <c r="AQ12" s="24">
        <v>0.80414634146341457</v>
      </c>
      <c r="AR12" s="27">
        <v>0.73170731707317072</v>
      </c>
      <c r="AS12" s="26">
        <v>0</v>
      </c>
      <c r="AT12" s="26">
        <v>0</v>
      </c>
      <c r="AU12" s="24">
        <v>0.97202797202797198</v>
      </c>
      <c r="AV12" s="32">
        <v>0</v>
      </c>
      <c r="AW12" s="26">
        <v>0.05</v>
      </c>
      <c r="AX12" s="26">
        <v>0.02</v>
      </c>
      <c r="AY12" s="24">
        <v>0.68638297872340426</v>
      </c>
      <c r="AZ12" s="24">
        <v>0.66666666666666663</v>
      </c>
      <c r="BA12" s="31">
        <v>0.05</v>
      </c>
      <c r="BB12" s="33">
        <v>0.3</v>
      </c>
      <c r="BC12" s="21"/>
      <c r="BD12" s="26">
        <v>0.49</v>
      </c>
      <c r="BE12" s="26">
        <v>7.0000000000000007E-2</v>
      </c>
      <c r="BF12" s="26" t="s">
        <v>729</v>
      </c>
      <c r="BG12" s="21"/>
      <c r="BH12" s="34">
        <v>0</v>
      </c>
      <c r="BI12" s="34">
        <v>0</v>
      </c>
      <c r="BJ12" s="34" t="s">
        <v>259</v>
      </c>
      <c r="BK12" s="34">
        <v>0</v>
      </c>
      <c r="BL12" s="21"/>
      <c r="BM12" s="35">
        <v>0.56000000000000005</v>
      </c>
    </row>
    <row r="13" spans="1:65" x14ac:dyDescent="0.25">
      <c r="A13" s="4" t="s">
        <v>63</v>
      </c>
      <c r="B13" s="4">
        <v>71814</v>
      </c>
      <c r="C13" s="4" t="s">
        <v>73</v>
      </c>
      <c r="D13" s="19" t="s">
        <v>270</v>
      </c>
      <c r="E13" s="20">
        <v>57235</v>
      </c>
      <c r="F13" s="20" t="s">
        <v>285</v>
      </c>
      <c r="G13" s="20" t="s">
        <v>286</v>
      </c>
      <c r="H13" s="2">
        <v>44351</v>
      </c>
      <c r="I13" s="2" t="s">
        <v>263</v>
      </c>
      <c r="J13" s="2" t="s">
        <v>263</v>
      </c>
      <c r="K13" s="21">
        <v>19</v>
      </c>
      <c r="L13" s="21">
        <v>564300</v>
      </c>
      <c r="M13" s="21">
        <v>0</v>
      </c>
      <c r="N13" s="21">
        <v>1039</v>
      </c>
      <c r="O13" s="21">
        <v>0</v>
      </c>
      <c r="P13" s="21">
        <v>404745</v>
      </c>
      <c r="Q13" s="22">
        <v>303.6727622714148</v>
      </c>
      <c r="R13" s="22">
        <v>300</v>
      </c>
      <c r="S13" s="23">
        <v>0.05</v>
      </c>
      <c r="T13" s="23">
        <v>0</v>
      </c>
      <c r="U13" s="24">
        <v>0.71725146198830414</v>
      </c>
      <c r="V13" s="25">
        <v>0</v>
      </c>
      <c r="W13" s="26">
        <v>0.05</v>
      </c>
      <c r="X13" s="27">
        <v>0.15789473684210525</v>
      </c>
      <c r="Y13" s="25">
        <v>0</v>
      </c>
      <c r="Z13" s="24">
        <v>0.52631578947368418</v>
      </c>
      <c r="AA13" s="25">
        <v>0</v>
      </c>
      <c r="AB13" s="28">
        <v>0</v>
      </c>
      <c r="AC13" s="28">
        <v>0</v>
      </c>
      <c r="AD13" s="28">
        <v>0</v>
      </c>
      <c r="AE13" s="25">
        <v>0.09</v>
      </c>
      <c r="AF13" s="26">
        <v>0.09</v>
      </c>
      <c r="AG13" s="29" t="s">
        <v>729</v>
      </c>
      <c r="AH13" s="30">
        <v>0.95000000000000007</v>
      </c>
      <c r="AI13" s="26">
        <v>0.1</v>
      </c>
      <c r="AJ13" s="21">
        <v>0</v>
      </c>
      <c r="AK13" s="21">
        <v>0</v>
      </c>
      <c r="AL13" s="26">
        <v>0.1</v>
      </c>
      <c r="AM13" s="24">
        <v>0.68182481751824819</v>
      </c>
      <c r="AN13" s="24">
        <v>0.69343065693430661</v>
      </c>
      <c r="AO13" s="31">
        <v>0.08</v>
      </c>
      <c r="AP13" s="31">
        <v>0.03</v>
      </c>
      <c r="AQ13" s="24">
        <v>0.81174603174603166</v>
      </c>
      <c r="AR13" s="27">
        <v>0.73809523809523814</v>
      </c>
      <c r="AS13" s="26">
        <v>0</v>
      </c>
      <c r="AT13" s="26">
        <v>0</v>
      </c>
      <c r="AU13" s="24">
        <v>0.98780487804878048</v>
      </c>
      <c r="AV13" s="32">
        <v>1</v>
      </c>
      <c r="AW13" s="26">
        <v>0.05</v>
      </c>
      <c r="AX13" s="26">
        <v>0</v>
      </c>
      <c r="AY13" s="24">
        <v>0.69171257485029947</v>
      </c>
      <c r="AZ13" s="24">
        <v>0.66107784431137728</v>
      </c>
      <c r="BA13" s="31">
        <v>0</v>
      </c>
      <c r="BB13" s="33">
        <v>0.33</v>
      </c>
      <c r="BC13" s="21"/>
      <c r="BD13" s="26">
        <v>0.47000000000000003</v>
      </c>
      <c r="BE13" s="26">
        <v>0.03</v>
      </c>
      <c r="BF13" s="26" t="s">
        <v>729</v>
      </c>
      <c r="BG13" s="21"/>
      <c r="BH13" s="34">
        <v>0</v>
      </c>
      <c r="BI13" s="34">
        <v>0</v>
      </c>
      <c r="BJ13" s="34" t="s">
        <v>259</v>
      </c>
      <c r="BK13" s="34">
        <v>0</v>
      </c>
      <c r="BL13" s="21"/>
      <c r="BM13" s="35">
        <v>0.5</v>
      </c>
    </row>
    <row r="14" spans="1:65" x14ac:dyDescent="0.25">
      <c r="A14" s="4" t="s">
        <v>63</v>
      </c>
      <c r="B14" s="4">
        <v>72151</v>
      </c>
      <c r="C14" s="4" t="s">
        <v>74</v>
      </c>
      <c r="D14" s="19" t="s">
        <v>260</v>
      </c>
      <c r="E14" s="20">
        <v>57468</v>
      </c>
      <c r="F14" s="20" t="s">
        <v>287</v>
      </c>
      <c r="G14" s="20" t="s">
        <v>288</v>
      </c>
      <c r="H14" s="2">
        <v>44393</v>
      </c>
      <c r="I14" s="2" t="s">
        <v>263</v>
      </c>
      <c r="J14" s="2" t="s">
        <v>263</v>
      </c>
      <c r="K14" s="21">
        <v>22</v>
      </c>
      <c r="L14" s="21">
        <v>653400</v>
      </c>
      <c r="M14" s="21">
        <v>0</v>
      </c>
      <c r="N14" s="21">
        <v>1091</v>
      </c>
      <c r="O14" s="21">
        <v>13</v>
      </c>
      <c r="P14" s="21">
        <v>567208</v>
      </c>
      <c r="Q14" s="22">
        <v>299.68115942028987</v>
      </c>
      <c r="R14" s="22">
        <v>300</v>
      </c>
      <c r="S14" s="23">
        <v>0.1</v>
      </c>
      <c r="T14" s="23">
        <v>0</v>
      </c>
      <c r="U14" s="24">
        <v>0.86808692990511171</v>
      </c>
      <c r="V14" s="25">
        <v>0.1</v>
      </c>
      <c r="W14" s="26">
        <v>0.2</v>
      </c>
      <c r="X14" s="27">
        <v>0.36363636363636365</v>
      </c>
      <c r="Y14" s="25">
        <v>0</v>
      </c>
      <c r="Z14" s="24">
        <v>0.40909090909090912</v>
      </c>
      <c r="AA14" s="25">
        <v>0</v>
      </c>
      <c r="AB14" s="28">
        <v>0</v>
      </c>
      <c r="AC14" s="28">
        <v>0</v>
      </c>
      <c r="AD14" s="28">
        <v>0</v>
      </c>
      <c r="AE14" s="25">
        <v>0.09</v>
      </c>
      <c r="AF14" s="26">
        <v>0.09</v>
      </c>
      <c r="AG14" s="29" t="s">
        <v>729</v>
      </c>
      <c r="AH14" s="30">
        <v>0.90999999999999992</v>
      </c>
      <c r="AI14" s="26">
        <v>0.1</v>
      </c>
      <c r="AJ14" s="21">
        <v>0</v>
      </c>
      <c r="AK14" s="21">
        <v>0</v>
      </c>
      <c r="AL14" s="26">
        <v>0.1</v>
      </c>
      <c r="AM14" s="24">
        <v>0.68373134328358198</v>
      </c>
      <c r="AN14" s="24">
        <v>0.61194029850746268</v>
      </c>
      <c r="AO14" s="31">
        <v>0</v>
      </c>
      <c r="AP14" s="31">
        <v>0</v>
      </c>
      <c r="AQ14" s="24">
        <v>0.81385826771653547</v>
      </c>
      <c r="AR14" s="27">
        <v>0.68503937007874016</v>
      </c>
      <c r="AS14" s="26">
        <v>0</v>
      </c>
      <c r="AT14" s="26">
        <v>0</v>
      </c>
      <c r="AU14" s="24">
        <v>0.95629552549427677</v>
      </c>
      <c r="AV14" s="32">
        <v>12</v>
      </c>
      <c r="AW14" s="26">
        <v>0</v>
      </c>
      <c r="AX14" s="26">
        <v>0</v>
      </c>
      <c r="AY14" s="24">
        <v>0.71446540880503151</v>
      </c>
      <c r="AZ14" s="24">
        <v>0.70545073375262057</v>
      </c>
      <c r="BA14" s="31">
        <v>0.05</v>
      </c>
      <c r="BB14" s="33">
        <v>0.25</v>
      </c>
      <c r="BC14" s="21"/>
      <c r="BD14" s="26">
        <v>0.54</v>
      </c>
      <c r="BE14" s="26">
        <v>0</v>
      </c>
      <c r="BF14" s="26" t="s">
        <v>729</v>
      </c>
      <c r="BG14" s="21"/>
      <c r="BH14" s="34">
        <v>0</v>
      </c>
      <c r="BI14" s="34">
        <v>0.08</v>
      </c>
      <c r="BJ14" s="34" t="s">
        <v>259</v>
      </c>
      <c r="BK14" s="34">
        <v>0.08</v>
      </c>
      <c r="BL14" s="21"/>
      <c r="BM14" s="35">
        <v>0.46</v>
      </c>
    </row>
    <row r="15" spans="1:65" x14ac:dyDescent="0.25">
      <c r="A15" s="4" t="s">
        <v>63</v>
      </c>
      <c r="B15" s="4">
        <v>73260</v>
      </c>
      <c r="C15" s="4" t="s">
        <v>75</v>
      </c>
      <c r="D15" s="19" t="s">
        <v>267</v>
      </c>
      <c r="E15" s="20">
        <v>58783</v>
      </c>
      <c r="F15" s="20" t="s">
        <v>289</v>
      </c>
      <c r="G15" s="20" t="s">
        <v>290</v>
      </c>
      <c r="H15" s="2">
        <v>44498</v>
      </c>
      <c r="I15" s="2" t="s">
        <v>263</v>
      </c>
      <c r="J15" s="2" t="s">
        <v>263</v>
      </c>
      <c r="K15" s="21">
        <v>17</v>
      </c>
      <c r="L15" s="21">
        <v>504900</v>
      </c>
      <c r="M15" s="21">
        <v>5820</v>
      </c>
      <c r="N15" s="21">
        <v>897</v>
      </c>
      <c r="O15" s="21">
        <v>0</v>
      </c>
      <c r="P15" s="21">
        <v>322680</v>
      </c>
      <c r="Q15" s="22">
        <v>262.09476031215161</v>
      </c>
      <c r="R15" s="22">
        <v>300</v>
      </c>
      <c r="S15" s="23">
        <v>0.1</v>
      </c>
      <c r="T15" s="23">
        <v>0.05</v>
      </c>
      <c r="U15" s="24">
        <v>0.64654965135849962</v>
      </c>
      <c r="V15" s="25">
        <v>0</v>
      </c>
      <c r="W15" s="26">
        <v>0.1</v>
      </c>
      <c r="X15" s="27">
        <v>5.8823529411764705E-2</v>
      </c>
      <c r="Y15" s="25">
        <v>0</v>
      </c>
      <c r="Z15" s="24">
        <v>0.35294117647058826</v>
      </c>
      <c r="AA15" s="25">
        <v>0</v>
      </c>
      <c r="AB15" s="28">
        <v>0</v>
      </c>
      <c r="AC15" s="28">
        <v>0</v>
      </c>
      <c r="AD15" s="28">
        <v>0</v>
      </c>
      <c r="AE15" s="25">
        <v>0.09</v>
      </c>
      <c r="AF15" s="26">
        <v>0.09</v>
      </c>
      <c r="AG15" s="29" t="s">
        <v>729</v>
      </c>
      <c r="AH15" s="30">
        <v>0.91500000000000004</v>
      </c>
      <c r="AI15" s="26">
        <v>0.1</v>
      </c>
      <c r="AJ15" s="21">
        <v>0</v>
      </c>
      <c r="AK15" s="21">
        <v>0</v>
      </c>
      <c r="AL15" s="26">
        <v>0.1</v>
      </c>
      <c r="AM15" s="24">
        <v>0.67738738738738735</v>
      </c>
      <c r="AN15" s="24">
        <v>0.70270270270270274</v>
      </c>
      <c r="AO15" s="31">
        <v>0.08</v>
      </c>
      <c r="AP15" s="31">
        <v>0.03</v>
      </c>
      <c r="AQ15" s="24">
        <v>0.80737864077669896</v>
      </c>
      <c r="AR15" s="27">
        <v>0.83495145631067957</v>
      </c>
      <c r="AS15" s="26">
        <v>0.2</v>
      </c>
      <c r="AT15" s="26">
        <v>0.04</v>
      </c>
      <c r="AU15" s="24">
        <v>0.97942386831275718</v>
      </c>
      <c r="AV15" s="32">
        <v>0</v>
      </c>
      <c r="AW15" s="26">
        <v>0.05</v>
      </c>
      <c r="AX15" s="26">
        <v>0.02</v>
      </c>
      <c r="AY15" s="24">
        <v>0.69162601626016262</v>
      </c>
      <c r="AZ15" s="24">
        <v>0.65853658536585369</v>
      </c>
      <c r="BA15" s="31">
        <v>0</v>
      </c>
      <c r="BB15" s="33">
        <v>0.53</v>
      </c>
      <c r="BC15" s="21"/>
      <c r="BD15" s="26">
        <v>0.72</v>
      </c>
      <c r="BE15" s="26">
        <v>0.14000000000000001</v>
      </c>
      <c r="BF15" s="26" t="s">
        <v>729</v>
      </c>
      <c r="BG15" s="21"/>
      <c r="BH15" s="34">
        <v>0</v>
      </c>
      <c r="BI15" s="34">
        <v>0</v>
      </c>
      <c r="BJ15" s="34" t="s">
        <v>259</v>
      </c>
      <c r="BK15" s="34">
        <v>0</v>
      </c>
      <c r="BL15" s="21"/>
      <c r="BM15" s="35">
        <v>0.86</v>
      </c>
    </row>
    <row r="16" spans="1:65" x14ac:dyDescent="0.25">
      <c r="A16" s="4" t="s">
        <v>63</v>
      </c>
      <c r="B16" s="4">
        <v>72553</v>
      </c>
      <c r="C16" s="4" t="s">
        <v>76</v>
      </c>
      <c r="D16" s="19" t="s">
        <v>255</v>
      </c>
      <c r="E16" s="20">
        <v>49835</v>
      </c>
      <c r="F16" s="20" t="s">
        <v>291</v>
      </c>
      <c r="G16" s="20" t="s">
        <v>292</v>
      </c>
      <c r="H16" s="2">
        <v>45760</v>
      </c>
      <c r="I16" s="2" t="s">
        <v>353</v>
      </c>
      <c r="J16" s="2" t="s">
        <v>353</v>
      </c>
      <c r="K16" s="21">
        <v>20</v>
      </c>
      <c r="L16" s="21">
        <v>594000</v>
      </c>
      <c r="M16" s="21">
        <v>0</v>
      </c>
      <c r="N16" s="21">
        <v>525</v>
      </c>
      <c r="O16" s="21">
        <v>0</v>
      </c>
      <c r="P16" s="21">
        <v>368634</v>
      </c>
      <c r="Q16" s="22">
        <v>404.32</v>
      </c>
      <c r="R16" s="22">
        <v>300</v>
      </c>
      <c r="S16" s="23">
        <v>0</v>
      </c>
      <c r="T16" s="23">
        <v>0</v>
      </c>
      <c r="U16" s="24">
        <v>0.62059595959595959</v>
      </c>
      <c r="V16" s="25">
        <v>0</v>
      </c>
      <c r="W16" s="26">
        <v>0</v>
      </c>
      <c r="X16" s="27">
        <v>0.75</v>
      </c>
      <c r="Y16" s="25">
        <v>0</v>
      </c>
      <c r="Z16" s="24">
        <v>0.95</v>
      </c>
      <c r="AA16" s="25">
        <v>0.04</v>
      </c>
      <c r="AB16" s="28">
        <v>0</v>
      </c>
      <c r="AC16" s="28">
        <v>0</v>
      </c>
      <c r="AD16" s="28">
        <v>0</v>
      </c>
      <c r="AE16" s="25">
        <v>0.09</v>
      </c>
      <c r="AF16" s="26">
        <v>0.13</v>
      </c>
      <c r="AG16" s="29" t="s">
        <v>729</v>
      </c>
      <c r="AH16" s="30">
        <v>0.95</v>
      </c>
      <c r="AI16" s="26">
        <v>0.1</v>
      </c>
      <c r="AJ16" s="21">
        <v>0</v>
      </c>
      <c r="AK16" s="21">
        <v>0</v>
      </c>
      <c r="AL16" s="26">
        <v>0.1</v>
      </c>
      <c r="AM16" s="24">
        <v>0.68373134328358198</v>
      </c>
      <c r="AN16" s="24">
        <v>0.71641791044776115</v>
      </c>
      <c r="AO16" s="31">
        <v>0.08</v>
      </c>
      <c r="AP16" s="31">
        <v>0.03</v>
      </c>
      <c r="AQ16" s="24">
        <v>0.81349999999999989</v>
      </c>
      <c r="AR16" s="27">
        <v>0.83333333333333337</v>
      </c>
      <c r="AS16" s="26">
        <v>0</v>
      </c>
      <c r="AT16" s="26">
        <v>0</v>
      </c>
      <c r="AU16" s="24">
        <v>0.93378995433789957</v>
      </c>
      <c r="AV16" s="32">
        <v>3</v>
      </c>
      <c r="AW16" s="26">
        <v>0.01</v>
      </c>
      <c r="AX16" s="26">
        <v>0</v>
      </c>
      <c r="AY16" s="24">
        <v>0.70727906976744181</v>
      </c>
      <c r="AZ16" s="24">
        <v>0.73023255813953492</v>
      </c>
      <c r="BA16" s="31">
        <v>0.1</v>
      </c>
      <c r="BB16" s="33">
        <v>0.39</v>
      </c>
      <c r="BC16" s="21"/>
      <c r="BD16" s="26">
        <v>0.52</v>
      </c>
      <c r="BE16" s="26">
        <v>0.03</v>
      </c>
      <c r="BF16" s="26" t="s">
        <v>729</v>
      </c>
      <c r="BG16" s="21"/>
      <c r="BH16" s="34">
        <v>0</v>
      </c>
      <c r="BI16" s="34">
        <v>0</v>
      </c>
      <c r="BJ16" s="34" t="s">
        <v>259</v>
      </c>
      <c r="BK16" s="34">
        <v>0</v>
      </c>
      <c r="BL16" s="21"/>
      <c r="BM16" s="35">
        <v>0.55000000000000004</v>
      </c>
    </row>
    <row r="17" spans="1:65" x14ac:dyDescent="0.25">
      <c r="A17" s="4" t="s">
        <v>63</v>
      </c>
      <c r="B17" s="4">
        <v>72696</v>
      </c>
      <c r="C17" s="4" t="s">
        <v>77</v>
      </c>
      <c r="D17" s="19" t="s">
        <v>260</v>
      </c>
      <c r="E17" s="20">
        <v>54968</v>
      </c>
      <c r="F17" s="20" t="s">
        <v>293</v>
      </c>
      <c r="G17" s="20" t="s">
        <v>294</v>
      </c>
      <c r="H17" s="2">
        <v>43616</v>
      </c>
      <c r="I17" s="2" t="s">
        <v>263</v>
      </c>
      <c r="J17" s="2" t="s">
        <v>263</v>
      </c>
      <c r="K17" s="21">
        <v>18</v>
      </c>
      <c r="L17" s="21">
        <v>534600</v>
      </c>
      <c r="M17" s="21">
        <v>0</v>
      </c>
      <c r="N17" s="21">
        <v>656</v>
      </c>
      <c r="O17" s="21">
        <v>7</v>
      </c>
      <c r="P17" s="21">
        <v>279146</v>
      </c>
      <c r="Q17" s="22">
        <v>244.43288084464555</v>
      </c>
      <c r="R17" s="22">
        <v>300</v>
      </c>
      <c r="S17" s="23">
        <v>0.1</v>
      </c>
      <c r="T17" s="23">
        <v>0.05</v>
      </c>
      <c r="U17" s="24">
        <v>0.52215862326973439</v>
      </c>
      <c r="V17" s="25">
        <v>0</v>
      </c>
      <c r="W17" s="26">
        <v>0.1</v>
      </c>
      <c r="X17" s="27">
        <v>0</v>
      </c>
      <c r="Y17" s="25">
        <v>0</v>
      </c>
      <c r="Z17" s="24">
        <v>0</v>
      </c>
      <c r="AA17" s="25">
        <v>0</v>
      </c>
      <c r="AB17" s="28">
        <v>0</v>
      </c>
      <c r="AC17" s="28">
        <v>0</v>
      </c>
      <c r="AD17" s="28">
        <v>0</v>
      </c>
      <c r="AE17" s="25">
        <v>0.09</v>
      </c>
      <c r="AF17" s="26">
        <v>0.09</v>
      </c>
      <c r="AG17" s="29" t="s">
        <v>729</v>
      </c>
      <c r="AH17" s="30">
        <v>0.375</v>
      </c>
      <c r="AI17" s="26">
        <v>0</v>
      </c>
      <c r="AJ17" s="21">
        <v>0</v>
      </c>
      <c r="AK17" s="21">
        <v>0</v>
      </c>
      <c r="AL17" s="26">
        <v>0.1</v>
      </c>
      <c r="AM17" s="24">
        <v>0.68135802469135798</v>
      </c>
      <c r="AN17" s="24">
        <v>0.58024691358024694</v>
      </c>
      <c r="AO17" s="31">
        <v>0</v>
      </c>
      <c r="AP17" s="31">
        <v>0</v>
      </c>
      <c r="AQ17" s="24">
        <v>0.81155844155844159</v>
      </c>
      <c r="AR17" s="27">
        <v>0.75324675324675328</v>
      </c>
      <c r="AS17" s="26">
        <v>0</v>
      </c>
      <c r="AT17" s="26">
        <v>0</v>
      </c>
      <c r="AU17" s="24">
        <v>0.93884297520661153</v>
      </c>
      <c r="AV17" s="32">
        <v>3</v>
      </c>
      <c r="AW17" s="26">
        <v>0.01</v>
      </c>
      <c r="AX17" s="26">
        <v>0</v>
      </c>
      <c r="AY17" s="24">
        <v>0.71917647058823519</v>
      </c>
      <c r="AZ17" s="24">
        <v>0.65714285714285714</v>
      </c>
      <c r="BA17" s="31">
        <v>0</v>
      </c>
      <c r="BB17" s="33">
        <v>0.11</v>
      </c>
      <c r="BC17" s="21"/>
      <c r="BD17" s="26">
        <v>0.30000000000000004</v>
      </c>
      <c r="BE17" s="26">
        <v>0.05</v>
      </c>
      <c r="BF17" s="26" t="s">
        <v>729</v>
      </c>
      <c r="BG17" s="21"/>
      <c r="BH17" s="34">
        <v>0</v>
      </c>
      <c r="BI17" s="34">
        <v>0</v>
      </c>
      <c r="BJ17" s="34" t="s">
        <v>259</v>
      </c>
      <c r="BK17" s="34">
        <v>0</v>
      </c>
      <c r="BL17" s="21"/>
      <c r="BM17" s="35">
        <v>0.35000000000000003</v>
      </c>
    </row>
    <row r="18" spans="1:65" x14ac:dyDescent="0.25">
      <c r="A18" s="4" t="s">
        <v>63</v>
      </c>
      <c r="B18" s="4">
        <v>72234</v>
      </c>
      <c r="C18" s="4" t="s">
        <v>78</v>
      </c>
      <c r="D18" s="19" t="s">
        <v>273</v>
      </c>
      <c r="E18" s="20">
        <v>55207</v>
      </c>
      <c r="F18" s="20" t="s">
        <v>701</v>
      </c>
      <c r="G18" s="20" t="s">
        <v>295</v>
      </c>
      <c r="H18" s="2">
        <v>43671</v>
      </c>
      <c r="I18" s="2" t="s">
        <v>253</v>
      </c>
      <c r="J18" s="2" t="s">
        <v>253</v>
      </c>
      <c r="K18" s="21">
        <v>4</v>
      </c>
      <c r="L18" s="21">
        <v>118800</v>
      </c>
      <c r="M18" s="21">
        <v>0</v>
      </c>
      <c r="N18" s="21">
        <v>205</v>
      </c>
      <c r="O18" s="21">
        <v>0</v>
      </c>
      <c r="P18" s="21">
        <v>111476</v>
      </c>
      <c r="Q18" s="22">
        <v>301.01951219512193</v>
      </c>
      <c r="R18" s="22">
        <v>300</v>
      </c>
      <c r="S18" s="23">
        <v>0.05</v>
      </c>
      <c r="T18" s="23">
        <v>0</v>
      </c>
      <c r="U18" s="24">
        <v>0.93835016835016838</v>
      </c>
      <c r="V18" s="25">
        <v>0.1</v>
      </c>
      <c r="W18" s="26">
        <v>0.15000000000000002</v>
      </c>
      <c r="X18" s="27">
        <v>0.25</v>
      </c>
      <c r="Y18" s="25">
        <v>0</v>
      </c>
      <c r="Z18" s="24">
        <v>0.5</v>
      </c>
      <c r="AA18" s="25">
        <v>0</v>
      </c>
      <c r="AB18" s="28">
        <v>0</v>
      </c>
      <c r="AC18" s="28">
        <v>0</v>
      </c>
      <c r="AD18" s="28">
        <v>0</v>
      </c>
      <c r="AE18" s="25">
        <v>0.09</v>
      </c>
      <c r="AF18" s="26">
        <v>0.09</v>
      </c>
      <c r="AG18" s="29" t="s">
        <v>729</v>
      </c>
      <c r="AH18" s="30">
        <v>1</v>
      </c>
      <c r="AI18" s="26">
        <v>0.1</v>
      </c>
      <c r="AJ18" s="21">
        <v>0</v>
      </c>
      <c r="AK18" s="21">
        <v>0</v>
      </c>
      <c r="AL18" s="26">
        <v>0.1</v>
      </c>
      <c r="AM18" s="24">
        <v>0.66199999999999992</v>
      </c>
      <c r="AN18" s="24">
        <v>0.8</v>
      </c>
      <c r="AO18" s="31">
        <v>0.08</v>
      </c>
      <c r="AP18" s="31">
        <v>0.03</v>
      </c>
      <c r="AQ18" s="24">
        <v>0.78749999999999998</v>
      </c>
      <c r="AR18" s="27">
        <v>0.83333333333333337</v>
      </c>
      <c r="AS18" s="26">
        <v>0</v>
      </c>
      <c r="AT18" s="26">
        <v>0</v>
      </c>
      <c r="AU18" s="24">
        <v>0.934640522875817</v>
      </c>
      <c r="AV18" s="32">
        <v>1</v>
      </c>
      <c r="AW18" s="26">
        <v>0.05</v>
      </c>
      <c r="AX18" s="26">
        <v>0</v>
      </c>
      <c r="AY18" s="24">
        <v>0</v>
      </c>
      <c r="AZ18" s="24">
        <v>0</v>
      </c>
      <c r="BA18" s="31">
        <v>0</v>
      </c>
      <c r="BB18" s="33">
        <v>0.33</v>
      </c>
      <c r="BC18" s="21"/>
      <c r="BD18" s="26">
        <v>0.57000000000000006</v>
      </c>
      <c r="BE18" s="26">
        <v>0.03</v>
      </c>
      <c r="BF18" s="26" t="s">
        <v>729</v>
      </c>
      <c r="BG18" s="21"/>
      <c r="BH18" s="34">
        <v>0</v>
      </c>
      <c r="BI18" s="34">
        <v>0</v>
      </c>
      <c r="BJ18" s="34" t="s">
        <v>259</v>
      </c>
      <c r="BK18" s="34">
        <v>0</v>
      </c>
      <c r="BL18" s="21"/>
      <c r="BM18" s="35">
        <v>0.60000000000000009</v>
      </c>
    </row>
    <row r="19" spans="1:65" x14ac:dyDescent="0.25">
      <c r="A19" s="4" t="s">
        <v>63</v>
      </c>
      <c r="B19" s="4">
        <v>73105</v>
      </c>
      <c r="C19" s="4" t="s">
        <v>79</v>
      </c>
      <c r="D19" s="19" t="s">
        <v>264</v>
      </c>
      <c r="E19" s="20">
        <v>53244</v>
      </c>
      <c r="F19" s="20" t="s">
        <v>296</v>
      </c>
      <c r="G19" s="20" t="s">
        <v>297</v>
      </c>
      <c r="H19" s="2">
        <v>43362</v>
      </c>
      <c r="I19" s="2" t="s">
        <v>253</v>
      </c>
      <c r="J19" s="2" t="s">
        <v>253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2">
        <v>0</v>
      </c>
      <c r="R19" s="22">
        <v>0</v>
      </c>
      <c r="S19" s="23">
        <v>0</v>
      </c>
      <c r="T19" s="23">
        <v>0</v>
      </c>
      <c r="U19" s="24" t="s">
        <v>276</v>
      </c>
      <c r="V19" s="25">
        <v>0</v>
      </c>
      <c r="W19" s="26">
        <v>0</v>
      </c>
      <c r="X19" s="27">
        <v>0.5</v>
      </c>
      <c r="Y19" s="25">
        <v>0</v>
      </c>
      <c r="Z19" s="24">
        <v>0.95</v>
      </c>
      <c r="AA19" s="25">
        <v>0.04</v>
      </c>
      <c r="AB19" s="28">
        <v>0</v>
      </c>
      <c r="AC19" s="28">
        <v>0</v>
      </c>
      <c r="AD19" s="28">
        <v>0</v>
      </c>
      <c r="AE19" s="25">
        <v>0.09</v>
      </c>
      <c r="AF19" s="26">
        <v>0.13</v>
      </c>
      <c r="AG19" s="29" t="s">
        <v>729</v>
      </c>
      <c r="AH19" s="30" t="s">
        <v>277</v>
      </c>
      <c r="AI19" s="26">
        <v>0.1</v>
      </c>
      <c r="AJ19" s="21">
        <v>0</v>
      </c>
      <c r="AK19" s="21">
        <v>0</v>
      </c>
      <c r="AL19" s="26">
        <v>0.1</v>
      </c>
      <c r="AM19" s="24">
        <v>0</v>
      </c>
      <c r="AN19" s="24">
        <v>0</v>
      </c>
      <c r="AO19" s="31">
        <v>0.08</v>
      </c>
      <c r="AP19" s="31">
        <v>0</v>
      </c>
      <c r="AQ19" s="24">
        <v>0</v>
      </c>
      <c r="AR19" s="27">
        <v>0</v>
      </c>
      <c r="AS19" s="26">
        <v>0.2</v>
      </c>
      <c r="AT19" s="26">
        <v>0</v>
      </c>
      <c r="AU19" s="24" t="s">
        <v>276</v>
      </c>
      <c r="AV19" s="32">
        <v>0</v>
      </c>
      <c r="AW19" s="26">
        <v>0.05</v>
      </c>
      <c r="AX19" s="26">
        <v>0.02</v>
      </c>
      <c r="AY19" s="24">
        <v>0</v>
      </c>
      <c r="AZ19" s="24">
        <v>0</v>
      </c>
      <c r="BA19" s="31">
        <v>0</v>
      </c>
      <c r="BB19" s="33">
        <v>0.53</v>
      </c>
      <c r="BC19" s="21"/>
      <c r="BD19" s="26">
        <v>0.66</v>
      </c>
      <c r="BE19" s="26">
        <v>0.02</v>
      </c>
      <c r="BF19" s="26" t="s">
        <v>729</v>
      </c>
      <c r="BG19" s="21"/>
      <c r="BH19" s="34">
        <v>0</v>
      </c>
      <c r="BI19" s="34">
        <v>0</v>
      </c>
      <c r="BJ19" s="34" t="s">
        <v>259</v>
      </c>
      <c r="BK19" s="34">
        <v>0</v>
      </c>
      <c r="BL19" s="21"/>
      <c r="BM19" s="35">
        <v>0.68</v>
      </c>
    </row>
    <row r="20" spans="1:65" x14ac:dyDescent="0.25">
      <c r="A20" s="4" t="s">
        <v>63</v>
      </c>
      <c r="B20" s="4">
        <v>74028</v>
      </c>
      <c r="C20" s="4" t="s">
        <v>80</v>
      </c>
      <c r="D20" s="19" t="s">
        <v>255</v>
      </c>
      <c r="E20" s="20">
        <v>400250</v>
      </c>
      <c r="F20" s="20" t="s">
        <v>298</v>
      </c>
      <c r="G20" s="20" t="s">
        <v>299</v>
      </c>
      <c r="H20" s="2">
        <v>45786</v>
      </c>
      <c r="I20" s="2" t="s">
        <v>258</v>
      </c>
      <c r="J20" s="2" t="s">
        <v>258</v>
      </c>
      <c r="K20" s="21">
        <v>17</v>
      </c>
      <c r="L20" s="21">
        <v>508500</v>
      </c>
      <c r="M20" s="21">
        <v>3600</v>
      </c>
      <c r="N20" s="21">
        <v>681</v>
      </c>
      <c r="O20" s="21">
        <v>0</v>
      </c>
      <c r="P20" s="21">
        <v>467235</v>
      </c>
      <c r="Q20" s="22">
        <v>414.04111600587373</v>
      </c>
      <c r="R20" s="22">
        <v>300</v>
      </c>
      <c r="S20" s="23">
        <v>0</v>
      </c>
      <c r="T20" s="23">
        <v>0</v>
      </c>
      <c r="U20" s="24">
        <v>0.92540106951871659</v>
      </c>
      <c r="V20" s="25">
        <v>0.1</v>
      </c>
      <c r="W20" s="26">
        <v>0.1</v>
      </c>
      <c r="X20" s="27">
        <v>0.88235294117647056</v>
      </c>
      <c r="Y20" s="25">
        <v>0</v>
      </c>
      <c r="Z20" s="24">
        <v>0.82352941176470584</v>
      </c>
      <c r="AA20" s="25">
        <v>0</v>
      </c>
      <c r="AB20" s="28">
        <v>3</v>
      </c>
      <c r="AC20" s="28">
        <v>0</v>
      </c>
      <c r="AD20" s="28">
        <v>0</v>
      </c>
      <c r="AE20" s="25">
        <v>0</v>
      </c>
      <c r="AF20" s="26">
        <v>0</v>
      </c>
      <c r="AG20" s="29" t="s">
        <v>729</v>
      </c>
      <c r="AH20" s="30">
        <v>0.93333333333333324</v>
      </c>
      <c r="AI20" s="26">
        <v>0.1</v>
      </c>
      <c r="AJ20" s="21">
        <v>0</v>
      </c>
      <c r="AK20" s="21">
        <v>0</v>
      </c>
      <c r="AL20" s="26">
        <v>0.1</v>
      </c>
      <c r="AM20" s="24">
        <v>0.69</v>
      </c>
      <c r="AN20" s="24">
        <v>0.64835164835164838</v>
      </c>
      <c r="AO20" s="31">
        <v>0.04</v>
      </c>
      <c r="AP20" s="31">
        <v>0</v>
      </c>
      <c r="AQ20" s="24">
        <v>0.81999999999999984</v>
      </c>
      <c r="AR20" s="27">
        <v>0.74712643678160917</v>
      </c>
      <c r="AS20" s="26">
        <v>0</v>
      </c>
      <c r="AT20" s="26">
        <v>0</v>
      </c>
      <c r="AU20" s="24">
        <v>0.96712802768166095</v>
      </c>
      <c r="AV20" s="32">
        <v>7</v>
      </c>
      <c r="AW20" s="26">
        <v>0</v>
      </c>
      <c r="AX20" s="26">
        <v>0</v>
      </c>
      <c r="AY20" s="24">
        <v>0.74</v>
      </c>
      <c r="AZ20" s="24">
        <v>0.73813708260105448</v>
      </c>
      <c r="BA20" s="31">
        <v>0.05</v>
      </c>
      <c r="BB20" s="33">
        <v>0.29000000000000004</v>
      </c>
      <c r="BC20" s="21"/>
      <c r="BD20" s="26">
        <v>0.39</v>
      </c>
      <c r="BE20" s="26">
        <v>0</v>
      </c>
      <c r="BF20" s="26" t="s">
        <v>729</v>
      </c>
      <c r="BG20" s="21"/>
      <c r="BH20" s="34">
        <v>0.1</v>
      </c>
      <c r="BI20" s="34">
        <v>0.03</v>
      </c>
      <c r="BJ20" s="34" t="s">
        <v>259</v>
      </c>
      <c r="BK20" s="34">
        <v>0.13</v>
      </c>
      <c r="BL20" s="21"/>
      <c r="BM20" s="35">
        <v>0.26</v>
      </c>
    </row>
    <row r="21" spans="1:65" x14ac:dyDescent="0.25">
      <c r="A21" s="4" t="s">
        <v>63</v>
      </c>
      <c r="B21" s="4">
        <v>71831</v>
      </c>
      <c r="C21" s="4" t="s">
        <v>81</v>
      </c>
      <c r="D21" s="19" t="s">
        <v>267</v>
      </c>
      <c r="E21" s="20">
        <v>43667</v>
      </c>
      <c r="F21" s="20" t="s">
        <v>300</v>
      </c>
      <c r="G21" s="20" t="s">
        <v>301</v>
      </c>
      <c r="H21" s="2">
        <v>44992</v>
      </c>
      <c r="I21" s="2" t="s">
        <v>263</v>
      </c>
      <c r="J21" s="2" t="s">
        <v>263</v>
      </c>
      <c r="K21" s="21">
        <v>17</v>
      </c>
      <c r="L21" s="21">
        <v>504900</v>
      </c>
      <c r="M21" s="21">
        <v>1140</v>
      </c>
      <c r="N21" s="21">
        <v>902</v>
      </c>
      <c r="O21" s="21">
        <v>52</v>
      </c>
      <c r="P21" s="21">
        <v>401113</v>
      </c>
      <c r="Q21" s="22">
        <v>292.72431865828094</v>
      </c>
      <c r="R21" s="22">
        <v>306.26834381551362</v>
      </c>
      <c r="S21" s="23">
        <v>0.1</v>
      </c>
      <c r="T21" s="23">
        <v>0.05</v>
      </c>
      <c r="U21" s="24">
        <v>0.79623828807368591</v>
      </c>
      <c r="V21" s="25">
        <v>0.05</v>
      </c>
      <c r="W21" s="26">
        <v>0.15000000000000002</v>
      </c>
      <c r="X21" s="27">
        <v>0.76470588235294112</v>
      </c>
      <c r="Y21" s="25">
        <v>0</v>
      </c>
      <c r="Z21" s="24">
        <v>0.82352941176470584</v>
      </c>
      <c r="AA21" s="25">
        <v>0</v>
      </c>
      <c r="AB21" s="28">
        <v>0</v>
      </c>
      <c r="AC21" s="28">
        <v>0</v>
      </c>
      <c r="AD21" s="28">
        <v>0</v>
      </c>
      <c r="AE21" s="25">
        <v>0.09</v>
      </c>
      <c r="AF21" s="26">
        <v>0.09</v>
      </c>
      <c r="AG21" s="29" t="s">
        <v>729</v>
      </c>
      <c r="AH21" s="30">
        <v>0.97499999999999998</v>
      </c>
      <c r="AI21" s="26">
        <v>0.1</v>
      </c>
      <c r="AJ21" s="21">
        <v>0</v>
      </c>
      <c r="AK21" s="21">
        <v>0</v>
      </c>
      <c r="AL21" s="26">
        <v>0.1</v>
      </c>
      <c r="AM21" s="24">
        <v>0.6888333333333333</v>
      </c>
      <c r="AN21" s="24">
        <v>0.60833333333333328</v>
      </c>
      <c r="AO21" s="31">
        <v>0</v>
      </c>
      <c r="AP21" s="31">
        <v>0</v>
      </c>
      <c r="AQ21" s="24">
        <v>0.81759259259259254</v>
      </c>
      <c r="AR21" s="27">
        <v>0.69444444444444442</v>
      </c>
      <c r="AS21" s="26">
        <v>0</v>
      </c>
      <c r="AT21" s="26">
        <v>0</v>
      </c>
      <c r="AU21" s="24">
        <v>0.95950506186726658</v>
      </c>
      <c r="AV21" s="32">
        <v>1</v>
      </c>
      <c r="AW21" s="26">
        <v>0.05</v>
      </c>
      <c r="AX21" s="26">
        <v>0</v>
      </c>
      <c r="AY21" s="24">
        <v>0.72300724637681157</v>
      </c>
      <c r="AZ21" s="24">
        <v>0.72705314009661837</v>
      </c>
      <c r="BA21" s="31">
        <v>0.1</v>
      </c>
      <c r="BB21" s="33">
        <v>0.35</v>
      </c>
      <c r="BC21" s="21"/>
      <c r="BD21" s="26">
        <v>0.59</v>
      </c>
      <c r="BE21" s="26">
        <v>0.05</v>
      </c>
      <c r="BF21" s="26" t="s">
        <v>729</v>
      </c>
      <c r="BG21" s="21"/>
      <c r="BH21" s="34">
        <v>0</v>
      </c>
      <c r="BI21" s="34">
        <v>0</v>
      </c>
      <c r="BJ21" s="34" t="s">
        <v>259</v>
      </c>
      <c r="BK21" s="34">
        <v>0</v>
      </c>
      <c r="BL21" s="21"/>
      <c r="BM21" s="35">
        <v>0.64</v>
      </c>
    </row>
    <row r="22" spans="1:65" x14ac:dyDescent="0.25">
      <c r="A22" s="4" t="s">
        <v>63</v>
      </c>
      <c r="B22" s="4">
        <v>71044</v>
      </c>
      <c r="C22" s="4" t="s">
        <v>82</v>
      </c>
      <c r="D22" s="19" t="s">
        <v>267</v>
      </c>
      <c r="E22" s="20">
        <v>43718</v>
      </c>
      <c r="F22" s="20" t="s">
        <v>302</v>
      </c>
      <c r="G22" s="20" t="s">
        <v>303</v>
      </c>
      <c r="H22" s="2">
        <v>44992</v>
      </c>
      <c r="I22" s="2" t="s">
        <v>263</v>
      </c>
      <c r="J22" s="2" t="s">
        <v>263</v>
      </c>
      <c r="K22" s="21">
        <v>20</v>
      </c>
      <c r="L22" s="21">
        <v>594000</v>
      </c>
      <c r="M22" s="21">
        <v>0</v>
      </c>
      <c r="N22" s="21">
        <v>975</v>
      </c>
      <c r="O22" s="21">
        <v>36</v>
      </c>
      <c r="P22" s="21">
        <v>485137</v>
      </c>
      <c r="Q22" s="22">
        <v>311.32047477744806</v>
      </c>
      <c r="R22" s="22">
        <v>300</v>
      </c>
      <c r="S22" s="23">
        <v>0</v>
      </c>
      <c r="T22" s="23">
        <v>0</v>
      </c>
      <c r="U22" s="24">
        <v>0.81672895622895625</v>
      </c>
      <c r="V22" s="25">
        <v>0.05</v>
      </c>
      <c r="W22" s="26">
        <v>0.05</v>
      </c>
      <c r="X22" s="27">
        <v>0.4</v>
      </c>
      <c r="Y22" s="25">
        <v>0</v>
      </c>
      <c r="Z22" s="24">
        <v>0.65</v>
      </c>
      <c r="AA22" s="25">
        <v>0</v>
      </c>
      <c r="AB22" s="28">
        <v>0</v>
      </c>
      <c r="AC22" s="28">
        <v>0</v>
      </c>
      <c r="AD22" s="28">
        <v>0</v>
      </c>
      <c r="AE22" s="25">
        <v>0.09</v>
      </c>
      <c r="AF22" s="26">
        <v>0.09</v>
      </c>
      <c r="AG22" s="29" t="s">
        <v>729</v>
      </c>
      <c r="AH22" s="30">
        <v>1</v>
      </c>
      <c r="AI22" s="26">
        <v>0.1</v>
      </c>
      <c r="AJ22" s="21">
        <v>0</v>
      </c>
      <c r="AK22" s="21">
        <v>0</v>
      </c>
      <c r="AL22" s="26">
        <v>0.1</v>
      </c>
      <c r="AM22" s="24">
        <v>0.68619047619047613</v>
      </c>
      <c r="AN22" s="24">
        <v>0.69387755102040816</v>
      </c>
      <c r="AO22" s="31">
        <v>0.08</v>
      </c>
      <c r="AP22" s="31">
        <v>0.03</v>
      </c>
      <c r="AQ22" s="24">
        <v>0.81708955223880586</v>
      </c>
      <c r="AR22" s="27">
        <v>0.77611940298507465</v>
      </c>
      <c r="AS22" s="26">
        <v>7.4999999999999997E-2</v>
      </c>
      <c r="AT22" s="26">
        <v>0</v>
      </c>
      <c r="AU22" s="24">
        <v>0.99199199199199195</v>
      </c>
      <c r="AV22" s="32">
        <v>2</v>
      </c>
      <c r="AW22" s="26">
        <v>0.03</v>
      </c>
      <c r="AX22" s="26">
        <v>0</v>
      </c>
      <c r="AY22" s="24">
        <v>0.72410810810810822</v>
      </c>
      <c r="AZ22" s="24">
        <v>0.72972972972972971</v>
      </c>
      <c r="BA22" s="31">
        <v>0.1</v>
      </c>
      <c r="BB22" s="33">
        <v>0.48499999999999999</v>
      </c>
      <c r="BC22" s="21"/>
      <c r="BD22" s="26">
        <v>0.625</v>
      </c>
      <c r="BE22" s="26">
        <v>0.03</v>
      </c>
      <c r="BF22" s="26" t="s">
        <v>729</v>
      </c>
      <c r="BG22" s="21"/>
      <c r="BH22" s="34">
        <v>0</v>
      </c>
      <c r="BI22" s="34">
        <v>0</v>
      </c>
      <c r="BJ22" s="34" t="s">
        <v>259</v>
      </c>
      <c r="BK22" s="34">
        <v>0</v>
      </c>
      <c r="BL22" s="21"/>
      <c r="BM22" s="35">
        <v>0.65500000000000003</v>
      </c>
    </row>
    <row r="23" spans="1:65" x14ac:dyDescent="0.25">
      <c r="A23" s="4" t="s">
        <v>63</v>
      </c>
      <c r="B23" s="4">
        <v>71561</v>
      </c>
      <c r="C23" s="4" t="s">
        <v>83</v>
      </c>
      <c r="D23" s="19" t="s">
        <v>273</v>
      </c>
      <c r="E23" s="20">
        <v>43664</v>
      </c>
      <c r="F23" s="20" t="s">
        <v>304</v>
      </c>
      <c r="G23" s="20" t="s">
        <v>305</v>
      </c>
      <c r="H23" s="2">
        <v>44992</v>
      </c>
      <c r="I23" s="2" t="s">
        <v>253</v>
      </c>
      <c r="J23" s="2" t="s">
        <v>253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355158</v>
      </c>
      <c r="Q23" s="22">
        <v>0</v>
      </c>
      <c r="R23" s="22">
        <v>0</v>
      </c>
      <c r="S23" s="23">
        <v>0</v>
      </c>
      <c r="T23" s="23">
        <v>0</v>
      </c>
      <c r="U23" s="24" t="s">
        <v>276</v>
      </c>
      <c r="V23" s="25">
        <v>0</v>
      </c>
      <c r="W23" s="26">
        <v>0</v>
      </c>
      <c r="X23" s="27">
        <v>0.5</v>
      </c>
      <c r="Y23" s="25">
        <v>0</v>
      </c>
      <c r="Z23" s="24">
        <v>0.95</v>
      </c>
      <c r="AA23" s="25">
        <v>0.04</v>
      </c>
      <c r="AB23" s="28">
        <v>0</v>
      </c>
      <c r="AC23" s="28">
        <v>0</v>
      </c>
      <c r="AD23" s="28">
        <v>0</v>
      </c>
      <c r="AE23" s="25">
        <v>0.09</v>
      </c>
      <c r="AF23" s="26">
        <v>0.13</v>
      </c>
      <c r="AG23" s="29" t="s">
        <v>729</v>
      </c>
      <c r="AH23" s="30" t="s">
        <v>277</v>
      </c>
      <c r="AI23" s="26">
        <v>0.1</v>
      </c>
      <c r="AJ23" s="21">
        <v>0</v>
      </c>
      <c r="AK23" s="21">
        <v>0</v>
      </c>
      <c r="AL23" s="26">
        <v>0.1</v>
      </c>
      <c r="AM23" s="24">
        <v>0</v>
      </c>
      <c r="AN23" s="24">
        <v>0</v>
      </c>
      <c r="AO23" s="31">
        <v>0.08</v>
      </c>
      <c r="AP23" s="31">
        <v>0</v>
      </c>
      <c r="AQ23" s="24">
        <v>0</v>
      </c>
      <c r="AR23" s="27">
        <v>0</v>
      </c>
      <c r="AS23" s="26">
        <v>0.2</v>
      </c>
      <c r="AT23" s="26">
        <v>0</v>
      </c>
      <c r="AU23" s="24" t="s">
        <v>276</v>
      </c>
      <c r="AV23" s="32">
        <v>1</v>
      </c>
      <c r="AW23" s="26">
        <v>0.05</v>
      </c>
      <c r="AX23" s="26">
        <v>0</v>
      </c>
      <c r="AY23" s="24">
        <v>0</v>
      </c>
      <c r="AZ23" s="24">
        <v>0</v>
      </c>
      <c r="BA23" s="31">
        <v>0</v>
      </c>
      <c r="BB23" s="33">
        <v>0.53</v>
      </c>
      <c r="BC23" s="21"/>
      <c r="BD23" s="26">
        <v>0.66</v>
      </c>
      <c r="BE23" s="26">
        <v>0</v>
      </c>
      <c r="BF23" s="26" t="s">
        <v>729</v>
      </c>
      <c r="BG23" s="21"/>
      <c r="BH23" s="34">
        <v>0</v>
      </c>
      <c r="BI23" s="34">
        <v>0</v>
      </c>
      <c r="BJ23" s="34" t="s">
        <v>259</v>
      </c>
      <c r="BK23" s="34">
        <v>0</v>
      </c>
      <c r="BL23" s="21"/>
      <c r="BM23" s="35">
        <v>0.66</v>
      </c>
    </row>
    <row r="24" spans="1:65" x14ac:dyDescent="0.25">
      <c r="A24" s="4" t="s">
        <v>63</v>
      </c>
      <c r="B24" s="4">
        <v>73491</v>
      </c>
      <c r="C24" s="4" t="s">
        <v>84</v>
      </c>
      <c r="D24" s="19" t="s">
        <v>264</v>
      </c>
      <c r="E24" s="20">
        <v>43869</v>
      </c>
      <c r="F24" s="20" t="s">
        <v>306</v>
      </c>
      <c r="G24" s="20" t="s">
        <v>307</v>
      </c>
      <c r="H24" s="2">
        <v>44998</v>
      </c>
      <c r="I24" s="2" t="s">
        <v>253</v>
      </c>
      <c r="J24" s="2" t="s">
        <v>253</v>
      </c>
      <c r="K24" s="21">
        <v>2</v>
      </c>
      <c r="L24" s="21">
        <v>59400</v>
      </c>
      <c r="M24" s="21">
        <v>0</v>
      </c>
      <c r="N24" s="21">
        <v>44</v>
      </c>
      <c r="O24" s="21">
        <v>0</v>
      </c>
      <c r="P24" s="21">
        <v>17920</v>
      </c>
      <c r="Q24" s="22">
        <v>352.06818181818181</v>
      </c>
      <c r="R24" s="22">
        <v>300</v>
      </c>
      <c r="S24" s="23">
        <v>0</v>
      </c>
      <c r="T24" s="23">
        <v>0</v>
      </c>
      <c r="U24" s="24">
        <v>0.30168350168350166</v>
      </c>
      <c r="V24" s="25">
        <v>0</v>
      </c>
      <c r="W24" s="26">
        <v>0</v>
      </c>
      <c r="X24" s="27">
        <v>0.5</v>
      </c>
      <c r="Y24" s="25">
        <v>0</v>
      </c>
      <c r="Z24" s="24">
        <v>0.5</v>
      </c>
      <c r="AA24" s="25">
        <v>0</v>
      </c>
      <c r="AB24" s="28">
        <v>0</v>
      </c>
      <c r="AC24" s="28">
        <v>0</v>
      </c>
      <c r="AD24" s="28">
        <v>0</v>
      </c>
      <c r="AE24" s="25">
        <v>0.09</v>
      </c>
      <c r="AF24" s="26">
        <v>0.09</v>
      </c>
      <c r="AG24" s="29" t="s">
        <v>729</v>
      </c>
      <c r="AH24" s="30">
        <v>0.95500000000000007</v>
      </c>
      <c r="AI24" s="26">
        <v>0.1</v>
      </c>
      <c r="AJ24" s="21">
        <v>0</v>
      </c>
      <c r="AK24" s="21">
        <v>0</v>
      </c>
      <c r="AL24" s="26">
        <v>0.1</v>
      </c>
      <c r="AM24" s="24">
        <v>0.65500000000000003</v>
      </c>
      <c r="AN24" s="24">
        <v>0.5</v>
      </c>
      <c r="AO24" s="31">
        <v>0</v>
      </c>
      <c r="AP24" s="31">
        <v>0</v>
      </c>
      <c r="AQ24" s="24">
        <v>0.78749999999999998</v>
      </c>
      <c r="AR24" s="27">
        <v>0.5</v>
      </c>
      <c r="AS24" s="26">
        <v>0</v>
      </c>
      <c r="AT24" s="26">
        <v>0</v>
      </c>
      <c r="AU24" s="24">
        <v>0.97297297297297303</v>
      </c>
      <c r="AV24" s="32">
        <v>2</v>
      </c>
      <c r="AW24" s="26">
        <v>0.03</v>
      </c>
      <c r="AX24" s="26">
        <v>0</v>
      </c>
      <c r="AY24" s="24">
        <v>0.65</v>
      </c>
      <c r="AZ24" s="24">
        <v>0.5714285714285714</v>
      </c>
      <c r="BA24" s="31">
        <v>0</v>
      </c>
      <c r="BB24" s="33">
        <v>0.23</v>
      </c>
      <c r="BC24" s="21"/>
      <c r="BD24" s="26">
        <v>0.32</v>
      </c>
      <c r="BE24" s="26">
        <v>0</v>
      </c>
      <c r="BF24" s="26" t="s">
        <v>729</v>
      </c>
      <c r="BG24" s="21"/>
      <c r="BH24" s="34">
        <v>0</v>
      </c>
      <c r="BI24" s="34">
        <v>0</v>
      </c>
      <c r="BJ24" s="34" t="s">
        <v>259</v>
      </c>
      <c r="BK24" s="34">
        <v>0</v>
      </c>
      <c r="BL24" s="21"/>
      <c r="BM24" s="35">
        <v>0.32</v>
      </c>
    </row>
    <row r="25" spans="1:65" x14ac:dyDescent="0.25">
      <c r="A25" s="4" t="s">
        <v>63</v>
      </c>
      <c r="B25" s="4">
        <v>71760</v>
      </c>
      <c r="C25" s="4" t="s">
        <v>85</v>
      </c>
      <c r="D25" s="19" t="s">
        <v>264</v>
      </c>
      <c r="E25" s="20">
        <v>53714</v>
      </c>
      <c r="F25" s="20" t="s">
        <v>308</v>
      </c>
      <c r="G25" s="20" t="s">
        <v>309</v>
      </c>
      <c r="H25" s="2">
        <v>43374</v>
      </c>
      <c r="I25" s="2" t="s">
        <v>253</v>
      </c>
      <c r="J25" s="2" t="s">
        <v>253</v>
      </c>
      <c r="K25" s="21">
        <v>2</v>
      </c>
      <c r="L25" s="21">
        <v>59400</v>
      </c>
      <c r="M25" s="21">
        <v>0</v>
      </c>
      <c r="N25" s="21">
        <v>63</v>
      </c>
      <c r="O25" s="21">
        <v>0</v>
      </c>
      <c r="P25" s="21">
        <v>52161</v>
      </c>
      <c r="Q25" s="22">
        <v>246.79365079365078</v>
      </c>
      <c r="R25" s="22">
        <v>300</v>
      </c>
      <c r="S25" s="23">
        <v>0.1</v>
      </c>
      <c r="T25" s="23">
        <v>0.05</v>
      </c>
      <c r="U25" s="24">
        <v>0.8781313131313131</v>
      </c>
      <c r="V25" s="25">
        <v>0.1</v>
      </c>
      <c r="W25" s="26">
        <v>0.2</v>
      </c>
      <c r="X25" s="27">
        <v>0</v>
      </c>
      <c r="Y25" s="25">
        <v>0</v>
      </c>
      <c r="Z25" s="24">
        <v>0</v>
      </c>
      <c r="AA25" s="25">
        <v>0</v>
      </c>
      <c r="AB25" s="28">
        <v>0</v>
      </c>
      <c r="AC25" s="28">
        <v>21</v>
      </c>
      <c r="AD25" s="28">
        <v>0</v>
      </c>
      <c r="AE25" s="25">
        <v>0</v>
      </c>
      <c r="AF25" s="26">
        <v>0</v>
      </c>
      <c r="AG25" s="29" t="s">
        <v>729</v>
      </c>
      <c r="AH25" s="30" t="s">
        <v>277</v>
      </c>
      <c r="AI25" s="26">
        <v>0.1</v>
      </c>
      <c r="AJ25" s="21">
        <v>0</v>
      </c>
      <c r="AK25" s="21">
        <v>0</v>
      </c>
      <c r="AL25" s="26">
        <v>0.1</v>
      </c>
      <c r="AM25" s="24">
        <v>0.69</v>
      </c>
      <c r="AN25" s="24">
        <v>0.5</v>
      </c>
      <c r="AO25" s="31">
        <v>0</v>
      </c>
      <c r="AP25" s="31">
        <v>0</v>
      </c>
      <c r="AQ25" s="24">
        <v>0.82</v>
      </c>
      <c r="AR25" s="27">
        <v>0.5</v>
      </c>
      <c r="AS25" s="26">
        <v>0</v>
      </c>
      <c r="AT25" s="26">
        <v>0</v>
      </c>
      <c r="AU25" s="24">
        <v>1</v>
      </c>
      <c r="AV25" s="32">
        <v>0</v>
      </c>
      <c r="AW25" s="26">
        <v>0.05</v>
      </c>
      <c r="AX25" s="26">
        <v>0.02</v>
      </c>
      <c r="AY25" s="24">
        <v>0.70850000000000002</v>
      </c>
      <c r="AZ25" s="24">
        <v>0.625</v>
      </c>
      <c r="BA25" s="31">
        <v>0</v>
      </c>
      <c r="BB25" s="33">
        <v>0.25</v>
      </c>
      <c r="BC25" s="21"/>
      <c r="BD25" s="26">
        <v>0.45</v>
      </c>
      <c r="BE25" s="26">
        <v>7.0000000000000007E-2</v>
      </c>
      <c r="BF25" s="26" t="s">
        <v>729</v>
      </c>
      <c r="BG25" s="21"/>
      <c r="BH25" s="34">
        <v>0.95000000000000007</v>
      </c>
      <c r="BI25" s="34">
        <v>0</v>
      </c>
      <c r="BJ25" s="34" t="s">
        <v>259</v>
      </c>
      <c r="BK25" s="34">
        <v>0.2</v>
      </c>
      <c r="BL25" s="21"/>
      <c r="BM25" s="35">
        <v>0.32</v>
      </c>
    </row>
    <row r="26" spans="1:65" x14ac:dyDescent="0.25">
      <c r="A26" s="4" t="s">
        <v>63</v>
      </c>
      <c r="B26" s="4">
        <v>72303</v>
      </c>
      <c r="C26" s="4" t="s">
        <v>86</v>
      </c>
      <c r="D26" s="19" t="s">
        <v>270</v>
      </c>
      <c r="E26" s="20">
        <v>55198</v>
      </c>
      <c r="F26" s="20" t="s">
        <v>310</v>
      </c>
      <c r="G26" s="20" t="s">
        <v>311</v>
      </c>
      <c r="H26" s="2">
        <v>43672</v>
      </c>
      <c r="I26" s="2" t="s">
        <v>263</v>
      </c>
      <c r="J26" s="2" t="s">
        <v>263</v>
      </c>
      <c r="K26" s="21">
        <v>12</v>
      </c>
      <c r="L26" s="21">
        <v>356400</v>
      </c>
      <c r="M26" s="21">
        <v>3600</v>
      </c>
      <c r="N26" s="21">
        <v>662</v>
      </c>
      <c r="O26" s="21">
        <v>0</v>
      </c>
      <c r="P26" s="21">
        <v>261723</v>
      </c>
      <c r="Q26" s="22">
        <v>301.33836858006043</v>
      </c>
      <c r="R26" s="22">
        <v>300</v>
      </c>
      <c r="S26" s="23">
        <v>0.05</v>
      </c>
      <c r="T26" s="23">
        <v>0</v>
      </c>
      <c r="U26" s="24">
        <v>0.74184523809523806</v>
      </c>
      <c r="V26" s="25">
        <v>0</v>
      </c>
      <c r="W26" s="26">
        <v>0.05</v>
      </c>
      <c r="X26" s="27">
        <v>0.66666666666666663</v>
      </c>
      <c r="Y26" s="25">
        <v>0</v>
      </c>
      <c r="Z26" s="24">
        <v>1</v>
      </c>
      <c r="AA26" s="25">
        <v>0.04</v>
      </c>
      <c r="AB26" s="28">
        <v>0</v>
      </c>
      <c r="AC26" s="28">
        <v>0</v>
      </c>
      <c r="AD26" s="28">
        <v>0</v>
      </c>
      <c r="AE26" s="25">
        <v>0.09</v>
      </c>
      <c r="AF26" s="26">
        <v>0.13</v>
      </c>
      <c r="AG26" s="29" t="s">
        <v>729</v>
      </c>
      <c r="AH26" s="30">
        <v>1</v>
      </c>
      <c r="AI26" s="26">
        <v>0.1</v>
      </c>
      <c r="AJ26" s="21">
        <v>0</v>
      </c>
      <c r="AK26" s="21">
        <v>0</v>
      </c>
      <c r="AL26" s="26">
        <v>0.1</v>
      </c>
      <c r="AM26" s="24">
        <v>0.67657534246575346</v>
      </c>
      <c r="AN26" s="24">
        <v>0.68493150684931503</v>
      </c>
      <c r="AO26" s="31">
        <v>0.08</v>
      </c>
      <c r="AP26" s="31">
        <v>0.03</v>
      </c>
      <c r="AQ26" s="24">
        <v>0.80869565217391304</v>
      </c>
      <c r="AR26" s="27">
        <v>0.81159420289855078</v>
      </c>
      <c r="AS26" s="26">
        <v>0.2</v>
      </c>
      <c r="AT26" s="26">
        <v>0</v>
      </c>
      <c r="AU26" s="24">
        <v>0.98096885813148793</v>
      </c>
      <c r="AV26" s="32">
        <v>1</v>
      </c>
      <c r="AW26" s="26">
        <v>0.05</v>
      </c>
      <c r="AX26" s="26">
        <v>0</v>
      </c>
      <c r="AY26" s="24">
        <v>0.69785340314136124</v>
      </c>
      <c r="AZ26" s="24">
        <v>0.74345549738219896</v>
      </c>
      <c r="BA26" s="31">
        <v>0.1</v>
      </c>
      <c r="BB26" s="33">
        <v>0.63</v>
      </c>
      <c r="BC26" s="21"/>
      <c r="BD26" s="26">
        <v>0.81</v>
      </c>
      <c r="BE26" s="26">
        <v>0.03</v>
      </c>
      <c r="BF26" s="26" t="s">
        <v>729</v>
      </c>
      <c r="BG26" s="21"/>
      <c r="BH26" s="34">
        <v>0</v>
      </c>
      <c r="BI26" s="34">
        <v>0</v>
      </c>
      <c r="BJ26" s="34" t="s">
        <v>259</v>
      </c>
      <c r="BK26" s="34">
        <v>0</v>
      </c>
      <c r="BL26" s="21"/>
      <c r="BM26" s="35">
        <v>0.84000000000000008</v>
      </c>
    </row>
    <row r="27" spans="1:65" x14ac:dyDescent="0.25">
      <c r="A27" s="4" t="s">
        <v>63</v>
      </c>
      <c r="B27" s="4">
        <v>71817</v>
      </c>
      <c r="C27" s="4" t="s">
        <v>87</v>
      </c>
      <c r="D27" s="19" t="s">
        <v>273</v>
      </c>
      <c r="E27" s="20">
        <v>58261</v>
      </c>
      <c r="F27" s="20" t="s">
        <v>312</v>
      </c>
      <c r="G27" s="20" t="s">
        <v>313</v>
      </c>
      <c r="H27" s="2">
        <v>44444</v>
      </c>
      <c r="I27" s="2" t="s">
        <v>253</v>
      </c>
      <c r="J27" s="2" t="s">
        <v>253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2">
        <v>0</v>
      </c>
      <c r="R27" s="22">
        <v>0</v>
      </c>
      <c r="S27" s="23">
        <v>0</v>
      </c>
      <c r="T27" s="23">
        <v>0</v>
      </c>
      <c r="U27" s="24" t="s">
        <v>276</v>
      </c>
      <c r="V27" s="25">
        <v>0</v>
      </c>
      <c r="W27" s="26">
        <v>0</v>
      </c>
      <c r="X27" s="27">
        <v>0.5</v>
      </c>
      <c r="Y27" s="25">
        <v>0</v>
      </c>
      <c r="Z27" s="24">
        <v>0.95</v>
      </c>
      <c r="AA27" s="25">
        <v>0.04</v>
      </c>
      <c r="AB27" s="28">
        <v>0</v>
      </c>
      <c r="AC27" s="28">
        <v>0</v>
      </c>
      <c r="AD27" s="28">
        <v>0</v>
      </c>
      <c r="AE27" s="25">
        <v>0.09</v>
      </c>
      <c r="AF27" s="26">
        <v>0.13</v>
      </c>
      <c r="AG27" s="29" t="s">
        <v>729</v>
      </c>
      <c r="AH27" s="30" t="s">
        <v>277</v>
      </c>
      <c r="AI27" s="26">
        <v>0.1</v>
      </c>
      <c r="AJ27" s="21">
        <v>0</v>
      </c>
      <c r="AK27" s="21">
        <v>0</v>
      </c>
      <c r="AL27" s="26">
        <v>0.1</v>
      </c>
      <c r="AM27" s="24">
        <v>0</v>
      </c>
      <c r="AN27" s="24">
        <v>0</v>
      </c>
      <c r="AO27" s="31">
        <v>0.08</v>
      </c>
      <c r="AP27" s="31">
        <v>0</v>
      </c>
      <c r="AQ27" s="24">
        <v>0</v>
      </c>
      <c r="AR27" s="27">
        <v>0</v>
      </c>
      <c r="AS27" s="26">
        <v>0.2</v>
      </c>
      <c r="AT27" s="26">
        <v>0</v>
      </c>
      <c r="AU27" s="24" t="s">
        <v>276</v>
      </c>
      <c r="AV27" s="32">
        <v>0</v>
      </c>
      <c r="AW27" s="26">
        <v>0.05</v>
      </c>
      <c r="AX27" s="26">
        <v>0.02</v>
      </c>
      <c r="AY27" s="24">
        <v>0</v>
      </c>
      <c r="AZ27" s="24">
        <v>0</v>
      </c>
      <c r="BA27" s="31">
        <v>0</v>
      </c>
      <c r="BB27" s="33">
        <v>0.53</v>
      </c>
      <c r="BC27" s="21"/>
      <c r="BD27" s="26">
        <v>0.66</v>
      </c>
      <c r="BE27" s="26">
        <v>0.02</v>
      </c>
      <c r="BF27" s="26" t="s">
        <v>729</v>
      </c>
      <c r="BG27" s="21"/>
      <c r="BH27" s="34">
        <v>0</v>
      </c>
      <c r="BI27" s="34">
        <v>0</v>
      </c>
      <c r="BJ27" s="34" t="s">
        <v>259</v>
      </c>
      <c r="BK27" s="34">
        <v>0</v>
      </c>
      <c r="BL27" s="21"/>
      <c r="BM27" s="35">
        <v>0.68</v>
      </c>
    </row>
    <row r="28" spans="1:65" x14ac:dyDescent="0.25">
      <c r="A28" s="4" t="s">
        <v>63</v>
      </c>
      <c r="B28" s="4">
        <v>72342</v>
      </c>
      <c r="C28" s="4" t="s">
        <v>88</v>
      </c>
      <c r="D28" s="19" t="s">
        <v>314</v>
      </c>
      <c r="E28" s="20">
        <v>45801</v>
      </c>
      <c r="F28" s="20" t="s">
        <v>315</v>
      </c>
      <c r="G28" s="20" t="s">
        <v>316</v>
      </c>
      <c r="H28" s="2">
        <v>45272</v>
      </c>
      <c r="I28" s="2" t="s">
        <v>263</v>
      </c>
      <c r="J28" s="2" t="s">
        <v>263</v>
      </c>
      <c r="K28" s="21">
        <v>19</v>
      </c>
      <c r="L28" s="21">
        <v>568800</v>
      </c>
      <c r="M28" s="21">
        <v>4500</v>
      </c>
      <c r="N28" s="21">
        <v>940</v>
      </c>
      <c r="O28" s="21">
        <v>0</v>
      </c>
      <c r="P28" s="21">
        <v>487785</v>
      </c>
      <c r="Q28" s="22">
        <v>383.68510638297874</v>
      </c>
      <c r="R28" s="22">
        <v>300</v>
      </c>
      <c r="S28" s="23">
        <v>0</v>
      </c>
      <c r="T28" s="23">
        <v>0</v>
      </c>
      <c r="U28" s="24">
        <v>0.86440723019670385</v>
      </c>
      <c r="V28" s="25">
        <v>0.1</v>
      </c>
      <c r="W28" s="26">
        <v>0.1</v>
      </c>
      <c r="X28" s="27">
        <v>0.73684210526315785</v>
      </c>
      <c r="Y28" s="25">
        <v>0</v>
      </c>
      <c r="Z28" s="24">
        <v>0.94736842105263153</v>
      </c>
      <c r="AA28" s="25">
        <v>0</v>
      </c>
      <c r="AB28" s="28">
        <v>0</v>
      </c>
      <c r="AC28" s="28">
        <v>0</v>
      </c>
      <c r="AD28" s="28">
        <v>0</v>
      </c>
      <c r="AE28" s="25">
        <v>0.09</v>
      </c>
      <c r="AF28" s="26">
        <v>0.09</v>
      </c>
      <c r="AG28" s="29" t="s">
        <v>729</v>
      </c>
      <c r="AH28" s="30">
        <v>1</v>
      </c>
      <c r="AI28" s="26">
        <v>0.1</v>
      </c>
      <c r="AJ28" s="21">
        <v>0</v>
      </c>
      <c r="AK28" s="21">
        <v>0</v>
      </c>
      <c r="AL28" s="26">
        <v>0.1</v>
      </c>
      <c r="AM28" s="24">
        <v>0.67368932038834939</v>
      </c>
      <c r="AN28" s="24">
        <v>0.73786407766990292</v>
      </c>
      <c r="AO28" s="31">
        <v>0.08</v>
      </c>
      <c r="AP28" s="31">
        <v>0.03</v>
      </c>
      <c r="AQ28" s="24">
        <v>0.80445652173913051</v>
      </c>
      <c r="AR28" s="27">
        <v>0.84782608695652173</v>
      </c>
      <c r="AS28" s="26">
        <v>0.2</v>
      </c>
      <c r="AT28" s="26">
        <v>0.08</v>
      </c>
      <c r="AU28" s="24">
        <v>0.984375</v>
      </c>
      <c r="AV28" s="32">
        <v>3</v>
      </c>
      <c r="AW28" s="26">
        <v>0.01</v>
      </c>
      <c r="AX28" s="26">
        <v>0</v>
      </c>
      <c r="AY28" s="24">
        <v>0.69418181818181812</v>
      </c>
      <c r="AZ28" s="24">
        <v>0.72597402597402594</v>
      </c>
      <c r="BA28" s="31">
        <v>0.1</v>
      </c>
      <c r="BB28" s="33">
        <v>0.59</v>
      </c>
      <c r="BC28" s="21"/>
      <c r="BD28" s="26">
        <v>0.77999999999999992</v>
      </c>
      <c r="BE28" s="26">
        <v>0.11</v>
      </c>
      <c r="BF28" s="26" t="s">
        <v>729</v>
      </c>
      <c r="BG28" s="21"/>
      <c r="BH28" s="34">
        <v>0</v>
      </c>
      <c r="BI28" s="34">
        <v>0</v>
      </c>
      <c r="BJ28" s="34" t="s">
        <v>259</v>
      </c>
      <c r="BK28" s="34">
        <v>0</v>
      </c>
      <c r="BL28" s="21"/>
      <c r="BM28" s="35">
        <v>0.8899999999999999</v>
      </c>
    </row>
    <row r="29" spans="1:65" x14ac:dyDescent="0.25">
      <c r="A29" s="4" t="s">
        <v>63</v>
      </c>
      <c r="B29" s="4">
        <v>71724</v>
      </c>
      <c r="C29" s="4" t="s">
        <v>89</v>
      </c>
      <c r="D29" s="19" t="s">
        <v>273</v>
      </c>
      <c r="E29" s="20">
        <v>54509</v>
      </c>
      <c r="F29" s="20" t="s">
        <v>317</v>
      </c>
      <c r="G29" s="20" t="s">
        <v>318</v>
      </c>
      <c r="H29" s="2">
        <v>43522</v>
      </c>
      <c r="I29" s="2" t="s">
        <v>263</v>
      </c>
      <c r="J29" s="2" t="s">
        <v>263</v>
      </c>
      <c r="K29" s="21">
        <v>11</v>
      </c>
      <c r="L29" s="21">
        <v>326700</v>
      </c>
      <c r="M29" s="21">
        <v>0</v>
      </c>
      <c r="N29" s="21">
        <v>604</v>
      </c>
      <c r="O29" s="21">
        <v>0</v>
      </c>
      <c r="P29" s="21">
        <v>272256</v>
      </c>
      <c r="Q29" s="22">
        <v>299.75827814569539</v>
      </c>
      <c r="R29" s="22">
        <v>300</v>
      </c>
      <c r="S29" s="23">
        <v>0.1</v>
      </c>
      <c r="T29" s="23">
        <v>0</v>
      </c>
      <c r="U29" s="24">
        <v>0.83335169880624427</v>
      </c>
      <c r="V29" s="25">
        <v>0.1</v>
      </c>
      <c r="W29" s="26">
        <v>0.2</v>
      </c>
      <c r="X29" s="27">
        <v>0.54545454545454541</v>
      </c>
      <c r="Y29" s="25">
        <v>0</v>
      </c>
      <c r="Z29" s="24">
        <v>0.27272727272727271</v>
      </c>
      <c r="AA29" s="25">
        <v>0</v>
      </c>
      <c r="AB29" s="28">
        <v>0</v>
      </c>
      <c r="AC29" s="28">
        <v>0</v>
      </c>
      <c r="AD29" s="28">
        <v>0</v>
      </c>
      <c r="AE29" s="25">
        <v>0.09</v>
      </c>
      <c r="AF29" s="26">
        <v>0.09</v>
      </c>
      <c r="AG29" s="29" t="s">
        <v>729</v>
      </c>
      <c r="AH29" s="30" t="s">
        <v>277</v>
      </c>
      <c r="AI29" s="26">
        <v>0.1</v>
      </c>
      <c r="AJ29" s="21">
        <v>0</v>
      </c>
      <c r="AK29" s="21">
        <v>0</v>
      </c>
      <c r="AL29" s="26">
        <v>0.1</v>
      </c>
      <c r="AM29" s="24">
        <v>0.68533333333333324</v>
      </c>
      <c r="AN29" s="24">
        <v>0.73333333333333328</v>
      </c>
      <c r="AO29" s="31">
        <v>0.08</v>
      </c>
      <c r="AP29" s="31">
        <v>0.03</v>
      </c>
      <c r="AQ29" s="24">
        <v>0.81551724137931025</v>
      </c>
      <c r="AR29" s="27">
        <v>0.7068965517241379</v>
      </c>
      <c r="AS29" s="26">
        <v>0</v>
      </c>
      <c r="AT29" s="26">
        <v>0</v>
      </c>
      <c r="AU29" s="24">
        <v>0.97455968688845396</v>
      </c>
      <c r="AV29" s="32">
        <v>1</v>
      </c>
      <c r="AW29" s="26">
        <v>0.05</v>
      </c>
      <c r="AX29" s="26">
        <v>0</v>
      </c>
      <c r="AY29" s="24">
        <v>0.70541666666666669</v>
      </c>
      <c r="AZ29" s="24">
        <v>0.73611111111111116</v>
      </c>
      <c r="BA29" s="31">
        <v>0.1</v>
      </c>
      <c r="BB29" s="33">
        <v>0.43000000000000005</v>
      </c>
      <c r="BC29" s="21"/>
      <c r="BD29" s="26">
        <v>0.72</v>
      </c>
      <c r="BE29" s="26">
        <v>0.03</v>
      </c>
      <c r="BF29" s="26" t="s">
        <v>729</v>
      </c>
      <c r="BG29" s="21"/>
      <c r="BH29" s="34">
        <v>0</v>
      </c>
      <c r="BI29" s="34">
        <v>0</v>
      </c>
      <c r="BJ29" s="34" t="s">
        <v>259</v>
      </c>
      <c r="BK29" s="34">
        <v>0</v>
      </c>
      <c r="BL29" s="21"/>
      <c r="BM29" s="35">
        <v>0.75</v>
      </c>
    </row>
    <row r="30" spans="1:65" x14ac:dyDescent="0.25">
      <c r="A30" s="4" t="s">
        <v>63</v>
      </c>
      <c r="B30" s="4">
        <v>72412</v>
      </c>
      <c r="C30" s="4" t="s">
        <v>90</v>
      </c>
      <c r="D30" s="19" t="s">
        <v>314</v>
      </c>
      <c r="E30" s="20">
        <v>53256</v>
      </c>
      <c r="F30" s="20" t="s">
        <v>319</v>
      </c>
      <c r="G30" s="20" t="s">
        <v>320</v>
      </c>
      <c r="H30" s="2">
        <v>43348</v>
      </c>
      <c r="I30" s="2" t="s">
        <v>263</v>
      </c>
      <c r="J30" s="2" t="s">
        <v>263</v>
      </c>
      <c r="K30" s="21">
        <v>12</v>
      </c>
      <c r="L30" s="21">
        <v>356400</v>
      </c>
      <c r="M30" s="21">
        <v>3600</v>
      </c>
      <c r="N30" s="21">
        <v>229</v>
      </c>
      <c r="O30" s="21">
        <v>0</v>
      </c>
      <c r="P30" s="21">
        <v>224185</v>
      </c>
      <c r="Q30" s="22">
        <v>403.06113537117903</v>
      </c>
      <c r="R30" s="22">
        <v>300</v>
      </c>
      <c r="S30" s="23">
        <v>0</v>
      </c>
      <c r="T30" s="23">
        <v>0</v>
      </c>
      <c r="U30" s="24">
        <v>0.63544501133786846</v>
      </c>
      <c r="V30" s="25">
        <v>0</v>
      </c>
      <c r="W30" s="26">
        <v>0</v>
      </c>
      <c r="X30" s="27">
        <v>0.33333333333333331</v>
      </c>
      <c r="Y30" s="25">
        <v>0</v>
      </c>
      <c r="Z30" s="24">
        <v>0.16666666666666666</v>
      </c>
      <c r="AA30" s="25">
        <v>0</v>
      </c>
      <c r="AB30" s="28">
        <v>0</v>
      </c>
      <c r="AC30" s="28">
        <v>0</v>
      </c>
      <c r="AD30" s="28">
        <v>0</v>
      </c>
      <c r="AE30" s="25">
        <v>0.09</v>
      </c>
      <c r="AF30" s="26">
        <v>0.09</v>
      </c>
      <c r="AG30" s="29" t="s">
        <v>729</v>
      </c>
      <c r="AH30" s="30">
        <v>0.66666666666666663</v>
      </c>
      <c r="AI30" s="26">
        <v>0</v>
      </c>
      <c r="AJ30" s="21">
        <v>0</v>
      </c>
      <c r="AK30" s="21">
        <v>0</v>
      </c>
      <c r="AL30" s="26">
        <v>0.1</v>
      </c>
      <c r="AM30" s="24">
        <v>0.68511627906976735</v>
      </c>
      <c r="AN30" s="24">
        <v>0.68604651162790697</v>
      </c>
      <c r="AO30" s="31">
        <v>0.08</v>
      </c>
      <c r="AP30" s="31">
        <v>0.03</v>
      </c>
      <c r="AQ30" s="24">
        <v>0.81670886075949367</v>
      </c>
      <c r="AR30" s="27">
        <v>0.82278481012658233</v>
      </c>
      <c r="AS30" s="26">
        <v>0.2</v>
      </c>
      <c r="AT30" s="26">
        <v>0</v>
      </c>
      <c r="AU30" s="24">
        <v>0.98518518518518516</v>
      </c>
      <c r="AV30" s="32">
        <v>5</v>
      </c>
      <c r="AW30" s="26">
        <v>0</v>
      </c>
      <c r="AX30" s="26">
        <v>0</v>
      </c>
      <c r="AY30" s="24">
        <v>0.70737864077669899</v>
      </c>
      <c r="AZ30" s="24">
        <v>0.67961165048543692</v>
      </c>
      <c r="BA30" s="31">
        <v>0</v>
      </c>
      <c r="BB30" s="33">
        <v>0.38</v>
      </c>
      <c r="BC30" s="21"/>
      <c r="BD30" s="26">
        <v>0.47</v>
      </c>
      <c r="BE30" s="26">
        <v>0.03</v>
      </c>
      <c r="BF30" s="26" t="s">
        <v>729</v>
      </c>
      <c r="BG30" s="21"/>
      <c r="BH30" s="34">
        <v>0</v>
      </c>
      <c r="BI30" s="34">
        <v>0.01</v>
      </c>
      <c r="BJ30" s="34" t="s">
        <v>259</v>
      </c>
      <c r="BK30" s="34">
        <v>0.01</v>
      </c>
      <c r="BL30" s="21"/>
      <c r="BM30" s="35">
        <v>0.49</v>
      </c>
    </row>
    <row r="31" spans="1:65" x14ac:dyDescent="0.25">
      <c r="A31" s="4" t="s">
        <v>63</v>
      </c>
      <c r="B31" s="4">
        <v>73496</v>
      </c>
      <c r="C31" s="4" t="s">
        <v>91</v>
      </c>
      <c r="D31" s="19" t="s">
        <v>282</v>
      </c>
      <c r="E31" s="20">
        <v>43330</v>
      </c>
      <c r="F31" s="20" t="s">
        <v>321</v>
      </c>
      <c r="G31" s="20" t="s">
        <v>322</v>
      </c>
      <c r="H31" s="2">
        <v>44964</v>
      </c>
      <c r="I31" s="2" t="s">
        <v>253</v>
      </c>
      <c r="J31" s="2" t="s">
        <v>253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343107</v>
      </c>
      <c r="Q31" s="22">
        <v>0</v>
      </c>
      <c r="R31" s="22">
        <v>0</v>
      </c>
      <c r="S31" s="23">
        <v>0</v>
      </c>
      <c r="T31" s="23">
        <v>0</v>
      </c>
      <c r="U31" s="24" t="s">
        <v>276</v>
      </c>
      <c r="V31" s="25">
        <v>0</v>
      </c>
      <c r="W31" s="26">
        <v>0</v>
      </c>
      <c r="X31" s="27">
        <v>0.5</v>
      </c>
      <c r="Y31" s="25">
        <v>0</v>
      </c>
      <c r="Z31" s="24">
        <v>0.95</v>
      </c>
      <c r="AA31" s="25">
        <v>0.04</v>
      </c>
      <c r="AB31" s="28">
        <v>0</v>
      </c>
      <c r="AC31" s="28">
        <v>0</v>
      </c>
      <c r="AD31" s="28">
        <v>0</v>
      </c>
      <c r="AE31" s="25">
        <v>0.09</v>
      </c>
      <c r="AF31" s="26">
        <v>0.13</v>
      </c>
      <c r="AG31" s="29" t="s">
        <v>729</v>
      </c>
      <c r="AH31" s="30" t="s">
        <v>277</v>
      </c>
      <c r="AI31" s="26">
        <v>0.1</v>
      </c>
      <c r="AJ31" s="21">
        <v>0</v>
      </c>
      <c r="AK31" s="21">
        <v>0</v>
      </c>
      <c r="AL31" s="26">
        <v>0.1</v>
      </c>
      <c r="AM31" s="24">
        <v>0.69</v>
      </c>
      <c r="AN31" s="24">
        <v>1</v>
      </c>
      <c r="AO31" s="31">
        <v>0.08</v>
      </c>
      <c r="AP31" s="31">
        <v>0.03</v>
      </c>
      <c r="AQ31" s="24">
        <v>0.82</v>
      </c>
      <c r="AR31" s="27">
        <v>0.5</v>
      </c>
      <c r="AS31" s="26">
        <v>0</v>
      </c>
      <c r="AT31" s="26">
        <v>0</v>
      </c>
      <c r="AU31" s="24" t="s">
        <v>276</v>
      </c>
      <c r="AV31" s="32">
        <v>0</v>
      </c>
      <c r="AW31" s="26">
        <v>0.05</v>
      </c>
      <c r="AX31" s="26">
        <v>0.02</v>
      </c>
      <c r="AY31" s="24">
        <v>0</v>
      </c>
      <c r="AZ31" s="24">
        <v>0</v>
      </c>
      <c r="BA31" s="31">
        <v>0</v>
      </c>
      <c r="BB31" s="33">
        <v>0.33</v>
      </c>
      <c r="BC31" s="21"/>
      <c r="BD31" s="26">
        <v>0.46</v>
      </c>
      <c r="BE31" s="26">
        <v>0.05</v>
      </c>
      <c r="BF31" s="26" t="s">
        <v>729</v>
      </c>
      <c r="BG31" s="21"/>
      <c r="BH31" s="34">
        <v>0</v>
      </c>
      <c r="BI31" s="34">
        <v>0</v>
      </c>
      <c r="BJ31" s="34" t="s">
        <v>259</v>
      </c>
      <c r="BK31" s="34">
        <v>0</v>
      </c>
      <c r="BL31" s="21"/>
      <c r="BM31" s="35">
        <v>0.51</v>
      </c>
    </row>
    <row r="32" spans="1:65" x14ac:dyDescent="0.25">
      <c r="A32" s="4" t="s">
        <v>63</v>
      </c>
      <c r="B32" s="4">
        <v>72866</v>
      </c>
      <c r="C32" s="4" t="s">
        <v>92</v>
      </c>
      <c r="D32" s="19" t="s">
        <v>314</v>
      </c>
      <c r="E32" s="20">
        <v>43183</v>
      </c>
      <c r="F32" s="20" t="s">
        <v>323</v>
      </c>
      <c r="G32" s="20" t="s">
        <v>324</v>
      </c>
      <c r="H32" s="2">
        <v>44918</v>
      </c>
      <c r="I32" s="2" t="s">
        <v>263</v>
      </c>
      <c r="J32" s="2" t="s">
        <v>263</v>
      </c>
      <c r="K32" s="21">
        <v>18</v>
      </c>
      <c r="L32" s="21">
        <v>541800</v>
      </c>
      <c r="M32" s="21">
        <v>7200</v>
      </c>
      <c r="N32" s="21">
        <v>595</v>
      </c>
      <c r="O32" s="21">
        <v>0</v>
      </c>
      <c r="P32" s="21">
        <v>238475</v>
      </c>
      <c r="Q32" s="22">
        <v>302.7176470588235</v>
      </c>
      <c r="R32" s="22">
        <v>300</v>
      </c>
      <c r="S32" s="23">
        <v>0.05</v>
      </c>
      <c r="T32" s="23">
        <v>0</v>
      </c>
      <c r="U32" s="24">
        <v>0.44608118219229331</v>
      </c>
      <c r="V32" s="25">
        <v>0</v>
      </c>
      <c r="W32" s="26">
        <v>0.05</v>
      </c>
      <c r="X32" s="27">
        <v>0</v>
      </c>
      <c r="Y32" s="25">
        <v>0</v>
      </c>
      <c r="Z32" s="24">
        <v>0.1111111111111111</v>
      </c>
      <c r="AA32" s="25">
        <v>0</v>
      </c>
      <c r="AB32" s="28">
        <v>1</v>
      </c>
      <c r="AC32" s="28">
        <v>0</v>
      </c>
      <c r="AD32" s="28">
        <v>0</v>
      </c>
      <c r="AE32" s="25">
        <v>0</v>
      </c>
      <c r="AF32" s="26">
        <v>0</v>
      </c>
      <c r="AG32" s="29" t="s">
        <v>729</v>
      </c>
      <c r="AH32" s="30">
        <v>0.9</v>
      </c>
      <c r="AI32" s="26">
        <v>0.1</v>
      </c>
      <c r="AJ32" s="21">
        <v>0</v>
      </c>
      <c r="AK32" s="21">
        <v>0</v>
      </c>
      <c r="AL32" s="26">
        <v>0.1</v>
      </c>
      <c r="AM32" s="24">
        <v>0.67638888888888882</v>
      </c>
      <c r="AN32" s="24">
        <v>0.66666666666666663</v>
      </c>
      <c r="AO32" s="31">
        <v>0.06</v>
      </c>
      <c r="AP32" s="31">
        <v>0</v>
      </c>
      <c r="AQ32" s="24">
        <v>0.8068115942028985</v>
      </c>
      <c r="AR32" s="27">
        <v>0.82608695652173914</v>
      </c>
      <c r="AS32" s="26">
        <v>0.2</v>
      </c>
      <c r="AT32" s="26">
        <v>0.02</v>
      </c>
      <c r="AU32" s="24">
        <v>0.94926004228329808</v>
      </c>
      <c r="AV32" s="32">
        <v>5</v>
      </c>
      <c r="AW32" s="26">
        <v>0</v>
      </c>
      <c r="AX32" s="26">
        <v>0</v>
      </c>
      <c r="AY32" s="24">
        <v>0.69293868921775892</v>
      </c>
      <c r="AZ32" s="24">
        <v>0.67864693446088797</v>
      </c>
      <c r="BA32" s="31">
        <v>0.05</v>
      </c>
      <c r="BB32" s="33">
        <v>0.51</v>
      </c>
      <c r="BC32" s="21"/>
      <c r="BD32" s="26">
        <v>0.56000000000000005</v>
      </c>
      <c r="BE32" s="26">
        <v>0.02</v>
      </c>
      <c r="BF32" s="26" t="s">
        <v>729</v>
      </c>
      <c r="BG32" s="21"/>
      <c r="BH32" s="34">
        <v>0</v>
      </c>
      <c r="BI32" s="34">
        <v>0.01</v>
      </c>
      <c r="BJ32" s="34" t="s">
        <v>259</v>
      </c>
      <c r="BK32" s="34">
        <v>0.01</v>
      </c>
      <c r="BL32" s="21"/>
      <c r="BM32" s="35">
        <v>0.57000000000000006</v>
      </c>
    </row>
    <row r="33" spans="1:65" x14ac:dyDescent="0.25">
      <c r="A33" s="4" t="s">
        <v>63</v>
      </c>
      <c r="B33" s="4">
        <v>71980</v>
      </c>
      <c r="C33" s="4" t="s">
        <v>93</v>
      </c>
      <c r="D33" s="19" t="s">
        <v>314</v>
      </c>
      <c r="E33" s="20">
        <v>43868</v>
      </c>
      <c r="F33" s="20" t="s">
        <v>325</v>
      </c>
      <c r="G33" s="20" t="s">
        <v>326</v>
      </c>
      <c r="H33" s="2">
        <v>44998</v>
      </c>
      <c r="I33" s="2" t="s">
        <v>263</v>
      </c>
      <c r="J33" s="2" t="s">
        <v>263</v>
      </c>
      <c r="K33" s="21">
        <v>13</v>
      </c>
      <c r="L33" s="21">
        <v>386100</v>
      </c>
      <c r="M33" s="21">
        <v>14400</v>
      </c>
      <c r="N33" s="21">
        <v>476</v>
      </c>
      <c r="O33" s="21">
        <v>0</v>
      </c>
      <c r="P33" s="21">
        <v>205449</v>
      </c>
      <c r="Q33" s="22">
        <v>310.29411764705884</v>
      </c>
      <c r="R33" s="22">
        <v>300</v>
      </c>
      <c r="S33" s="23">
        <v>0</v>
      </c>
      <c r="T33" s="23">
        <v>0</v>
      </c>
      <c r="U33" s="24">
        <v>0.55272800645681996</v>
      </c>
      <c r="V33" s="25">
        <v>0</v>
      </c>
      <c r="W33" s="26">
        <v>0</v>
      </c>
      <c r="X33" s="27">
        <v>0.46153846153846156</v>
      </c>
      <c r="Y33" s="25">
        <v>0</v>
      </c>
      <c r="Z33" s="24">
        <v>0.61538461538461542</v>
      </c>
      <c r="AA33" s="25">
        <v>0</v>
      </c>
      <c r="AB33" s="28">
        <v>0</v>
      </c>
      <c r="AC33" s="28">
        <v>0</v>
      </c>
      <c r="AD33" s="28">
        <v>0</v>
      </c>
      <c r="AE33" s="25">
        <v>0.09</v>
      </c>
      <c r="AF33" s="26">
        <v>0.09</v>
      </c>
      <c r="AG33" s="29">
        <v>0.1</v>
      </c>
      <c r="AH33" s="30">
        <v>1</v>
      </c>
      <c r="AI33" s="26">
        <v>0.1</v>
      </c>
      <c r="AJ33" s="21">
        <v>0</v>
      </c>
      <c r="AK33" s="21">
        <v>0</v>
      </c>
      <c r="AL33" s="26">
        <v>0.1</v>
      </c>
      <c r="AM33" s="24">
        <v>0.68575757575757568</v>
      </c>
      <c r="AN33" s="24">
        <v>0.75757575757575757</v>
      </c>
      <c r="AO33" s="31">
        <v>0.08</v>
      </c>
      <c r="AP33" s="31">
        <v>0.03</v>
      </c>
      <c r="AQ33" s="24">
        <v>0.81566666666666665</v>
      </c>
      <c r="AR33" s="27">
        <v>0.8</v>
      </c>
      <c r="AS33" s="26">
        <v>0.125</v>
      </c>
      <c r="AT33" s="26">
        <v>0</v>
      </c>
      <c r="AU33" s="24">
        <v>0.98921832884097038</v>
      </c>
      <c r="AV33" s="32">
        <v>3</v>
      </c>
      <c r="AW33" s="26">
        <v>0.01</v>
      </c>
      <c r="AX33" s="26">
        <v>0</v>
      </c>
      <c r="AY33" s="24">
        <v>0.70471544715447165</v>
      </c>
      <c r="AZ33" s="24">
        <v>0.74525745257452569</v>
      </c>
      <c r="BA33" s="31">
        <v>0.1</v>
      </c>
      <c r="BB33" s="33">
        <v>0.51500000000000001</v>
      </c>
      <c r="BC33" s="21"/>
      <c r="BD33" s="26">
        <v>0.60499999999999998</v>
      </c>
      <c r="BE33" s="26">
        <v>0.03</v>
      </c>
      <c r="BF33" s="26">
        <v>0.1</v>
      </c>
      <c r="BG33" s="21"/>
      <c r="BH33" s="34">
        <v>0</v>
      </c>
      <c r="BI33" s="34">
        <v>0</v>
      </c>
      <c r="BJ33" s="34" t="s">
        <v>259</v>
      </c>
      <c r="BK33" s="34">
        <v>0</v>
      </c>
      <c r="BL33" s="21"/>
      <c r="BM33" s="35">
        <v>0.73499999999999999</v>
      </c>
    </row>
    <row r="34" spans="1:65" x14ac:dyDescent="0.25">
      <c r="A34" s="4" t="s">
        <v>63</v>
      </c>
      <c r="B34" s="4">
        <v>73494</v>
      </c>
      <c r="C34" s="4" t="s">
        <v>94</v>
      </c>
      <c r="D34" s="19" t="s">
        <v>282</v>
      </c>
      <c r="E34" s="20">
        <v>43671</v>
      </c>
      <c r="F34" s="20" t="s">
        <v>327</v>
      </c>
      <c r="G34" s="20" t="s">
        <v>328</v>
      </c>
      <c r="H34" s="2">
        <v>44992</v>
      </c>
      <c r="I34" s="2" t="s">
        <v>263</v>
      </c>
      <c r="J34" s="2" t="s">
        <v>263</v>
      </c>
      <c r="K34" s="21">
        <v>21</v>
      </c>
      <c r="L34" s="21">
        <v>638100</v>
      </c>
      <c r="M34" s="21">
        <v>14400</v>
      </c>
      <c r="N34" s="21">
        <v>49</v>
      </c>
      <c r="O34" s="21">
        <v>2</v>
      </c>
      <c r="P34" s="21">
        <v>28990</v>
      </c>
      <c r="Q34" s="22">
        <v>401.35294117647061</v>
      </c>
      <c r="R34" s="22">
        <v>300</v>
      </c>
      <c r="S34" s="23">
        <v>0</v>
      </c>
      <c r="T34" s="23">
        <v>0</v>
      </c>
      <c r="U34" s="24">
        <v>4.6480679814013146E-2</v>
      </c>
      <c r="V34" s="25">
        <v>0</v>
      </c>
      <c r="W34" s="26">
        <v>0</v>
      </c>
      <c r="X34" s="27">
        <v>0.2857142857142857</v>
      </c>
      <c r="Y34" s="25">
        <v>0</v>
      </c>
      <c r="Z34" s="24">
        <v>0.14285714285714285</v>
      </c>
      <c r="AA34" s="25">
        <v>0</v>
      </c>
      <c r="AB34" s="28">
        <v>0</v>
      </c>
      <c r="AC34" s="28">
        <v>0</v>
      </c>
      <c r="AD34" s="28">
        <v>0</v>
      </c>
      <c r="AE34" s="25">
        <v>0.09</v>
      </c>
      <c r="AF34" s="26">
        <v>0.09</v>
      </c>
      <c r="AG34" s="29" t="s">
        <v>729</v>
      </c>
      <c r="AH34" s="30">
        <v>0.92500000000000004</v>
      </c>
      <c r="AI34" s="26">
        <v>0.1</v>
      </c>
      <c r="AJ34" s="21">
        <v>0</v>
      </c>
      <c r="AK34" s="21">
        <v>0</v>
      </c>
      <c r="AL34" s="26">
        <v>0.1</v>
      </c>
      <c r="AM34" s="24">
        <v>0.69</v>
      </c>
      <c r="AN34" s="24">
        <v>0.88235294117647056</v>
      </c>
      <c r="AO34" s="31">
        <v>0.08</v>
      </c>
      <c r="AP34" s="31">
        <v>0.03</v>
      </c>
      <c r="AQ34" s="24">
        <v>0.82</v>
      </c>
      <c r="AR34" s="27">
        <v>0.93333333333333335</v>
      </c>
      <c r="AS34" s="26">
        <v>0.2</v>
      </c>
      <c r="AT34" s="26">
        <v>0.1</v>
      </c>
      <c r="AU34" s="24">
        <v>1</v>
      </c>
      <c r="AV34" s="32">
        <v>0</v>
      </c>
      <c r="AW34" s="26">
        <v>0.05</v>
      </c>
      <c r="AX34" s="26">
        <v>0.02</v>
      </c>
      <c r="AY34" s="24">
        <v>0.73553191489361702</v>
      </c>
      <c r="AZ34" s="24">
        <v>0.68085106382978722</v>
      </c>
      <c r="BA34" s="31">
        <v>0</v>
      </c>
      <c r="BB34" s="33">
        <v>0.53</v>
      </c>
      <c r="BC34" s="21"/>
      <c r="BD34" s="26">
        <v>0.62</v>
      </c>
      <c r="BE34" s="26">
        <v>0.15000000000000002</v>
      </c>
      <c r="BF34" s="26" t="s">
        <v>729</v>
      </c>
      <c r="BG34" s="21"/>
      <c r="BH34" s="34">
        <v>0</v>
      </c>
      <c r="BI34" s="34">
        <v>0</v>
      </c>
      <c r="BJ34" s="34" t="s">
        <v>259</v>
      </c>
      <c r="BK34" s="34">
        <v>0</v>
      </c>
      <c r="BL34" s="21"/>
      <c r="BM34" s="35">
        <v>0.77</v>
      </c>
    </row>
    <row r="35" spans="1:65" x14ac:dyDescent="0.25">
      <c r="A35" s="4" t="s">
        <v>63</v>
      </c>
      <c r="B35" s="4">
        <v>72633</v>
      </c>
      <c r="C35" s="4" t="s">
        <v>95</v>
      </c>
      <c r="D35" s="19" t="s">
        <v>282</v>
      </c>
      <c r="E35" s="20">
        <v>43887</v>
      </c>
      <c r="F35" s="20" t="s">
        <v>329</v>
      </c>
      <c r="G35" s="20" t="s">
        <v>330</v>
      </c>
      <c r="H35" s="2">
        <v>44998</v>
      </c>
      <c r="I35" s="2" t="s">
        <v>253</v>
      </c>
      <c r="J35" s="2" t="s">
        <v>253</v>
      </c>
      <c r="K35" s="21">
        <v>1</v>
      </c>
      <c r="L35" s="21">
        <v>29700</v>
      </c>
      <c r="M35" s="21">
        <v>0</v>
      </c>
      <c r="N35" s="21">
        <v>64</v>
      </c>
      <c r="O35" s="21">
        <v>0</v>
      </c>
      <c r="P35" s="21">
        <v>22786</v>
      </c>
      <c r="Q35" s="22">
        <v>313.03125</v>
      </c>
      <c r="R35" s="22">
        <v>300</v>
      </c>
      <c r="S35" s="23">
        <v>0</v>
      </c>
      <c r="T35" s="23">
        <v>0</v>
      </c>
      <c r="U35" s="24">
        <v>0.76720538720538722</v>
      </c>
      <c r="V35" s="25">
        <v>0</v>
      </c>
      <c r="W35" s="26">
        <v>0</v>
      </c>
      <c r="X35" s="27">
        <v>0</v>
      </c>
      <c r="Y35" s="25">
        <v>0</v>
      </c>
      <c r="Z35" s="24">
        <v>0</v>
      </c>
      <c r="AA35" s="25">
        <v>0</v>
      </c>
      <c r="AB35" s="28">
        <v>0</v>
      </c>
      <c r="AC35" s="28">
        <v>0</v>
      </c>
      <c r="AD35" s="28">
        <v>0</v>
      </c>
      <c r="AE35" s="25">
        <v>0.09</v>
      </c>
      <c r="AF35" s="26">
        <v>0.09</v>
      </c>
      <c r="AG35" s="29" t="s">
        <v>729</v>
      </c>
      <c r="AH35" s="30">
        <v>0.95</v>
      </c>
      <c r="AI35" s="26">
        <v>0.1</v>
      </c>
      <c r="AJ35" s="21">
        <v>0</v>
      </c>
      <c r="AK35" s="21">
        <v>0</v>
      </c>
      <c r="AL35" s="26">
        <v>0.1</v>
      </c>
      <c r="AM35" s="24">
        <v>0.64333333333333331</v>
      </c>
      <c r="AN35" s="24">
        <v>0.33333333333333331</v>
      </c>
      <c r="AO35" s="31">
        <v>0</v>
      </c>
      <c r="AP35" s="31">
        <v>0</v>
      </c>
      <c r="AQ35" s="24">
        <v>0.75499999999999989</v>
      </c>
      <c r="AR35" s="27">
        <v>0.5</v>
      </c>
      <c r="AS35" s="26">
        <v>0</v>
      </c>
      <c r="AT35" s="26">
        <v>0</v>
      </c>
      <c r="AU35" s="24">
        <v>0.98305084745762716</v>
      </c>
      <c r="AV35" s="32">
        <v>0</v>
      </c>
      <c r="AW35" s="26">
        <v>0.05</v>
      </c>
      <c r="AX35" s="26">
        <v>0.02</v>
      </c>
      <c r="AY35" s="24">
        <v>0.67844827586206902</v>
      </c>
      <c r="AZ35" s="24">
        <v>0.67241379310344829</v>
      </c>
      <c r="BA35" s="31">
        <v>0.05</v>
      </c>
      <c r="BB35" s="33">
        <v>0.3</v>
      </c>
      <c r="BC35" s="21"/>
      <c r="BD35" s="26">
        <v>0.39</v>
      </c>
      <c r="BE35" s="26">
        <v>0.02</v>
      </c>
      <c r="BF35" s="26" t="s">
        <v>729</v>
      </c>
      <c r="BG35" s="21"/>
      <c r="BH35" s="34">
        <v>0</v>
      </c>
      <c r="BI35" s="34">
        <v>0</v>
      </c>
      <c r="BJ35" s="34" t="s">
        <v>259</v>
      </c>
      <c r="BK35" s="34">
        <v>0</v>
      </c>
      <c r="BL35" s="21"/>
      <c r="BM35" s="35">
        <v>0.41000000000000003</v>
      </c>
    </row>
    <row r="36" spans="1:65" x14ac:dyDescent="0.25">
      <c r="A36" s="4" t="s">
        <v>63</v>
      </c>
      <c r="B36" s="4">
        <v>74211</v>
      </c>
      <c r="C36" s="4" t="s">
        <v>96</v>
      </c>
      <c r="D36" s="19" t="s">
        <v>270</v>
      </c>
      <c r="E36" s="20">
        <v>45800</v>
      </c>
      <c r="F36" s="20" t="s">
        <v>331</v>
      </c>
      <c r="G36" s="20" t="s">
        <v>332</v>
      </c>
      <c r="H36" s="2">
        <v>45272</v>
      </c>
      <c r="I36" s="2" t="s">
        <v>263</v>
      </c>
      <c r="J36" s="2" t="s">
        <v>263</v>
      </c>
      <c r="K36" s="21">
        <v>17</v>
      </c>
      <c r="L36" s="21">
        <v>512100</v>
      </c>
      <c r="M36" s="21">
        <v>9300</v>
      </c>
      <c r="N36" s="21">
        <v>779</v>
      </c>
      <c r="O36" s="21">
        <v>0</v>
      </c>
      <c r="P36" s="21">
        <v>328587</v>
      </c>
      <c r="Q36" s="22">
        <v>293.91399229781774</v>
      </c>
      <c r="R36" s="22">
        <v>300</v>
      </c>
      <c r="S36" s="23">
        <v>0.1</v>
      </c>
      <c r="T36" s="23">
        <v>0.05</v>
      </c>
      <c r="U36" s="24">
        <v>0.65351431980906927</v>
      </c>
      <c r="V36" s="25">
        <v>0</v>
      </c>
      <c r="W36" s="26">
        <v>0.1</v>
      </c>
      <c r="X36" s="27">
        <v>5.8823529411764705E-2</v>
      </c>
      <c r="Y36" s="25">
        <v>0</v>
      </c>
      <c r="Z36" s="24">
        <v>0.29411764705882354</v>
      </c>
      <c r="AA36" s="25">
        <v>0</v>
      </c>
      <c r="AB36" s="28">
        <v>0</v>
      </c>
      <c r="AC36" s="28">
        <v>0</v>
      </c>
      <c r="AD36" s="28">
        <v>0</v>
      </c>
      <c r="AE36" s="25">
        <v>0.09</v>
      </c>
      <c r="AF36" s="26">
        <v>0.09</v>
      </c>
      <c r="AG36" s="29" t="s">
        <v>729</v>
      </c>
      <c r="AH36" s="30">
        <v>0.89999999999999991</v>
      </c>
      <c r="AI36" s="26">
        <v>0.1</v>
      </c>
      <c r="AJ36" s="21">
        <v>0</v>
      </c>
      <c r="AK36" s="21">
        <v>0</v>
      </c>
      <c r="AL36" s="26">
        <v>0.1</v>
      </c>
      <c r="AM36" s="24">
        <v>0.68243243243243246</v>
      </c>
      <c r="AN36" s="24">
        <v>0.72972972972972971</v>
      </c>
      <c r="AO36" s="31">
        <v>0.08</v>
      </c>
      <c r="AP36" s="31">
        <v>0.03</v>
      </c>
      <c r="AQ36" s="24">
        <v>0.81799999999999995</v>
      </c>
      <c r="AR36" s="27">
        <v>0.83076923076923082</v>
      </c>
      <c r="AS36" s="26">
        <v>0</v>
      </c>
      <c r="AT36" s="26">
        <v>0</v>
      </c>
      <c r="AU36" s="24">
        <v>0.91883614088820831</v>
      </c>
      <c r="AV36" s="32">
        <v>3</v>
      </c>
      <c r="AW36" s="26">
        <v>0.01</v>
      </c>
      <c r="AX36" s="26">
        <v>0</v>
      </c>
      <c r="AY36" s="24">
        <v>0.7058668730650155</v>
      </c>
      <c r="AZ36" s="24">
        <v>0.73684210526315785</v>
      </c>
      <c r="BA36" s="31">
        <v>0.1</v>
      </c>
      <c r="BB36" s="33">
        <v>0.39</v>
      </c>
      <c r="BC36" s="21"/>
      <c r="BD36" s="26">
        <v>0.57999999999999996</v>
      </c>
      <c r="BE36" s="26">
        <v>0.08</v>
      </c>
      <c r="BF36" s="26" t="s">
        <v>729</v>
      </c>
      <c r="BG36" s="21"/>
      <c r="BH36" s="34">
        <v>0</v>
      </c>
      <c r="BI36" s="34">
        <v>0</v>
      </c>
      <c r="BJ36" s="34" t="s">
        <v>259</v>
      </c>
      <c r="BK36" s="34">
        <v>0</v>
      </c>
      <c r="BL36" s="21"/>
      <c r="BM36" s="35">
        <v>0.65999999999999992</v>
      </c>
    </row>
    <row r="37" spans="1:65" x14ac:dyDescent="0.25">
      <c r="A37" s="4" t="s">
        <v>63</v>
      </c>
      <c r="B37" s="4">
        <v>71161</v>
      </c>
      <c r="C37" s="4" t="s">
        <v>97</v>
      </c>
      <c r="D37" s="19" t="s">
        <v>267</v>
      </c>
      <c r="E37" s="20">
        <v>53117</v>
      </c>
      <c r="F37" s="20" t="s">
        <v>333</v>
      </c>
      <c r="G37" s="20" t="s">
        <v>334</v>
      </c>
      <c r="H37" s="2">
        <v>43289</v>
      </c>
      <c r="I37" s="2" t="s">
        <v>263</v>
      </c>
      <c r="J37" s="2" t="s">
        <v>263</v>
      </c>
      <c r="K37" s="21">
        <v>7</v>
      </c>
      <c r="L37" s="21">
        <v>207900</v>
      </c>
      <c r="M37" s="21">
        <v>0</v>
      </c>
      <c r="N37" s="21">
        <v>346</v>
      </c>
      <c r="O37" s="21">
        <v>0</v>
      </c>
      <c r="P37" s="21">
        <v>155320</v>
      </c>
      <c r="Q37" s="22">
        <v>269.29479768786126</v>
      </c>
      <c r="R37" s="22">
        <v>300</v>
      </c>
      <c r="S37" s="23">
        <v>0.1</v>
      </c>
      <c r="T37" s="23">
        <v>0.05</v>
      </c>
      <c r="U37" s="24">
        <v>0.74708994708994714</v>
      </c>
      <c r="V37" s="25">
        <v>0</v>
      </c>
      <c r="W37" s="26">
        <v>0.1</v>
      </c>
      <c r="X37" s="27">
        <v>0</v>
      </c>
      <c r="Y37" s="25">
        <v>0</v>
      </c>
      <c r="Z37" s="24">
        <v>0.2857142857142857</v>
      </c>
      <c r="AA37" s="25">
        <v>0</v>
      </c>
      <c r="AB37" s="28">
        <v>0</v>
      </c>
      <c r="AC37" s="28">
        <v>0</v>
      </c>
      <c r="AD37" s="28">
        <v>0</v>
      </c>
      <c r="AE37" s="25">
        <v>0.09</v>
      </c>
      <c r="AF37" s="26">
        <v>0.09</v>
      </c>
      <c r="AG37" s="29" t="s">
        <v>729</v>
      </c>
      <c r="AH37" s="30">
        <v>1</v>
      </c>
      <c r="AI37" s="26">
        <v>0.1</v>
      </c>
      <c r="AJ37" s="21">
        <v>0</v>
      </c>
      <c r="AK37" s="21">
        <v>0</v>
      </c>
      <c r="AL37" s="26">
        <v>0.1</v>
      </c>
      <c r="AM37" s="24">
        <v>0.68348837209302327</v>
      </c>
      <c r="AN37" s="24">
        <v>0.76744186046511631</v>
      </c>
      <c r="AO37" s="31">
        <v>0.08</v>
      </c>
      <c r="AP37" s="31">
        <v>0.03</v>
      </c>
      <c r="AQ37" s="24">
        <v>0.8136585365853658</v>
      </c>
      <c r="AR37" s="27">
        <v>0.80487804878048785</v>
      </c>
      <c r="AS37" s="26">
        <v>0</v>
      </c>
      <c r="AT37" s="26">
        <v>0</v>
      </c>
      <c r="AU37" s="24">
        <v>0.93309859154929575</v>
      </c>
      <c r="AV37" s="32">
        <v>1</v>
      </c>
      <c r="AW37" s="26">
        <v>0.05</v>
      </c>
      <c r="AX37" s="26">
        <v>0</v>
      </c>
      <c r="AY37" s="24">
        <v>0.69753676470588233</v>
      </c>
      <c r="AZ37" s="24">
        <v>0.74632352941176472</v>
      </c>
      <c r="BA37" s="31">
        <v>0.1</v>
      </c>
      <c r="BB37" s="33">
        <v>0.43000000000000005</v>
      </c>
      <c r="BC37" s="21"/>
      <c r="BD37" s="26">
        <v>0.62</v>
      </c>
      <c r="BE37" s="26">
        <v>0.08</v>
      </c>
      <c r="BF37" s="26" t="s">
        <v>729</v>
      </c>
      <c r="BG37" s="21"/>
      <c r="BH37" s="34">
        <v>0</v>
      </c>
      <c r="BI37" s="34">
        <v>0</v>
      </c>
      <c r="BJ37" s="34" t="s">
        <v>259</v>
      </c>
      <c r="BK37" s="34">
        <v>0</v>
      </c>
      <c r="BL37" s="21"/>
      <c r="BM37" s="35">
        <v>0.7</v>
      </c>
    </row>
    <row r="38" spans="1:65" x14ac:dyDescent="0.25">
      <c r="A38" s="4" t="s">
        <v>63</v>
      </c>
      <c r="B38" s="4">
        <v>71426</v>
      </c>
      <c r="C38" s="4" t="s">
        <v>98</v>
      </c>
      <c r="D38" s="19" t="s">
        <v>314</v>
      </c>
      <c r="E38" s="20">
        <v>57866</v>
      </c>
      <c r="F38" s="20" t="s">
        <v>335</v>
      </c>
      <c r="G38" s="20" t="s">
        <v>336</v>
      </c>
      <c r="H38" s="2">
        <v>44423</v>
      </c>
      <c r="I38" s="2" t="s">
        <v>253</v>
      </c>
      <c r="J38" s="2" t="s">
        <v>253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583113</v>
      </c>
      <c r="Q38" s="22">
        <v>0</v>
      </c>
      <c r="R38" s="22">
        <v>0</v>
      </c>
      <c r="S38" s="23">
        <v>0</v>
      </c>
      <c r="T38" s="23">
        <v>0</v>
      </c>
      <c r="U38" s="24" t="s">
        <v>276</v>
      </c>
      <c r="V38" s="25">
        <v>0</v>
      </c>
      <c r="W38" s="26">
        <v>0</v>
      </c>
      <c r="X38" s="27">
        <v>0.5</v>
      </c>
      <c r="Y38" s="25">
        <v>0</v>
      </c>
      <c r="Z38" s="24">
        <v>0.95</v>
      </c>
      <c r="AA38" s="25">
        <v>0.04</v>
      </c>
      <c r="AB38" s="28">
        <v>0</v>
      </c>
      <c r="AC38" s="28">
        <v>0</v>
      </c>
      <c r="AD38" s="28">
        <v>0</v>
      </c>
      <c r="AE38" s="25">
        <v>0.09</v>
      </c>
      <c r="AF38" s="26">
        <v>0.13</v>
      </c>
      <c r="AG38" s="29" t="s">
        <v>729</v>
      </c>
      <c r="AH38" s="30" t="s">
        <v>277</v>
      </c>
      <c r="AI38" s="26">
        <v>0.1</v>
      </c>
      <c r="AJ38" s="21">
        <v>0</v>
      </c>
      <c r="AK38" s="21">
        <v>0</v>
      </c>
      <c r="AL38" s="26">
        <v>0.1</v>
      </c>
      <c r="AM38" s="24">
        <v>0.69</v>
      </c>
      <c r="AN38" s="24">
        <v>1</v>
      </c>
      <c r="AO38" s="31">
        <v>0.08</v>
      </c>
      <c r="AP38" s="31">
        <v>0.03</v>
      </c>
      <c r="AQ38" s="24">
        <v>0.82</v>
      </c>
      <c r="AR38" s="27">
        <v>1</v>
      </c>
      <c r="AS38" s="26">
        <v>0.2</v>
      </c>
      <c r="AT38" s="26">
        <v>0.1</v>
      </c>
      <c r="AU38" s="24" t="s">
        <v>276</v>
      </c>
      <c r="AV38" s="32">
        <v>0</v>
      </c>
      <c r="AW38" s="26">
        <v>0.05</v>
      </c>
      <c r="AX38" s="26">
        <v>0.02</v>
      </c>
      <c r="AY38" s="24">
        <v>0</v>
      </c>
      <c r="AZ38" s="24">
        <v>0</v>
      </c>
      <c r="BA38" s="31">
        <v>0</v>
      </c>
      <c r="BB38" s="33">
        <v>0.53</v>
      </c>
      <c r="BC38" s="21"/>
      <c r="BD38" s="26">
        <v>0.66</v>
      </c>
      <c r="BE38" s="26">
        <v>0.15000000000000002</v>
      </c>
      <c r="BF38" s="26" t="s">
        <v>729</v>
      </c>
      <c r="BG38" s="21"/>
      <c r="BH38" s="34">
        <v>0</v>
      </c>
      <c r="BI38" s="34">
        <v>0</v>
      </c>
      <c r="BJ38" s="34" t="s">
        <v>259</v>
      </c>
      <c r="BK38" s="34">
        <v>0</v>
      </c>
      <c r="BL38" s="21"/>
      <c r="BM38" s="35">
        <v>0.81</v>
      </c>
    </row>
    <row r="39" spans="1:65" x14ac:dyDescent="0.25">
      <c r="A39" s="4" t="s">
        <v>63</v>
      </c>
      <c r="B39" s="4">
        <v>71907</v>
      </c>
      <c r="C39" s="4" t="s">
        <v>99</v>
      </c>
      <c r="D39" s="19" t="s">
        <v>273</v>
      </c>
      <c r="E39" s="20">
        <v>48494</v>
      </c>
      <c r="F39" s="20" t="s">
        <v>337</v>
      </c>
      <c r="G39" s="20" t="s">
        <v>338</v>
      </c>
      <c r="H39" s="2">
        <v>45635</v>
      </c>
      <c r="I39" s="2" t="s">
        <v>263</v>
      </c>
      <c r="J39" s="2" t="s">
        <v>263</v>
      </c>
      <c r="K39" s="21">
        <v>13</v>
      </c>
      <c r="L39" s="21">
        <v>386100</v>
      </c>
      <c r="M39" s="21">
        <v>0</v>
      </c>
      <c r="N39" s="21">
        <v>659</v>
      </c>
      <c r="O39" s="21">
        <v>0</v>
      </c>
      <c r="P39" s="21">
        <v>281051</v>
      </c>
      <c r="Q39" s="22">
        <v>262.78907435508347</v>
      </c>
      <c r="R39" s="22">
        <v>300</v>
      </c>
      <c r="S39" s="23">
        <v>0.1</v>
      </c>
      <c r="T39" s="23">
        <v>0.05</v>
      </c>
      <c r="U39" s="24">
        <v>0.72792281792281788</v>
      </c>
      <c r="V39" s="25">
        <v>0</v>
      </c>
      <c r="W39" s="26">
        <v>0.1</v>
      </c>
      <c r="X39" s="27">
        <v>7.6923076923076927E-2</v>
      </c>
      <c r="Y39" s="25">
        <v>0</v>
      </c>
      <c r="Z39" s="24">
        <v>0.23076923076923078</v>
      </c>
      <c r="AA39" s="25">
        <v>0</v>
      </c>
      <c r="AB39" s="28">
        <v>0</v>
      </c>
      <c r="AC39" s="28">
        <v>0</v>
      </c>
      <c r="AD39" s="28">
        <v>0</v>
      </c>
      <c r="AE39" s="25">
        <v>0.09</v>
      </c>
      <c r="AF39" s="26">
        <v>0.09</v>
      </c>
      <c r="AG39" s="29" t="s">
        <v>729</v>
      </c>
      <c r="AH39" s="30">
        <v>0.89999999999999991</v>
      </c>
      <c r="AI39" s="26">
        <v>0.1</v>
      </c>
      <c r="AJ39" s="21">
        <v>0</v>
      </c>
      <c r="AK39" s="21">
        <v>0</v>
      </c>
      <c r="AL39" s="26">
        <v>0.1</v>
      </c>
      <c r="AM39" s="24">
        <v>0.68799999999999994</v>
      </c>
      <c r="AN39" s="24">
        <v>0.6428571428571429</v>
      </c>
      <c r="AO39" s="31">
        <v>0.04</v>
      </c>
      <c r="AP39" s="31">
        <v>0</v>
      </c>
      <c r="AQ39" s="24">
        <v>0.81796874999999991</v>
      </c>
      <c r="AR39" s="27">
        <v>0.671875</v>
      </c>
      <c r="AS39" s="26">
        <v>0</v>
      </c>
      <c r="AT39" s="26">
        <v>0</v>
      </c>
      <c r="AU39" s="24">
        <v>0.97168141592920354</v>
      </c>
      <c r="AV39" s="32">
        <v>12</v>
      </c>
      <c r="AW39" s="26">
        <v>0</v>
      </c>
      <c r="AX39" s="26">
        <v>0</v>
      </c>
      <c r="AY39" s="24">
        <v>0.70250000000000001</v>
      </c>
      <c r="AZ39" s="24">
        <v>0.71607142857142858</v>
      </c>
      <c r="BA39" s="31">
        <v>0.1</v>
      </c>
      <c r="BB39" s="33">
        <v>0.34</v>
      </c>
      <c r="BC39" s="21"/>
      <c r="BD39" s="26">
        <v>0.53</v>
      </c>
      <c r="BE39" s="26">
        <v>0.05</v>
      </c>
      <c r="BF39" s="26" t="s">
        <v>729</v>
      </c>
      <c r="BG39" s="21"/>
      <c r="BH39" s="34">
        <v>0</v>
      </c>
      <c r="BI39" s="34">
        <v>0.08</v>
      </c>
      <c r="BJ39" s="34" t="s">
        <v>259</v>
      </c>
      <c r="BK39" s="34">
        <v>0.08</v>
      </c>
      <c r="BL39" s="21"/>
      <c r="BM39" s="35">
        <v>0.50000000000000011</v>
      </c>
    </row>
    <row r="40" spans="1:65" x14ac:dyDescent="0.25">
      <c r="A40" s="4" t="s">
        <v>63</v>
      </c>
      <c r="B40" s="4">
        <v>71708</v>
      </c>
      <c r="C40" s="4" t="s">
        <v>100</v>
      </c>
      <c r="D40" s="19" t="s">
        <v>314</v>
      </c>
      <c r="E40" s="20">
        <v>53702</v>
      </c>
      <c r="F40" s="20" t="s">
        <v>339</v>
      </c>
      <c r="G40" s="20" t="s">
        <v>340</v>
      </c>
      <c r="H40" s="2">
        <v>43359</v>
      </c>
      <c r="I40" s="2" t="s">
        <v>253</v>
      </c>
      <c r="J40" s="2" t="s">
        <v>253</v>
      </c>
      <c r="K40" s="21">
        <v>1</v>
      </c>
      <c r="L40" s="21">
        <v>29700</v>
      </c>
      <c r="M40" s="21">
        <v>0</v>
      </c>
      <c r="N40" s="21">
        <v>0</v>
      </c>
      <c r="O40" s="21">
        <v>0</v>
      </c>
      <c r="P40" s="21">
        <v>0</v>
      </c>
      <c r="Q40" s="22">
        <v>0</v>
      </c>
      <c r="R40" s="22">
        <v>0</v>
      </c>
      <c r="S40" s="23">
        <v>0</v>
      </c>
      <c r="T40" s="23">
        <v>0</v>
      </c>
      <c r="U40" s="24">
        <v>0</v>
      </c>
      <c r="V40" s="25">
        <v>0</v>
      </c>
      <c r="W40" s="26">
        <v>0</v>
      </c>
      <c r="X40" s="27">
        <v>0</v>
      </c>
      <c r="Y40" s="25">
        <v>0</v>
      </c>
      <c r="Z40" s="24">
        <v>1</v>
      </c>
      <c r="AA40" s="25">
        <v>0.04</v>
      </c>
      <c r="AB40" s="28">
        <v>0</v>
      </c>
      <c r="AC40" s="28">
        <v>0</v>
      </c>
      <c r="AD40" s="28">
        <v>0</v>
      </c>
      <c r="AE40" s="25">
        <v>0.09</v>
      </c>
      <c r="AF40" s="26">
        <v>0.13</v>
      </c>
      <c r="AG40" s="29">
        <v>0.1</v>
      </c>
      <c r="AH40" s="30" t="s">
        <v>277</v>
      </c>
      <c r="AI40" s="26">
        <v>0.1</v>
      </c>
      <c r="AJ40" s="21">
        <v>0</v>
      </c>
      <c r="AK40" s="21">
        <v>0</v>
      </c>
      <c r="AL40" s="26">
        <v>0.1</v>
      </c>
      <c r="AM40" s="24">
        <v>0</v>
      </c>
      <c r="AN40" s="24">
        <v>0</v>
      </c>
      <c r="AO40" s="31">
        <v>0.08</v>
      </c>
      <c r="AP40" s="31">
        <v>0</v>
      </c>
      <c r="AQ40" s="24">
        <v>0</v>
      </c>
      <c r="AR40" s="27">
        <v>0</v>
      </c>
      <c r="AS40" s="26">
        <v>0.2</v>
      </c>
      <c r="AT40" s="26">
        <v>0</v>
      </c>
      <c r="AU40" s="24" t="s">
        <v>276</v>
      </c>
      <c r="AV40" s="32">
        <v>0</v>
      </c>
      <c r="AW40" s="26">
        <v>0.05</v>
      </c>
      <c r="AX40" s="26">
        <v>0.02</v>
      </c>
      <c r="AY40" s="24">
        <v>0</v>
      </c>
      <c r="AZ40" s="24">
        <v>0</v>
      </c>
      <c r="BA40" s="31">
        <v>0</v>
      </c>
      <c r="BB40" s="33">
        <v>0.53</v>
      </c>
      <c r="BC40" s="21"/>
      <c r="BD40" s="26">
        <v>0.66</v>
      </c>
      <c r="BE40" s="26">
        <v>0.02</v>
      </c>
      <c r="BF40" s="26">
        <v>0.1</v>
      </c>
      <c r="BG40" s="21"/>
      <c r="BH40" s="34">
        <v>0</v>
      </c>
      <c r="BI40" s="34">
        <v>0</v>
      </c>
      <c r="BJ40" s="34" t="s">
        <v>259</v>
      </c>
      <c r="BK40" s="34">
        <v>0</v>
      </c>
      <c r="BL40" s="21"/>
      <c r="BM40" s="35">
        <v>0.78</v>
      </c>
    </row>
    <row r="41" spans="1:65" x14ac:dyDescent="0.25">
      <c r="A41" s="4" t="s">
        <v>63</v>
      </c>
      <c r="B41" s="4">
        <v>71450</v>
      </c>
      <c r="C41" s="4" t="s">
        <v>101</v>
      </c>
      <c r="D41" s="19" t="s">
        <v>267</v>
      </c>
      <c r="E41" s="20">
        <v>57906</v>
      </c>
      <c r="F41" s="20" t="s">
        <v>341</v>
      </c>
      <c r="G41" s="20" t="s">
        <v>342</v>
      </c>
      <c r="H41" s="2">
        <v>44437</v>
      </c>
      <c r="I41" s="2" t="s">
        <v>263</v>
      </c>
      <c r="J41" s="2" t="s">
        <v>263</v>
      </c>
      <c r="K41" s="21">
        <v>13</v>
      </c>
      <c r="L41" s="21">
        <v>386100</v>
      </c>
      <c r="M41" s="21">
        <v>0</v>
      </c>
      <c r="N41" s="21">
        <v>212</v>
      </c>
      <c r="O41" s="21">
        <v>0</v>
      </c>
      <c r="P41" s="21">
        <v>305804</v>
      </c>
      <c r="Q41" s="22">
        <v>369.89622641509436</v>
      </c>
      <c r="R41" s="22">
        <v>300</v>
      </c>
      <c r="S41" s="23">
        <v>0</v>
      </c>
      <c r="T41" s="23">
        <v>0</v>
      </c>
      <c r="U41" s="24">
        <v>0.79203315203315205</v>
      </c>
      <c r="V41" s="25">
        <v>0.05</v>
      </c>
      <c r="W41" s="26">
        <v>0.05</v>
      </c>
      <c r="X41" s="27">
        <v>0</v>
      </c>
      <c r="Y41" s="25">
        <v>0</v>
      </c>
      <c r="Z41" s="24">
        <v>7.6923076923076927E-2</v>
      </c>
      <c r="AA41" s="25">
        <v>0</v>
      </c>
      <c r="AB41" s="28">
        <v>0</v>
      </c>
      <c r="AC41" s="28">
        <v>0</v>
      </c>
      <c r="AD41" s="28">
        <v>0</v>
      </c>
      <c r="AE41" s="25">
        <v>0.09</v>
      </c>
      <c r="AF41" s="26">
        <v>0.09</v>
      </c>
      <c r="AG41" s="29" t="s">
        <v>729</v>
      </c>
      <c r="AH41" s="30">
        <v>0.95500000000000007</v>
      </c>
      <c r="AI41" s="26">
        <v>0.1</v>
      </c>
      <c r="AJ41" s="21">
        <v>0</v>
      </c>
      <c r="AK41" s="21">
        <v>0</v>
      </c>
      <c r="AL41" s="26">
        <v>0.1</v>
      </c>
      <c r="AM41" s="24">
        <v>0.68631578947368421</v>
      </c>
      <c r="AN41" s="24">
        <v>0.77631578947368418</v>
      </c>
      <c r="AO41" s="31">
        <v>0.08</v>
      </c>
      <c r="AP41" s="31">
        <v>0.03</v>
      </c>
      <c r="AQ41" s="24">
        <v>0.81606060606060604</v>
      </c>
      <c r="AR41" s="27">
        <v>0.86363636363636365</v>
      </c>
      <c r="AS41" s="26">
        <v>0</v>
      </c>
      <c r="AT41" s="26">
        <v>0</v>
      </c>
      <c r="AU41" s="24">
        <v>0.9294605809128631</v>
      </c>
      <c r="AV41" s="32">
        <v>2</v>
      </c>
      <c r="AW41" s="26">
        <v>0.03</v>
      </c>
      <c r="AX41" s="26">
        <v>0</v>
      </c>
      <c r="AY41" s="24">
        <v>0.7090862944162436</v>
      </c>
      <c r="AZ41" s="24">
        <v>0.71573604060913709</v>
      </c>
      <c r="BA41" s="31">
        <v>0.1</v>
      </c>
      <c r="BB41" s="33">
        <v>0.41000000000000003</v>
      </c>
      <c r="BC41" s="21"/>
      <c r="BD41" s="26">
        <v>0.55000000000000004</v>
      </c>
      <c r="BE41" s="26">
        <v>0.03</v>
      </c>
      <c r="BF41" s="26" t="s">
        <v>729</v>
      </c>
      <c r="BG41" s="21"/>
      <c r="BH41" s="34">
        <v>0</v>
      </c>
      <c r="BI41" s="34">
        <v>0</v>
      </c>
      <c r="BJ41" s="34" t="s">
        <v>259</v>
      </c>
      <c r="BK41" s="34">
        <v>0</v>
      </c>
      <c r="BL41" s="21"/>
      <c r="BM41" s="35">
        <v>0.58000000000000007</v>
      </c>
    </row>
    <row r="42" spans="1:65" x14ac:dyDescent="0.25">
      <c r="A42" s="4" t="s">
        <v>63</v>
      </c>
      <c r="B42" s="4">
        <v>71142</v>
      </c>
      <c r="C42" s="4" t="s">
        <v>102</v>
      </c>
      <c r="D42" s="19" t="s">
        <v>282</v>
      </c>
      <c r="E42" s="20">
        <v>57846</v>
      </c>
      <c r="F42" s="20" t="s">
        <v>343</v>
      </c>
      <c r="G42" s="20" t="s">
        <v>344</v>
      </c>
      <c r="H42" s="2">
        <v>44423</v>
      </c>
      <c r="I42" s="2" t="s">
        <v>253</v>
      </c>
      <c r="J42" s="2" t="s">
        <v>253</v>
      </c>
      <c r="K42" s="21">
        <v>3</v>
      </c>
      <c r="L42" s="21">
        <v>89100</v>
      </c>
      <c r="M42" s="21">
        <v>0</v>
      </c>
      <c r="N42" s="21">
        <v>172</v>
      </c>
      <c r="O42" s="21">
        <v>0</v>
      </c>
      <c r="P42" s="21">
        <v>84671</v>
      </c>
      <c r="Q42" s="22">
        <v>311.19186046511629</v>
      </c>
      <c r="R42" s="22">
        <v>300</v>
      </c>
      <c r="S42" s="23">
        <v>0</v>
      </c>
      <c r="T42" s="23">
        <v>0</v>
      </c>
      <c r="U42" s="24">
        <v>0.95029180695847359</v>
      </c>
      <c r="V42" s="25">
        <v>0.1</v>
      </c>
      <c r="W42" s="26">
        <v>0.1</v>
      </c>
      <c r="X42" s="27">
        <v>0.33333333333333331</v>
      </c>
      <c r="Y42" s="25">
        <v>0</v>
      </c>
      <c r="Z42" s="24">
        <v>1</v>
      </c>
      <c r="AA42" s="25">
        <v>0.04</v>
      </c>
      <c r="AB42" s="28">
        <v>2</v>
      </c>
      <c r="AC42" s="28">
        <v>0</v>
      </c>
      <c r="AD42" s="28">
        <v>0</v>
      </c>
      <c r="AE42" s="25">
        <v>0</v>
      </c>
      <c r="AF42" s="26">
        <v>0.04</v>
      </c>
      <c r="AG42" s="29" t="s">
        <v>729</v>
      </c>
      <c r="AH42" s="30">
        <v>1</v>
      </c>
      <c r="AI42" s="26">
        <v>0.1</v>
      </c>
      <c r="AJ42" s="21">
        <v>0</v>
      </c>
      <c r="AK42" s="21">
        <v>0</v>
      </c>
      <c r="AL42" s="26">
        <v>0.1</v>
      </c>
      <c r="AM42" s="24">
        <v>0.69000000000000006</v>
      </c>
      <c r="AN42" s="24">
        <v>0.7142857142857143</v>
      </c>
      <c r="AO42" s="31">
        <v>0.08</v>
      </c>
      <c r="AP42" s="31">
        <v>0.03</v>
      </c>
      <c r="AQ42" s="24">
        <v>0.82000000000000006</v>
      </c>
      <c r="AR42" s="27">
        <v>0.76923076923076927</v>
      </c>
      <c r="AS42" s="26">
        <v>0.02</v>
      </c>
      <c r="AT42" s="26">
        <v>0</v>
      </c>
      <c r="AU42" s="24">
        <v>0.9939393939393939</v>
      </c>
      <c r="AV42" s="32">
        <v>2</v>
      </c>
      <c r="AW42" s="26">
        <v>0.03</v>
      </c>
      <c r="AX42" s="26">
        <v>0</v>
      </c>
      <c r="AY42" s="24">
        <v>0.69545454545454544</v>
      </c>
      <c r="AZ42" s="24">
        <v>0.69090909090909092</v>
      </c>
      <c r="BA42" s="31">
        <v>0.05</v>
      </c>
      <c r="BB42" s="33">
        <v>0.38000000000000006</v>
      </c>
      <c r="BC42" s="21"/>
      <c r="BD42" s="26">
        <v>0.52</v>
      </c>
      <c r="BE42" s="26">
        <v>0.03</v>
      </c>
      <c r="BF42" s="26" t="s">
        <v>729</v>
      </c>
      <c r="BG42" s="21"/>
      <c r="BH42" s="34">
        <v>0.05</v>
      </c>
      <c r="BI42" s="34">
        <v>0</v>
      </c>
      <c r="BJ42" s="34" t="s">
        <v>259</v>
      </c>
      <c r="BK42" s="34">
        <v>0.05</v>
      </c>
      <c r="BL42" s="21"/>
      <c r="BM42" s="35">
        <v>0.5</v>
      </c>
    </row>
    <row r="43" spans="1:65" x14ac:dyDescent="0.25">
      <c r="A43" s="4" t="s">
        <v>63</v>
      </c>
      <c r="B43" s="4">
        <v>72858</v>
      </c>
      <c r="C43" s="4" t="s">
        <v>103</v>
      </c>
      <c r="D43" s="19" t="s">
        <v>270</v>
      </c>
      <c r="E43" s="20">
        <v>43180</v>
      </c>
      <c r="F43" s="20" t="s">
        <v>345</v>
      </c>
      <c r="G43" s="20" t="s">
        <v>346</v>
      </c>
      <c r="H43" s="2">
        <v>44918</v>
      </c>
      <c r="I43" s="2" t="s">
        <v>253</v>
      </c>
      <c r="J43" s="2" t="s">
        <v>253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515160</v>
      </c>
      <c r="Q43" s="22">
        <v>0</v>
      </c>
      <c r="R43" s="22">
        <v>0</v>
      </c>
      <c r="S43" s="23">
        <v>0</v>
      </c>
      <c r="T43" s="23">
        <v>0</v>
      </c>
      <c r="U43" s="24" t="s">
        <v>276</v>
      </c>
      <c r="V43" s="25">
        <v>0</v>
      </c>
      <c r="W43" s="26">
        <v>0</v>
      </c>
      <c r="X43" s="27">
        <v>0.5</v>
      </c>
      <c r="Y43" s="25">
        <v>0</v>
      </c>
      <c r="Z43" s="24">
        <v>0.95</v>
      </c>
      <c r="AA43" s="25">
        <v>0.04</v>
      </c>
      <c r="AB43" s="28">
        <v>0</v>
      </c>
      <c r="AC43" s="28">
        <v>0</v>
      </c>
      <c r="AD43" s="28">
        <v>0</v>
      </c>
      <c r="AE43" s="25">
        <v>0.09</v>
      </c>
      <c r="AF43" s="26">
        <v>0.13</v>
      </c>
      <c r="AG43" s="29" t="s">
        <v>729</v>
      </c>
      <c r="AH43" s="30" t="s">
        <v>277</v>
      </c>
      <c r="AI43" s="26">
        <v>0.1</v>
      </c>
      <c r="AJ43" s="21">
        <v>0</v>
      </c>
      <c r="AK43" s="21">
        <v>0</v>
      </c>
      <c r="AL43" s="26">
        <v>0.1</v>
      </c>
      <c r="AM43" s="24">
        <v>0</v>
      </c>
      <c r="AN43" s="24">
        <v>0</v>
      </c>
      <c r="AO43" s="31">
        <v>0.08</v>
      </c>
      <c r="AP43" s="31">
        <v>0</v>
      </c>
      <c r="AQ43" s="24">
        <v>0</v>
      </c>
      <c r="AR43" s="27">
        <v>0</v>
      </c>
      <c r="AS43" s="26">
        <v>0.2</v>
      </c>
      <c r="AT43" s="26">
        <v>0</v>
      </c>
      <c r="AU43" s="24" t="s">
        <v>276</v>
      </c>
      <c r="AV43" s="32">
        <v>0</v>
      </c>
      <c r="AW43" s="26">
        <v>0.05</v>
      </c>
      <c r="AX43" s="26">
        <v>0.02</v>
      </c>
      <c r="AY43" s="24">
        <v>0</v>
      </c>
      <c r="AZ43" s="24">
        <v>0</v>
      </c>
      <c r="BA43" s="31">
        <v>0</v>
      </c>
      <c r="BB43" s="33">
        <v>0.53</v>
      </c>
      <c r="BC43" s="21"/>
      <c r="BD43" s="26">
        <v>0.66</v>
      </c>
      <c r="BE43" s="26">
        <v>0.02</v>
      </c>
      <c r="BF43" s="26" t="s">
        <v>729</v>
      </c>
      <c r="BG43" s="21"/>
      <c r="BH43" s="34">
        <v>0</v>
      </c>
      <c r="BI43" s="34">
        <v>0</v>
      </c>
      <c r="BJ43" s="34" t="s">
        <v>259</v>
      </c>
      <c r="BK43" s="34">
        <v>0</v>
      </c>
      <c r="BL43" s="21"/>
      <c r="BM43" s="35">
        <v>0.68</v>
      </c>
    </row>
    <row r="44" spans="1:65" x14ac:dyDescent="0.25">
      <c r="A44" s="4" t="s">
        <v>63</v>
      </c>
      <c r="B44" s="4">
        <v>72725</v>
      </c>
      <c r="C44" s="4" t="s">
        <v>104</v>
      </c>
      <c r="D44" s="19" t="s">
        <v>270</v>
      </c>
      <c r="E44" s="20">
        <v>53226</v>
      </c>
      <c r="F44" s="20" t="s">
        <v>347</v>
      </c>
      <c r="G44" s="20" t="s">
        <v>348</v>
      </c>
      <c r="H44" s="2">
        <v>43303</v>
      </c>
      <c r="I44" s="2" t="s">
        <v>263</v>
      </c>
      <c r="J44" s="2" t="s">
        <v>263</v>
      </c>
      <c r="K44" s="21">
        <v>13</v>
      </c>
      <c r="L44" s="21">
        <v>389700</v>
      </c>
      <c r="M44" s="21">
        <v>3600</v>
      </c>
      <c r="N44" s="21">
        <v>730</v>
      </c>
      <c r="O44" s="21">
        <v>0</v>
      </c>
      <c r="P44" s="21">
        <v>310118</v>
      </c>
      <c r="Q44" s="22">
        <v>297.41232876712331</v>
      </c>
      <c r="R44" s="22">
        <v>300</v>
      </c>
      <c r="S44" s="23">
        <v>0.1</v>
      </c>
      <c r="T44" s="23">
        <v>0.02</v>
      </c>
      <c r="U44" s="24">
        <v>0.80320642320642321</v>
      </c>
      <c r="V44" s="25">
        <v>0.05</v>
      </c>
      <c r="W44" s="26">
        <v>0.15000000000000002</v>
      </c>
      <c r="X44" s="27">
        <v>0.15384615384615385</v>
      </c>
      <c r="Y44" s="25">
        <v>0</v>
      </c>
      <c r="Z44" s="24">
        <v>0.23076923076923078</v>
      </c>
      <c r="AA44" s="25">
        <v>0</v>
      </c>
      <c r="AB44" s="28">
        <v>0</v>
      </c>
      <c r="AC44" s="28">
        <v>1</v>
      </c>
      <c r="AD44" s="28">
        <v>0</v>
      </c>
      <c r="AE44" s="25">
        <v>0.04</v>
      </c>
      <c r="AF44" s="26">
        <v>0.04</v>
      </c>
      <c r="AG44" s="29" t="s">
        <v>729</v>
      </c>
      <c r="AH44" s="30">
        <v>0.97499999999999998</v>
      </c>
      <c r="AI44" s="26">
        <v>0.1</v>
      </c>
      <c r="AJ44" s="21">
        <v>0</v>
      </c>
      <c r="AK44" s="21">
        <v>0</v>
      </c>
      <c r="AL44" s="26">
        <v>0.1</v>
      </c>
      <c r="AM44" s="24">
        <v>0.67755555555555547</v>
      </c>
      <c r="AN44" s="24">
        <v>0.73333333333333328</v>
      </c>
      <c r="AO44" s="31">
        <v>0.08</v>
      </c>
      <c r="AP44" s="31">
        <v>0.03</v>
      </c>
      <c r="AQ44" s="24">
        <v>0.8084444444444443</v>
      </c>
      <c r="AR44" s="27">
        <v>0.8</v>
      </c>
      <c r="AS44" s="26">
        <v>0.125</v>
      </c>
      <c r="AT44" s="26">
        <v>0</v>
      </c>
      <c r="AU44" s="24">
        <v>0.94791666666666663</v>
      </c>
      <c r="AV44" s="32">
        <v>5</v>
      </c>
      <c r="AW44" s="26">
        <v>0</v>
      </c>
      <c r="AX44" s="26">
        <v>0</v>
      </c>
      <c r="AY44" s="24">
        <v>0.69911504424778759</v>
      </c>
      <c r="AZ44" s="24">
        <v>0.69734513274336285</v>
      </c>
      <c r="BA44" s="31">
        <v>0.05</v>
      </c>
      <c r="BB44" s="33">
        <v>0.45500000000000002</v>
      </c>
      <c r="BC44" s="21"/>
      <c r="BD44" s="26">
        <v>0.64500000000000002</v>
      </c>
      <c r="BE44" s="26">
        <v>0.05</v>
      </c>
      <c r="BF44" s="26" t="s">
        <v>729</v>
      </c>
      <c r="BG44" s="21"/>
      <c r="BH44" s="34">
        <v>0</v>
      </c>
      <c r="BI44" s="34">
        <v>0.01</v>
      </c>
      <c r="BJ44" s="34" t="s">
        <v>259</v>
      </c>
      <c r="BK44" s="34">
        <v>0.01</v>
      </c>
      <c r="BL44" s="21"/>
      <c r="BM44" s="35">
        <v>0.68500000000000005</v>
      </c>
    </row>
    <row r="45" spans="1:65" x14ac:dyDescent="0.25">
      <c r="A45" s="4" t="s">
        <v>63</v>
      </c>
      <c r="B45" s="4">
        <v>72350</v>
      </c>
      <c r="C45" s="4" t="s">
        <v>105</v>
      </c>
      <c r="D45" s="19" t="s">
        <v>282</v>
      </c>
      <c r="E45" s="20">
        <v>53278</v>
      </c>
      <c r="F45" s="20" t="s">
        <v>349</v>
      </c>
      <c r="G45" s="20" t="s">
        <v>350</v>
      </c>
      <c r="H45" s="2">
        <v>43362</v>
      </c>
      <c r="I45" s="2" t="s">
        <v>263</v>
      </c>
      <c r="J45" s="2" t="s">
        <v>263</v>
      </c>
      <c r="K45" s="21">
        <v>19</v>
      </c>
      <c r="L45" s="21">
        <v>564300</v>
      </c>
      <c r="M45" s="21">
        <v>0</v>
      </c>
      <c r="N45" s="21">
        <v>231</v>
      </c>
      <c r="O45" s="21">
        <v>0</v>
      </c>
      <c r="P45" s="21">
        <v>95167</v>
      </c>
      <c r="Q45" s="22">
        <v>282.99567099567099</v>
      </c>
      <c r="R45" s="22">
        <v>300</v>
      </c>
      <c r="S45" s="23">
        <v>0.1</v>
      </c>
      <c r="T45" s="23">
        <v>0.05</v>
      </c>
      <c r="U45" s="24">
        <v>0.1686461102250576</v>
      </c>
      <c r="V45" s="25">
        <v>0</v>
      </c>
      <c r="W45" s="26">
        <v>0.1</v>
      </c>
      <c r="X45" s="27">
        <v>5.2631578947368418E-2</v>
      </c>
      <c r="Y45" s="25">
        <v>0</v>
      </c>
      <c r="Z45" s="24">
        <v>0.42105263157894735</v>
      </c>
      <c r="AA45" s="25">
        <v>0</v>
      </c>
      <c r="AB45" s="28">
        <v>0</v>
      </c>
      <c r="AC45" s="28">
        <v>0</v>
      </c>
      <c r="AD45" s="28">
        <v>0</v>
      </c>
      <c r="AE45" s="25">
        <v>0.09</v>
      </c>
      <c r="AF45" s="26">
        <v>0.09</v>
      </c>
      <c r="AG45" s="29" t="s">
        <v>729</v>
      </c>
      <c r="AH45" s="30">
        <v>0.92500000000000004</v>
      </c>
      <c r="AI45" s="26">
        <v>0.1</v>
      </c>
      <c r="AJ45" s="21">
        <v>0</v>
      </c>
      <c r="AK45" s="21">
        <v>0</v>
      </c>
      <c r="AL45" s="26">
        <v>0.1</v>
      </c>
      <c r="AM45" s="24">
        <v>0.67645161290322575</v>
      </c>
      <c r="AN45" s="24">
        <v>0.4838709677419355</v>
      </c>
      <c r="AO45" s="31">
        <v>0</v>
      </c>
      <c r="AP45" s="31">
        <v>0</v>
      </c>
      <c r="AQ45" s="24">
        <v>0.80699999999999994</v>
      </c>
      <c r="AR45" s="27">
        <v>0.53333333333333333</v>
      </c>
      <c r="AS45" s="26">
        <v>0</v>
      </c>
      <c r="AT45" s="26">
        <v>0</v>
      </c>
      <c r="AU45" s="24">
        <v>0.88020833333333337</v>
      </c>
      <c r="AV45" s="32">
        <v>0</v>
      </c>
      <c r="AW45" s="26">
        <v>0.05</v>
      </c>
      <c r="AX45" s="26">
        <v>0.02</v>
      </c>
      <c r="AY45" s="24">
        <v>0.69153846153846155</v>
      </c>
      <c r="AZ45" s="24">
        <v>0.58974358974358976</v>
      </c>
      <c r="BA45" s="31">
        <v>0</v>
      </c>
      <c r="BB45" s="33">
        <v>0.25</v>
      </c>
      <c r="BC45" s="21"/>
      <c r="BD45" s="26">
        <v>0.43999999999999995</v>
      </c>
      <c r="BE45" s="26">
        <v>7.0000000000000007E-2</v>
      </c>
      <c r="BF45" s="26" t="s">
        <v>729</v>
      </c>
      <c r="BG45" s="21"/>
      <c r="BH45" s="34">
        <v>0</v>
      </c>
      <c r="BI45" s="34">
        <v>0</v>
      </c>
      <c r="BJ45" s="34" t="s">
        <v>259</v>
      </c>
      <c r="BK45" s="34">
        <v>0</v>
      </c>
      <c r="BL45" s="21"/>
      <c r="BM45" s="35">
        <v>0.51</v>
      </c>
    </row>
    <row r="46" spans="1:65" x14ac:dyDescent="0.25">
      <c r="A46" s="4" t="s">
        <v>63</v>
      </c>
      <c r="B46" s="4">
        <v>73278</v>
      </c>
      <c r="C46" s="4" t="s">
        <v>106</v>
      </c>
      <c r="D46" s="19" t="s">
        <v>255</v>
      </c>
      <c r="E46" s="20">
        <v>400251</v>
      </c>
      <c r="F46" s="20" t="s">
        <v>351</v>
      </c>
      <c r="G46" s="20" t="s">
        <v>352</v>
      </c>
      <c r="H46" s="2">
        <v>45792</v>
      </c>
      <c r="I46" s="2" t="s">
        <v>258</v>
      </c>
      <c r="J46" s="2" t="s">
        <v>258</v>
      </c>
      <c r="K46" s="21">
        <v>20</v>
      </c>
      <c r="L46" s="21">
        <v>594000</v>
      </c>
      <c r="M46" s="21">
        <v>0</v>
      </c>
      <c r="N46" s="21">
        <v>924</v>
      </c>
      <c r="O46" s="21">
        <v>23</v>
      </c>
      <c r="P46" s="21">
        <v>549018</v>
      </c>
      <c r="Q46" s="22">
        <v>287.14361140443503</v>
      </c>
      <c r="R46" s="22">
        <v>300</v>
      </c>
      <c r="S46" s="23">
        <v>0.1</v>
      </c>
      <c r="T46" s="23">
        <v>0.05</v>
      </c>
      <c r="U46" s="24">
        <v>0.92427272727272725</v>
      </c>
      <c r="V46" s="25">
        <v>0.1</v>
      </c>
      <c r="W46" s="26">
        <v>0.2</v>
      </c>
      <c r="X46" s="27">
        <v>0.9</v>
      </c>
      <c r="Y46" s="25">
        <v>0</v>
      </c>
      <c r="Z46" s="24">
        <v>0.95</v>
      </c>
      <c r="AA46" s="25">
        <v>0.04</v>
      </c>
      <c r="AB46" s="28">
        <v>0</v>
      </c>
      <c r="AC46" s="28">
        <v>0</v>
      </c>
      <c r="AD46" s="28">
        <v>0</v>
      </c>
      <c r="AE46" s="25">
        <v>0.09</v>
      </c>
      <c r="AF46" s="26">
        <v>0.13</v>
      </c>
      <c r="AG46" s="29" t="s">
        <v>729</v>
      </c>
      <c r="AH46" s="30">
        <v>0.98</v>
      </c>
      <c r="AI46" s="26">
        <v>0.1</v>
      </c>
      <c r="AJ46" s="21">
        <v>0</v>
      </c>
      <c r="AK46" s="21">
        <v>0</v>
      </c>
      <c r="AL46" s="26">
        <v>0.1</v>
      </c>
      <c r="AM46" s="24">
        <v>0.69</v>
      </c>
      <c r="AN46" s="24">
        <v>0.76229508196721307</v>
      </c>
      <c r="AO46" s="31">
        <v>0.08</v>
      </c>
      <c r="AP46" s="31">
        <v>0.03</v>
      </c>
      <c r="AQ46" s="24">
        <v>0.82</v>
      </c>
      <c r="AR46" s="27">
        <v>0.85217391304347823</v>
      </c>
      <c r="AS46" s="26">
        <v>0</v>
      </c>
      <c r="AT46" s="26">
        <v>0</v>
      </c>
      <c r="AU46" s="24">
        <v>0.92307692307692313</v>
      </c>
      <c r="AV46" s="32">
        <v>15</v>
      </c>
      <c r="AW46" s="26">
        <v>0</v>
      </c>
      <c r="AX46" s="26">
        <v>0</v>
      </c>
      <c r="AY46" s="24">
        <v>0.73999999999999988</v>
      </c>
      <c r="AZ46" s="24">
        <v>0.75031525851197978</v>
      </c>
      <c r="BA46" s="31">
        <v>0.1</v>
      </c>
      <c r="BB46" s="33">
        <v>0.38</v>
      </c>
      <c r="BC46" s="21"/>
      <c r="BD46" s="26">
        <v>0.71</v>
      </c>
      <c r="BE46" s="26">
        <v>0.08</v>
      </c>
      <c r="BF46" s="26" t="s">
        <v>729</v>
      </c>
      <c r="BG46" s="21"/>
      <c r="BH46" s="34">
        <v>0</v>
      </c>
      <c r="BI46" s="34">
        <v>0.11</v>
      </c>
      <c r="BJ46" s="34" t="s">
        <v>259</v>
      </c>
      <c r="BK46" s="34">
        <v>0.11</v>
      </c>
      <c r="BL46" s="21"/>
      <c r="BM46" s="35">
        <v>0.67999999999999994</v>
      </c>
    </row>
    <row r="47" spans="1:65" x14ac:dyDescent="0.25">
      <c r="A47" s="4" t="s">
        <v>63</v>
      </c>
      <c r="B47" s="4">
        <v>73026</v>
      </c>
      <c r="C47" s="4" t="s">
        <v>107</v>
      </c>
      <c r="D47" s="19" t="s">
        <v>270</v>
      </c>
      <c r="E47" s="20">
        <v>48673</v>
      </c>
      <c r="F47" s="20" t="s">
        <v>354</v>
      </c>
      <c r="G47" s="20" t="s">
        <v>355</v>
      </c>
      <c r="H47" s="2">
        <v>45660</v>
      </c>
      <c r="I47" s="2" t="s">
        <v>263</v>
      </c>
      <c r="J47" s="2" t="s">
        <v>263</v>
      </c>
      <c r="K47" s="21">
        <v>11</v>
      </c>
      <c r="L47" s="21">
        <v>326700</v>
      </c>
      <c r="M47" s="21">
        <v>0</v>
      </c>
      <c r="N47" s="21">
        <v>190</v>
      </c>
      <c r="O47" s="21">
        <v>0</v>
      </c>
      <c r="P47" s="21">
        <v>152123</v>
      </c>
      <c r="Q47" s="22">
        <v>367.8</v>
      </c>
      <c r="R47" s="22">
        <v>300</v>
      </c>
      <c r="S47" s="23">
        <v>0</v>
      </c>
      <c r="T47" s="23">
        <v>0</v>
      </c>
      <c r="U47" s="24">
        <v>0.46563513927150291</v>
      </c>
      <c r="V47" s="25">
        <v>0</v>
      </c>
      <c r="W47" s="26">
        <v>0</v>
      </c>
      <c r="X47" s="27">
        <v>9.0909090909090912E-2</v>
      </c>
      <c r="Y47" s="25">
        <v>0</v>
      </c>
      <c r="Z47" s="24">
        <v>9.0909090909090912E-2</v>
      </c>
      <c r="AA47" s="25">
        <v>0</v>
      </c>
      <c r="AB47" s="28">
        <v>2</v>
      </c>
      <c r="AC47" s="28">
        <v>1</v>
      </c>
      <c r="AD47" s="28">
        <v>0</v>
      </c>
      <c r="AE47" s="25">
        <v>0</v>
      </c>
      <c r="AF47" s="26">
        <v>0</v>
      </c>
      <c r="AG47" s="29" t="s">
        <v>729</v>
      </c>
      <c r="AH47" s="30">
        <v>0.83000000000000007</v>
      </c>
      <c r="AI47" s="26">
        <v>0.05</v>
      </c>
      <c r="AJ47" s="21">
        <v>0</v>
      </c>
      <c r="AK47" s="21">
        <v>0</v>
      </c>
      <c r="AL47" s="26">
        <v>0.1</v>
      </c>
      <c r="AM47" s="24">
        <v>0.69</v>
      </c>
      <c r="AN47" s="24">
        <v>0.73913043478260865</v>
      </c>
      <c r="AO47" s="31">
        <v>0.08</v>
      </c>
      <c r="AP47" s="31">
        <v>0.03</v>
      </c>
      <c r="AQ47" s="24">
        <v>0.82</v>
      </c>
      <c r="AR47" s="27">
        <v>0.82051282051282048</v>
      </c>
      <c r="AS47" s="26">
        <v>0</v>
      </c>
      <c r="AT47" s="26">
        <v>0</v>
      </c>
      <c r="AU47" s="24">
        <v>0.91287878787878785</v>
      </c>
      <c r="AV47" s="32">
        <v>2</v>
      </c>
      <c r="AW47" s="26">
        <v>0.03</v>
      </c>
      <c r="AX47" s="26">
        <v>0</v>
      </c>
      <c r="AY47" s="24">
        <v>0.69572289156626499</v>
      </c>
      <c r="AZ47" s="24">
        <v>0.6987951807228916</v>
      </c>
      <c r="BA47" s="31">
        <v>0.1</v>
      </c>
      <c r="BB47" s="33">
        <v>0.36</v>
      </c>
      <c r="BC47" s="21"/>
      <c r="BD47" s="26">
        <v>0.36</v>
      </c>
      <c r="BE47" s="26">
        <v>0.03</v>
      </c>
      <c r="BF47" s="26" t="s">
        <v>729</v>
      </c>
      <c r="BG47" s="21"/>
      <c r="BH47" s="34">
        <v>0.1</v>
      </c>
      <c r="BI47" s="34">
        <v>0</v>
      </c>
      <c r="BJ47" s="34" t="s">
        <v>259</v>
      </c>
      <c r="BK47" s="34">
        <v>0.1</v>
      </c>
      <c r="BL47" s="21"/>
      <c r="BM47" s="35">
        <v>0.29000000000000004</v>
      </c>
    </row>
    <row r="48" spans="1:65" x14ac:dyDescent="0.25">
      <c r="A48" s="4" t="s">
        <v>63</v>
      </c>
      <c r="B48" s="4">
        <v>71135</v>
      </c>
      <c r="C48" s="4" t="s">
        <v>108</v>
      </c>
      <c r="D48" s="19" t="s">
        <v>282</v>
      </c>
      <c r="E48" s="20">
        <v>45152</v>
      </c>
      <c r="F48" s="20" t="s">
        <v>356</v>
      </c>
      <c r="G48" s="20" t="s">
        <v>357</v>
      </c>
      <c r="H48" s="2">
        <v>45197</v>
      </c>
      <c r="I48" s="2" t="s">
        <v>263</v>
      </c>
      <c r="J48" s="2" t="s">
        <v>263</v>
      </c>
      <c r="K48" s="21">
        <v>9</v>
      </c>
      <c r="L48" s="21">
        <v>267300</v>
      </c>
      <c r="M48" s="21">
        <v>0</v>
      </c>
      <c r="N48" s="21">
        <v>608</v>
      </c>
      <c r="O48" s="21">
        <v>0</v>
      </c>
      <c r="P48" s="21">
        <v>224637</v>
      </c>
      <c r="Q48" s="22">
        <v>255.91118421052633</v>
      </c>
      <c r="R48" s="22">
        <v>300</v>
      </c>
      <c r="S48" s="23">
        <v>0.1</v>
      </c>
      <c r="T48" s="23">
        <v>0.05</v>
      </c>
      <c r="U48" s="24">
        <v>0.84039281705948377</v>
      </c>
      <c r="V48" s="25">
        <v>0.1</v>
      </c>
      <c r="W48" s="26">
        <v>0.2</v>
      </c>
      <c r="X48" s="27">
        <v>0.66666666666666663</v>
      </c>
      <c r="Y48" s="25">
        <v>0</v>
      </c>
      <c r="Z48" s="24">
        <v>0.66666666666666663</v>
      </c>
      <c r="AA48" s="25">
        <v>0</v>
      </c>
      <c r="AB48" s="28">
        <v>0</v>
      </c>
      <c r="AC48" s="28">
        <v>0</v>
      </c>
      <c r="AD48" s="28">
        <v>0</v>
      </c>
      <c r="AE48" s="25">
        <v>0.09</v>
      </c>
      <c r="AF48" s="26">
        <v>0.09</v>
      </c>
      <c r="AG48" s="29" t="s">
        <v>729</v>
      </c>
      <c r="AH48" s="30">
        <v>1</v>
      </c>
      <c r="AI48" s="26">
        <v>0.1</v>
      </c>
      <c r="AJ48" s="21">
        <v>0</v>
      </c>
      <c r="AK48" s="21">
        <v>0</v>
      </c>
      <c r="AL48" s="26">
        <v>0.1</v>
      </c>
      <c r="AM48" s="24">
        <v>0.68192307692307685</v>
      </c>
      <c r="AN48" s="24">
        <v>0.71153846153846156</v>
      </c>
      <c r="AO48" s="31">
        <v>0.08</v>
      </c>
      <c r="AP48" s="31">
        <v>0.03</v>
      </c>
      <c r="AQ48" s="24">
        <v>0.81133333333333324</v>
      </c>
      <c r="AR48" s="27">
        <v>0.8</v>
      </c>
      <c r="AS48" s="26">
        <v>0.125</v>
      </c>
      <c r="AT48" s="26">
        <v>0</v>
      </c>
      <c r="AU48" s="24">
        <v>0.95019920318725104</v>
      </c>
      <c r="AV48" s="32">
        <v>8</v>
      </c>
      <c r="AW48" s="26">
        <v>0</v>
      </c>
      <c r="AX48" s="26">
        <v>0</v>
      </c>
      <c r="AY48" s="24">
        <v>0.70437125748502993</v>
      </c>
      <c r="AZ48" s="24">
        <v>0.68862275449101795</v>
      </c>
      <c r="BA48" s="31">
        <v>0.05</v>
      </c>
      <c r="BB48" s="33">
        <v>0.45500000000000002</v>
      </c>
      <c r="BC48" s="21"/>
      <c r="BD48" s="26">
        <v>0.74500000000000011</v>
      </c>
      <c r="BE48" s="26">
        <v>0.08</v>
      </c>
      <c r="BF48" s="26" t="s">
        <v>729</v>
      </c>
      <c r="BG48" s="21"/>
      <c r="BH48" s="34">
        <v>0</v>
      </c>
      <c r="BI48" s="34">
        <v>0.04</v>
      </c>
      <c r="BJ48" s="34" t="s">
        <v>259</v>
      </c>
      <c r="BK48" s="34">
        <v>0.04</v>
      </c>
      <c r="BL48" s="21"/>
      <c r="BM48" s="35">
        <v>0.78500000000000003</v>
      </c>
    </row>
    <row r="49" spans="1:65" x14ac:dyDescent="0.25">
      <c r="A49" s="4" t="s">
        <v>63</v>
      </c>
      <c r="B49" s="4">
        <v>73287</v>
      </c>
      <c r="C49" s="4" t="s">
        <v>109</v>
      </c>
      <c r="D49" s="19" t="s">
        <v>282</v>
      </c>
      <c r="E49" s="20">
        <v>45112</v>
      </c>
      <c r="F49" s="20" t="s">
        <v>358</v>
      </c>
      <c r="G49" s="20" t="s">
        <v>359</v>
      </c>
      <c r="H49" s="2">
        <v>45197</v>
      </c>
      <c r="I49" s="2" t="s">
        <v>263</v>
      </c>
      <c r="J49" s="2" t="s">
        <v>263</v>
      </c>
      <c r="K49" s="21">
        <v>17</v>
      </c>
      <c r="L49" s="21">
        <v>504900</v>
      </c>
      <c r="M49" s="21">
        <v>0</v>
      </c>
      <c r="N49" s="21">
        <v>1066</v>
      </c>
      <c r="O49" s="21">
        <v>0</v>
      </c>
      <c r="P49" s="21">
        <v>394206</v>
      </c>
      <c r="Q49" s="22">
        <v>277.94183864915573</v>
      </c>
      <c r="R49" s="22">
        <v>300</v>
      </c>
      <c r="S49" s="23">
        <v>0.1</v>
      </c>
      <c r="T49" s="23">
        <v>0.05</v>
      </c>
      <c r="U49" s="24">
        <v>0.78076054664289962</v>
      </c>
      <c r="V49" s="25">
        <v>0.05</v>
      </c>
      <c r="W49" s="26">
        <v>0.15000000000000002</v>
      </c>
      <c r="X49" s="27">
        <v>5.8823529411764705E-2</v>
      </c>
      <c r="Y49" s="25">
        <v>0</v>
      </c>
      <c r="Z49" s="24">
        <v>0.88235294117647056</v>
      </c>
      <c r="AA49" s="25">
        <v>0</v>
      </c>
      <c r="AB49" s="28">
        <v>0</v>
      </c>
      <c r="AC49" s="28">
        <v>0</v>
      </c>
      <c r="AD49" s="28">
        <v>0</v>
      </c>
      <c r="AE49" s="25">
        <v>0.09</v>
      </c>
      <c r="AF49" s="26">
        <v>0.09</v>
      </c>
      <c r="AG49" s="29" t="s">
        <v>729</v>
      </c>
      <c r="AH49" s="30">
        <v>0.875</v>
      </c>
      <c r="AI49" s="26">
        <v>0.05</v>
      </c>
      <c r="AJ49" s="21">
        <v>0</v>
      </c>
      <c r="AK49" s="21">
        <v>0</v>
      </c>
      <c r="AL49" s="26">
        <v>0.1</v>
      </c>
      <c r="AM49" s="24">
        <v>0.67025641025641025</v>
      </c>
      <c r="AN49" s="24">
        <v>0.66025641025641024</v>
      </c>
      <c r="AO49" s="31">
        <v>0.06</v>
      </c>
      <c r="AP49" s="31">
        <v>0</v>
      </c>
      <c r="AQ49" s="24">
        <v>0.8016901408450704</v>
      </c>
      <c r="AR49" s="27">
        <v>0.71830985915492962</v>
      </c>
      <c r="AS49" s="26">
        <v>0</v>
      </c>
      <c r="AT49" s="26">
        <v>0</v>
      </c>
      <c r="AU49" s="24">
        <v>0.97952586206896552</v>
      </c>
      <c r="AV49" s="32">
        <v>4</v>
      </c>
      <c r="AW49" s="26">
        <v>0</v>
      </c>
      <c r="AX49" s="26">
        <v>0</v>
      </c>
      <c r="AY49" s="24">
        <v>0.69513015184381777</v>
      </c>
      <c r="AZ49" s="24">
        <v>0.71041214750542303</v>
      </c>
      <c r="BA49" s="31">
        <v>0.1</v>
      </c>
      <c r="BB49" s="33">
        <v>0.31000000000000005</v>
      </c>
      <c r="BC49" s="21"/>
      <c r="BD49" s="26">
        <v>0.55000000000000004</v>
      </c>
      <c r="BE49" s="26">
        <v>0.05</v>
      </c>
      <c r="BF49" s="26" t="s">
        <v>729</v>
      </c>
      <c r="BG49" s="21"/>
      <c r="BH49" s="34">
        <v>0</v>
      </c>
      <c r="BI49" s="34">
        <v>0</v>
      </c>
      <c r="BJ49" s="34" t="s">
        <v>259</v>
      </c>
      <c r="BK49" s="34">
        <v>0</v>
      </c>
      <c r="BL49" s="21"/>
      <c r="BM49" s="35">
        <v>0.60000000000000009</v>
      </c>
    </row>
    <row r="50" spans="1:65" x14ac:dyDescent="0.25">
      <c r="A50" s="4" t="s">
        <v>63</v>
      </c>
      <c r="B50" s="4">
        <v>71569</v>
      </c>
      <c r="C50" s="4" t="s">
        <v>110</v>
      </c>
      <c r="D50" s="19" t="s">
        <v>267</v>
      </c>
      <c r="E50" s="20">
        <v>45149</v>
      </c>
      <c r="F50" s="20" t="s">
        <v>360</v>
      </c>
      <c r="G50" s="20" t="s">
        <v>361</v>
      </c>
      <c r="H50" s="2">
        <v>45197</v>
      </c>
      <c r="I50" s="2" t="s">
        <v>263</v>
      </c>
      <c r="J50" s="2" t="s">
        <v>263</v>
      </c>
      <c r="K50" s="21">
        <v>14</v>
      </c>
      <c r="L50" s="21">
        <v>415800</v>
      </c>
      <c r="M50" s="21">
        <v>0</v>
      </c>
      <c r="N50" s="21">
        <v>580</v>
      </c>
      <c r="O50" s="21">
        <v>0</v>
      </c>
      <c r="P50" s="21">
        <v>195931</v>
      </c>
      <c r="Q50" s="22">
        <v>236.2</v>
      </c>
      <c r="R50" s="22">
        <v>300</v>
      </c>
      <c r="S50" s="23">
        <v>0.1</v>
      </c>
      <c r="T50" s="23">
        <v>0.05</v>
      </c>
      <c r="U50" s="24">
        <v>0.4712145262145262</v>
      </c>
      <c r="V50" s="25">
        <v>0</v>
      </c>
      <c r="W50" s="26">
        <v>0.1</v>
      </c>
      <c r="X50" s="27">
        <v>0</v>
      </c>
      <c r="Y50" s="25">
        <v>0</v>
      </c>
      <c r="Z50" s="24">
        <v>0</v>
      </c>
      <c r="AA50" s="25">
        <v>0</v>
      </c>
      <c r="AB50" s="28">
        <v>2</v>
      </c>
      <c r="AC50" s="28">
        <v>0</v>
      </c>
      <c r="AD50" s="28">
        <v>0</v>
      </c>
      <c r="AE50" s="25">
        <v>0</v>
      </c>
      <c r="AF50" s="26">
        <v>0</v>
      </c>
      <c r="AG50" s="29" t="s">
        <v>729</v>
      </c>
      <c r="AH50" s="30">
        <v>0.92500000000000004</v>
      </c>
      <c r="AI50" s="26">
        <v>0.1</v>
      </c>
      <c r="AJ50" s="21">
        <v>0</v>
      </c>
      <c r="AK50" s="21">
        <v>0</v>
      </c>
      <c r="AL50" s="26">
        <v>0.1</v>
      </c>
      <c r="AM50" s="24">
        <v>0.66750000000000009</v>
      </c>
      <c r="AN50" s="24">
        <v>0.6607142857142857</v>
      </c>
      <c r="AO50" s="31">
        <v>0.06</v>
      </c>
      <c r="AP50" s="31">
        <v>0</v>
      </c>
      <c r="AQ50" s="24">
        <v>0.80109090909090919</v>
      </c>
      <c r="AR50" s="27">
        <v>0.74545454545454548</v>
      </c>
      <c r="AS50" s="26">
        <v>0.02</v>
      </c>
      <c r="AT50" s="26">
        <v>0</v>
      </c>
      <c r="AU50" s="24">
        <v>0.96288659793814435</v>
      </c>
      <c r="AV50" s="32">
        <v>1</v>
      </c>
      <c r="AW50" s="26">
        <v>0.05</v>
      </c>
      <c r="AX50" s="26">
        <v>0</v>
      </c>
      <c r="AY50" s="24">
        <v>0.68597510373443982</v>
      </c>
      <c r="AZ50" s="24">
        <v>0.64522821576763489</v>
      </c>
      <c r="BA50" s="31">
        <v>0</v>
      </c>
      <c r="BB50" s="33">
        <v>0.33</v>
      </c>
      <c r="BC50" s="21"/>
      <c r="BD50" s="26">
        <v>0.43000000000000005</v>
      </c>
      <c r="BE50" s="26">
        <v>0.05</v>
      </c>
      <c r="BF50" s="26" t="s">
        <v>729</v>
      </c>
      <c r="BG50" s="21"/>
      <c r="BH50" s="34">
        <v>0.05</v>
      </c>
      <c r="BI50" s="34">
        <v>0</v>
      </c>
      <c r="BJ50" s="34" t="s">
        <v>259</v>
      </c>
      <c r="BK50" s="34">
        <v>0.05</v>
      </c>
      <c r="BL50" s="21"/>
      <c r="BM50" s="35">
        <v>0.43000000000000005</v>
      </c>
    </row>
    <row r="51" spans="1:65" x14ac:dyDescent="0.25">
      <c r="A51" s="4" t="s">
        <v>63</v>
      </c>
      <c r="B51" s="4">
        <v>75106</v>
      </c>
      <c r="C51" s="4" t="s">
        <v>111</v>
      </c>
      <c r="D51" s="19" t="s">
        <v>273</v>
      </c>
      <c r="E51" s="20">
        <v>45207</v>
      </c>
      <c r="F51" s="20" t="s">
        <v>362</v>
      </c>
      <c r="G51" s="20" t="s">
        <v>363</v>
      </c>
      <c r="H51" s="2">
        <v>45197</v>
      </c>
      <c r="I51" s="2" t="s">
        <v>263</v>
      </c>
      <c r="J51" s="2" t="s">
        <v>263</v>
      </c>
      <c r="K51" s="21">
        <v>15</v>
      </c>
      <c r="L51" s="21">
        <v>467100</v>
      </c>
      <c r="M51" s="21">
        <v>25200</v>
      </c>
      <c r="N51" s="21">
        <v>19</v>
      </c>
      <c r="O51" s="21">
        <v>0</v>
      </c>
      <c r="P51" s="21">
        <v>10099</v>
      </c>
      <c r="Q51" s="22">
        <v>382.84210526315792</v>
      </c>
      <c r="R51" s="22">
        <v>300</v>
      </c>
      <c r="S51" s="23">
        <v>0</v>
      </c>
      <c r="T51" s="23">
        <v>0</v>
      </c>
      <c r="U51" s="24">
        <v>2.2853586784340348E-2</v>
      </c>
      <c r="V51" s="25">
        <v>0</v>
      </c>
      <c r="W51" s="26">
        <v>0</v>
      </c>
      <c r="X51" s="27">
        <v>0.4</v>
      </c>
      <c r="Y51" s="25">
        <v>0</v>
      </c>
      <c r="Z51" s="24">
        <v>0.13333333333333333</v>
      </c>
      <c r="AA51" s="25">
        <v>0</v>
      </c>
      <c r="AB51" s="28">
        <v>1</v>
      </c>
      <c r="AC51" s="28">
        <v>3</v>
      </c>
      <c r="AD51" s="28">
        <v>0</v>
      </c>
      <c r="AE51" s="25">
        <v>0</v>
      </c>
      <c r="AF51" s="26">
        <v>0</v>
      </c>
      <c r="AG51" s="29" t="s">
        <v>729</v>
      </c>
      <c r="AH51" s="30">
        <v>1</v>
      </c>
      <c r="AI51" s="26">
        <v>0.1</v>
      </c>
      <c r="AJ51" s="21">
        <v>0</v>
      </c>
      <c r="AK51" s="21">
        <v>0</v>
      </c>
      <c r="AL51" s="26">
        <v>0.1</v>
      </c>
      <c r="AM51" s="24">
        <v>0.69</v>
      </c>
      <c r="AN51" s="24">
        <v>1</v>
      </c>
      <c r="AO51" s="31">
        <v>0.08</v>
      </c>
      <c r="AP51" s="31">
        <v>0.03</v>
      </c>
      <c r="AQ51" s="24">
        <v>0.82</v>
      </c>
      <c r="AR51" s="27">
        <v>1</v>
      </c>
      <c r="AS51" s="26">
        <v>0.2</v>
      </c>
      <c r="AT51" s="26">
        <v>0.1</v>
      </c>
      <c r="AU51" s="24">
        <v>1</v>
      </c>
      <c r="AV51" s="32">
        <v>0</v>
      </c>
      <c r="AW51" s="26">
        <v>0.05</v>
      </c>
      <c r="AX51" s="26">
        <v>0.02</v>
      </c>
      <c r="AY51" s="24">
        <v>0.70062499999999994</v>
      </c>
      <c r="AZ51" s="24">
        <v>0.6875</v>
      </c>
      <c r="BA51" s="31">
        <v>0.05</v>
      </c>
      <c r="BB51" s="33">
        <v>0.58000000000000007</v>
      </c>
      <c r="BC51" s="21"/>
      <c r="BD51" s="26">
        <v>0.58000000000000007</v>
      </c>
      <c r="BE51" s="26">
        <v>0.15000000000000002</v>
      </c>
      <c r="BF51" s="26" t="s">
        <v>729</v>
      </c>
      <c r="BG51" s="21"/>
      <c r="BH51" s="34">
        <v>0.15000000000000002</v>
      </c>
      <c r="BI51" s="34">
        <v>0</v>
      </c>
      <c r="BJ51" s="34" t="s">
        <v>259</v>
      </c>
      <c r="BK51" s="34">
        <v>0.15000000000000002</v>
      </c>
      <c r="BL51" s="21"/>
      <c r="BM51" s="35">
        <v>0.58000000000000007</v>
      </c>
    </row>
    <row r="52" spans="1:65" x14ac:dyDescent="0.25">
      <c r="A52" s="4" t="s">
        <v>63</v>
      </c>
      <c r="B52" s="4">
        <v>74014</v>
      </c>
      <c r="C52" s="4" t="s">
        <v>112</v>
      </c>
      <c r="D52" s="19" t="s">
        <v>270</v>
      </c>
      <c r="E52" s="20">
        <v>45150</v>
      </c>
      <c r="F52" s="20" t="s">
        <v>364</v>
      </c>
      <c r="G52" s="20" t="s">
        <v>365</v>
      </c>
      <c r="H52" s="2">
        <v>45197</v>
      </c>
      <c r="I52" s="2" t="s">
        <v>263</v>
      </c>
      <c r="J52" s="2" t="s">
        <v>263</v>
      </c>
      <c r="K52" s="21">
        <v>15</v>
      </c>
      <c r="L52" s="21">
        <v>445500</v>
      </c>
      <c r="M52" s="21">
        <v>7200</v>
      </c>
      <c r="N52" s="21">
        <v>738</v>
      </c>
      <c r="O52" s="21">
        <v>0</v>
      </c>
      <c r="P52" s="21">
        <v>316488</v>
      </c>
      <c r="Q52" s="22">
        <v>288.68834688346885</v>
      </c>
      <c r="R52" s="22">
        <v>300</v>
      </c>
      <c r="S52" s="23">
        <v>0.1</v>
      </c>
      <c r="T52" s="23">
        <v>0.05</v>
      </c>
      <c r="U52" s="24">
        <v>0.7220807665982204</v>
      </c>
      <c r="V52" s="25">
        <v>0</v>
      </c>
      <c r="W52" s="26">
        <v>0.1</v>
      </c>
      <c r="X52" s="27">
        <v>0.4</v>
      </c>
      <c r="Y52" s="25">
        <v>0</v>
      </c>
      <c r="Z52" s="24">
        <v>0.8</v>
      </c>
      <c r="AA52" s="25">
        <v>0</v>
      </c>
      <c r="AB52" s="28">
        <v>0</v>
      </c>
      <c r="AC52" s="28">
        <v>0</v>
      </c>
      <c r="AD52" s="28">
        <v>0</v>
      </c>
      <c r="AE52" s="25">
        <v>0.09</v>
      </c>
      <c r="AF52" s="26">
        <v>0.09</v>
      </c>
      <c r="AG52" s="29" t="s">
        <v>729</v>
      </c>
      <c r="AH52" s="30">
        <v>0.97499999999999998</v>
      </c>
      <c r="AI52" s="26">
        <v>0.1</v>
      </c>
      <c r="AJ52" s="21">
        <v>0</v>
      </c>
      <c r="AK52" s="21">
        <v>0</v>
      </c>
      <c r="AL52" s="26">
        <v>0.1</v>
      </c>
      <c r="AM52" s="24">
        <v>0.6877777777777776</v>
      </c>
      <c r="AN52" s="24">
        <v>0.76190476190476186</v>
      </c>
      <c r="AO52" s="31">
        <v>0.08</v>
      </c>
      <c r="AP52" s="31">
        <v>0.03</v>
      </c>
      <c r="AQ52" s="24">
        <v>0.81783333333333319</v>
      </c>
      <c r="AR52" s="27">
        <v>0.76666666666666672</v>
      </c>
      <c r="AS52" s="26">
        <v>0.02</v>
      </c>
      <c r="AT52" s="26">
        <v>0</v>
      </c>
      <c r="AU52" s="24">
        <v>0.95915032679738566</v>
      </c>
      <c r="AV52" s="32">
        <v>5</v>
      </c>
      <c r="AW52" s="26">
        <v>0</v>
      </c>
      <c r="AX52" s="26">
        <v>0</v>
      </c>
      <c r="AY52" s="24">
        <v>0.70269736842105268</v>
      </c>
      <c r="AZ52" s="24">
        <v>0.73026315789473684</v>
      </c>
      <c r="BA52" s="31">
        <v>0.1</v>
      </c>
      <c r="BB52" s="33">
        <v>0.4</v>
      </c>
      <c r="BC52" s="21"/>
      <c r="BD52" s="26">
        <v>0.59</v>
      </c>
      <c r="BE52" s="26">
        <v>0.08</v>
      </c>
      <c r="BF52" s="26" t="s">
        <v>729</v>
      </c>
      <c r="BG52" s="21"/>
      <c r="BH52" s="34">
        <v>0</v>
      </c>
      <c r="BI52" s="34">
        <v>0.01</v>
      </c>
      <c r="BJ52" s="34" t="s">
        <v>259</v>
      </c>
      <c r="BK52" s="34">
        <v>0.01</v>
      </c>
      <c r="BL52" s="21"/>
      <c r="BM52" s="35">
        <v>0.65999999999999992</v>
      </c>
    </row>
    <row r="53" spans="1:65" x14ac:dyDescent="0.25">
      <c r="A53" s="4" t="s">
        <v>63</v>
      </c>
      <c r="B53" s="4">
        <v>72842</v>
      </c>
      <c r="C53" s="4" t="s">
        <v>113</v>
      </c>
      <c r="D53" s="19" t="s">
        <v>282</v>
      </c>
      <c r="E53" s="20">
        <v>45507</v>
      </c>
      <c r="F53" s="20" t="s">
        <v>366</v>
      </c>
      <c r="G53" s="20" t="s">
        <v>367</v>
      </c>
      <c r="H53" s="2">
        <v>45226</v>
      </c>
      <c r="I53" s="2" t="s">
        <v>263</v>
      </c>
      <c r="J53" s="2" t="s">
        <v>263</v>
      </c>
      <c r="K53" s="21">
        <v>13</v>
      </c>
      <c r="L53" s="21">
        <v>386100</v>
      </c>
      <c r="M53" s="21">
        <v>0</v>
      </c>
      <c r="N53" s="21">
        <v>468</v>
      </c>
      <c r="O53" s="21">
        <v>0</v>
      </c>
      <c r="P53" s="21">
        <v>252923</v>
      </c>
      <c r="Q53" s="22">
        <v>321.008547008547</v>
      </c>
      <c r="R53" s="22">
        <v>300</v>
      </c>
      <c r="S53" s="23">
        <v>0</v>
      </c>
      <c r="T53" s="23">
        <v>0</v>
      </c>
      <c r="U53" s="24">
        <v>0.65507122507122506</v>
      </c>
      <c r="V53" s="25">
        <v>0</v>
      </c>
      <c r="W53" s="26">
        <v>0</v>
      </c>
      <c r="X53" s="27">
        <v>0</v>
      </c>
      <c r="Y53" s="25">
        <v>0</v>
      </c>
      <c r="Z53" s="24">
        <v>7.6923076923076927E-2</v>
      </c>
      <c r="AA53" s="25">
        <v>0</v>
      </c>
      <c r="AB53" s="28">
        <v>0</v>
      </c>
      <c r="AC53" s="28">
        <v>0</v>
      </c>
      <c r="AD53" s="28">
        <v>0</v>
      </c>
      <c r="AE53" s="25">
        <v>0.09</v>
      </c>
      <c r="AF53" s="26">
        <v>0.09</v>
      </c>
      <c r="AG53" s="29" t="s">
        <v>729</v>
      </c>
      <c r="AH53" s="30">
        <v>0.97499999999999998</v>
      </c>
      <c r="AI53" s="26">
        <v>0.1</v>
      </c>
      <c r="AJ53" s="21">
        <v>0</v>
      </c>
      <c r="AK53" s="21">
        <v>0</v>
      </c>
      <c r="AL53" s="26">
        <v>0.1</v>
      </c>
      <c r="AM53" s="24">
        <v>0.67999999999999994</v>
      </c>
      <c r="AN53" s="24">
        <v>0.61904761904761907</v>
      </c>
      <c r="AO53" s="31">
        <v>0</v>
      </c>
      <c r="AP53" s="31">
        <v>0</v>
      </c>
      <c r="AQ53" s="24">
        <v>0.80916666666666659</v>
      </c>
      <c r="AR53" s="27">
        <v>0.72222222222222221</v>
      </c>
      <c r="AS53" s="26">
        <v>0</v>
      </c>
      <c r="AT53" s="26">
        <v>0</v>
      </c>
      <c r="AU53" s="24">
        <v>0.93317972350230416</v>
      </c>
      <c r="AV53" s="32">
        <v>0</v>
      </c>
      <c r="AW53" s="26">
        <v>0.05</v>
      </c>
      <c r="AX53" s="26">
        <v>0.02</v>
      </c>
      <c r="AY53" s="24">
        <v>0.69142523364485986</v>
      </c>
      <c r="AZ53" s="24">
        <v>0.70560747663551404</v>
      </c>
      <c r="BA53" s="31">
        <v>0.1</v>
      </c>
      <c r="BB53" s="33">
        <v>0.35</v>
      </c>
      <c r="BC53" s="21"/>
      <c r="BD53" s="26">
        <v>0.43999999999999995</v>
      </c>
      <c r="BE53" s="26">
        <v>0.02</v>
      </c>
      <c r="BF53" s="26" t="s">
        <v>729</v>
      </c>
      <c r="BG53" s="21"/>
      <c r="BH53" s="34">
        <v>0</v>
      </c>
      <c r="BI53" s="34">
        <v>0</v>
      </c>
      <c r="BJ53" s="34" t="s">
        <v>259</v>
      </c>
      <c r="BK53" s="34">
        <v>0</v>
      </c>
      <c r="BL53" s="21"/>
      <c r="BM53" s="35">
        <v>0.45999999999999996</v>
      </c>
    </row>
    <row r="54" spans="1:65" x14ac:dyDescent="0.25">
      <c r="A54" s="4" t="s">
        <v>63</v>
      </c>
      <c r="B54" s="4">
        <v>73607</v>
      </c>
      <c r="C54" s="4" t="s">
        <v>114</v>
      </c>
      <c r="D54" s="19" t="s">
        <v>264</v>
      </c>
      <c r="E54" s="20">
        <v>46389</v>
      </c>
      <c r="F54" s="20" t="s">
        <v>368</v>
      </c>
      <c r="G54" s="20" t="s">
        <v>369</v>
      </c>
      <c r="H54" s="2">
        <v>45359</v>
      </c>
      <c r="I54" s="2" t="s">
        <v>263</v>
      </c>
      <c r="J54" s="2" t="s">
        <v>263</v>
      </c>
      <c r="K54" s="21">
        <v>18</v>
      </c>
      <c r="L54" s="21">
        <v>534600</v>
      </c>
      <c r="M54" s="21">
        <v>7200</v>
      </c>
      <c r="N54" s="21">
        <v>663</v>
      </c>
      <c r="O54" s="21">
        <v>199</v>
      </c>
      <c r="P54" s="21">
        <v>360742</v>
      </c>
      <c r="Q54" s="22">
        <v>283.32598607888633</v>
      </c>
      <c r="R54" s="22">
        <v>326.54872389791183</v>
      </c>
      <c r="S54" s="23">
        <v>0.1</v>
      </c>
      <c r="T54" s="23">
        <v>0.05</v>
      </c>
      <c r="U54" s="24">
        <v>0.68400075843761854</v>
      </c>
      <c r="V54" s="25">
        <v>0</v>
      </c>
      <c r="W54" s="26">
        <v>0.1</v>
      </c>
      <c r="X54" s="27">
        <v>0.1111111111111111</v>
      </c>
      <c r="Y54" s="25">
        <v>0</v>
      </c>
      <c r="Z54" s="24">
        <v>0.72222222222222221</v>
      </c>
      <c r="AA54" s="25">
        <v>0</v>
      </c>
      <c r="AB54" s="28">
        <v>0</v>
      </c>
      <c r="AC54" s="28">
        <v>0</v>
      </c>
      <c r="AD54" s="28">
        <v>0</v>
      </c>
      <c r="AE54" s="25">
        <v>0.09</v>
      </c>
      <c r="AF54" s="26">
        <v>0.09</v>
      </c>
      <c r="AG54" s="29" t="s">
        <v>729</v>
      </c>
      <c r="AH54" s="30">
        <v>0.97</v>
      </c>
      <c r="AI54" s="26">
        <v>0.1</v>
      </c>
      <c r="AJ54" s="21">
        <v>0</v>
      </c>
      <c r="AK54" s="21">
        <v>0</v>
      </c>
      <c r="AL54" s="26">
        <v>0.1</v>
      </c>
      <c r="AM54" s="24">
        <v>0.68618181818181823</v>
      </c>
      <c r="AN54" s="24">
        <v>0.72727272727272729</v>
      </c>
      <c r="AO54" s="31">
        <v>0.08</v>
      </c>
      <c r="AP54" s="31">
        <v>0.03</v>
      </c>
      <c r="AQ54" s="24">
        <v>0.8174509803921568</v>
      </c>
      <c r="AR54" s="27">
        <v>0.82352941176470584</v>
      </c>
      <c r="AS54" s="26">
        <v>0.2</v>
      </c>
      <c r="AT54" s="26">
        <v>0</v>
      </c>
      <c r="AU54" s="24">
        <v>0.96370463078848556</v>
      </c>
      <c r="AV54" s="32">
        <v>0</v>
      </c>
      <c r="AW54" s="26">
        <v>0.05</v>
      </c>
      <c r="AX54" s="26">
        <v>0.02</v>
      </c>
      <c r="AY54" s="24">
        <v>0.72124401913875602</v>
      </c>
      <c r="AZ54" s="24">
        <v>0.76076555023923442</v>
      </c>
      <c r="BA54" s="31">
        <v>0.1</v>
      </c>
      <c r="BB54" s="33">
        <v>0.63</v>
      </c>
      <c r="BC54" s="21"/>
      <c r="BD54" s="26">
        <v>0.82</v>
      </c>
      <c r="BE54" s="26">
        <v>0.1</v>
      </c>
      <c r="BF54" s="26" t="s">
        <v>729</v>
      </c>
      <c r="BG54" s="21"/>
      <c r="BH54" s="34">
        <v>0</v>
      </c>
      <c r="BI54" s="34">
        <v>0</v>
      </c>
      <c r="BJ54" s="34" t="s">
        <v>259</v>
      </c>
      <c r="BK54" s="34">
        <v>0</v>
      </c>
      <c r="BL54" s="21"/>
      <c r="BM54" s="35">
        <v>0.91999999999999993</v>
      </c>
    </row>
    <row r="55" spans="1:65" x14ac:dyDescent="0.25">
      <c r="A55" s="4" t="s">
        <v>63</v>
      </c>
      <c r="B55" s="4">
        <v>74240</v>
      </c>
      <c r="C55" s="4" t="s">
        <v>115</v>
      </c>
      <c r="D55" s="19" t="s">
        <v>282</v>
      </c>
      <c r="E55" s="20">
        <v>45495</v>
      </c>
      <c r="F55" s="20" t="s">
        <v>370</v>
      </c>
      <c r="G55" s="20" t="s">
        <v>371</v>
      </c>
      <c r="H55" s="2">
        <v>45226</v>
      </c>
      <c r="I55" s="2" t="s">
        <v>263</v>
      </c>
      <c r="J55" s="2" t="s">
        <v>263</v>
      </c>
      <c r="K55" s="21">
        <v>19</v>
      </c>
      <c r="L55" s="21">
        <v>567900</v>
      </c>
      <c r="M55" s="21">
        <v>3600</v>
      </c>
      <c r="N55" s="21">
        <v>113</v>
      </c>
      <c r="O55" s="21">
        <v>0</v>
      </c>
      <c r="P55" s="21">
        <v>86775</v>
      </c>
      <c r="Q55" s="22">
        <v>513.14159292035401</v>
      </c>
      <c r="R55" s="22">
        <v>300</v>
      </c>
      <c r="S55" s="48">
        <v>0.1</v>
      </c>
      <c r="T55" s="23">
        <v>0</v>
      </c>
      <c r="U55" s="24">
        <v>0.15377458798511431</v>
      </c>
      <c r="V55" s="25">
        <v>0</v>
      </c>
      <c r="W55" s="26">
        <v>0.1</v>
      </c>
      <c r="X55" s="27">
        <v>0.26315789473684209</v>
      </c>
      <c r="Y55" s="25">
        <v>0</v>
      </c>
      <c r="Z55" s="24">
        <v>0.94736842105263153</v>
      </c>
      <c r="AA55" s="25">
        <v>0</v>
      </c>
      <c r="AB55" s="28">
        <v>0</v>
      </c>
      <c r="AC55" s="28">
        <v>0</v>
      </c>
      <c r="AD55" s="28">
        <v>0</v>
      </c>
      <c r="AE55" s="25">
        <v>0.09</v>
      </c>
      <c r="AF55" s="26">
        <v>0.09</v>
      </c>
      <c r="AG55" s="29">
        <v>0</v>
      </c>
      <c r="AH55" s="30">
        <v>0.875</v>
      </c>
      <c r="AI55" s="26">
        <v>0.05</v>
      </c>
      <c r="AJ55" s="21">
        <v>0</v>
      </c>
      <c r="AK55" s="21">
        <v>0</v>
      </c>
      <c r="AL55" s="26">
        <v>0.1</v>
      </c>
      <c r="AM55" s="24">
        <v>0.64624999999999999</v>
      </c>
      <c r="AN55" s="24">
        <v>0.9375</v>
      </c>
      <c r="AO55" s="31">
        <v>0.08</v>
      </c>
      <c r="AP55" s="31">
        <v>0.03</v>
      </c>
      <c r="AQ55" s="24">
        <v>0.77937499999999993</v>
      </c>
      <c r="AR55" s="27">
        <v>0.9375</v>
      </c>
      <c r="AS55" s="26">
        <v>0.2</v>
      </c>
      <c r="AT55" s="26">
        <v>0.1</v>
      </c>
      <c r="AU55" s="24">
        <v>1</v>
      </c>
      <c r="AV55" s="32">
        <v>0</v>
      </c>
      <c r="AW55" s="26">
        <v>0.05</v>
      </c>
      <c r="AX55" s="26">
        <v>0.02</v>
      </c>
      <c r="AY55" s="24">
        <v>0.68120000000000003</v>
      </c>
      <c r="AZ55" s="24">
        <v>0.72</v>
      </c>
      <c r="BA55" s="31">
        <v>0.1</v>
      </c>
      <c r="BB55" s="33">
        <v>0.57999999999999996</v>
      </c>
      <c r="BC55" s="21"/>
      <c r="BD55" s="26">
        <v>0.76999999999999991</v>
      </c>
      <c r="BE55" s="26">
        <v>0.15000000000000002</v>
      </c>
      <c r="BF55" s="26">
        <v>0</v>
      </c>
      <c r="BG55" s="21"/>
      <c r="BH55" s="34">
        <v>0</v>
      </c>
      <c r="BI55" s="34">
        <v>0</v>
      </c>
      <c r="BJ55" s="34" t="s">
        <v>259</v>
      </c>
      <c r="BK55" s="34">
        <v>0</v>
      </c>
      <c r="BL55" s="21"/>
      <c r="BM55" s="35">
        <v>0.91999999999999993</v>
      </c>
    </row>
    <row r="56" spans="1:65" x14ac:dyDescent="0.25">
      <c r="A56" s="4" t="s">
        <v>63</v>
      </c>
      <c r="B56" s="4">
        <v>72454</v>
      </c>
      <c r="C56" s="4" t="s">
        <v>116</v>
      </c>
      <c r="D56" s="19" t="s">
        <v>264</v>
      </c>
      <c r="E56" s="20">
        <v>45473</v>
      </c>
      <c r="F56" s="20" t="s">
        <v>372</v>
      </c>
      <c r="G56" s="20" t="s">
        <v>373</v>
      </c>
      <c r="H56" s="2">
        <v>45226</v>
      </c>
      <c r="I56" s="2" t="s">
        <v>253</v>
      </c>
      <c r="J56" s="2" t="s">
        <v>253</v>
      </c>
      <c r="K56" s="21">
        <v>0</v>
      </c>
      <c r="L56" s="21">
        <v>0</v>
      </c>
      <c r="M56" s="21">
        <v>0</v>
      </c>
      <c r="N56" s="21">
        <v>0</v>
      </c>
      <c r="O56" s="21">
        <v>0</v>
      </c>
      <c r="P56" s="21">
        <v>255898</v>
      </c>
      <c r="Q56" s="22">
        <v>0</v>
      </c>
      <c r="R56" s="22">
        <v>0</v>
      </c>
      <c r="S56" s="23">
        <v>0</v>
      </c>
      <c r="T56" s="23">
        <v>0</v>
      </c>
      <c r="U56" s="24" t="s">
        <v>276</v>
      </c>
      <c r="V56" s="25">
        <v>0</v>
      </c>
      <c r="W56" s="26">
        <v>0</v>
      </c>
      <c r="X56" s="27">
        <v>0.5</v>
      </c>
      <c r="Y56" s="25">
        <v>0</v>
      </c>
      <c r="Z56" s="24">
        <v>0.95</v>
      </c>
      <c r="AA56" s="25">
        <v>0.04</v>
      </c>
      <c r="AB56" s="28">
        <v>0</v>
      </c>
      <c r="AC56" s="28">
        <v>0</v>
      </c>
      <c r="AD56" s="28">
        <v>0</v>
      </c>
      <c r="AE56" s="25">
        <v>0.09</v>
      </c>
      <c r="AF56" s="26">
        <v>0.13</v>
      </c>
      <c r="AG56" s="29" t="s">
        <v>729</v>
      </c>
      <c r="AH56" s="30" t="s">
        <v>277</v>
      </c>
      <c r="AI56" s="26">
        <v>0.1</v>
      </c>
      <c r="AJ56" s="21">
        <v>0</v>
      </c>
      <c r="AK56" s="21">
        <v>0</v>
      </c>
      <c r="AL56" s="26">
        <v>0.1</v>
      </c>
      <c r="AM56" s="24">
        <v>0.69</v>
      </c>
      <c r="AN56" s="24">
        <v>0.5</v>
      </c>
      <c r="AO56" s="31">
        <v>0</v>
      </c>
      <c r="AP56" s="31">
        <v>0</v>
      </c>
      <c r="AQ56" s="24">
        <v>0.82</v>
      </c>
      <c r="AR56" s="27">
        <v>0.5</v>
      </c>
      <c r="AS56" s="26">
        <v>0</v>
      </c>
      <c r="AT56" s="26">
        <v>0</v>
      </c>
      <c r="AU56" s="24" t="s">
        <v>276</v>
      </c>
      <c r="AV56" s="32">
        <v>0</v>
      </c>
      <c r="AW56" s="26">
        <v>0.05</v>
      </c>
      <c r="AX56" s="26">
        <v>0.02</v>
      </c>
      <c r="AY56" s="24">
        <v>0</v>
      </c>
      <c r="AZ56" s="24">
        <v>0</v>
      </c>
      <c r="BA56" s="31">
        <v>0</v>
      </c>
      <c r="BB56" s="33">
        <v>0.25</v>
      </c>
      <c r="BC56" s="21"/>
      <c r="BD56" s="26">
        <v>0.38</v>
      </c>
      <c r="BE56" s="26">
        <v>0.02</v>
      </c>
      <c r="BF56" s="26" t="s">
        <v>729</v>
      </c>
      <c r="BG56" s="21"/>
      <c r="BH56" s="34">
        <v>0</v>
      </c>
      <c r="BI56" s="34">
        <v>0</v>
      </c>
      <c r="BJ56" s="34" t="s">
        <v>259</v>
      </c>
      <c r="BK56" s="34">
        <v>0</v>
      </c>
      <c r="BL56" s="21"/>
      <c r="BM56" s="35">
        <v>0.4</v>
      </c>
    </row>
    <row r="57" spans="1:65" x14ac:dyDescent="0.25">
      <c r="A57" s="4" t="s">
        <v>63</v>
      </c>
      <c r="B57" s="4">
        <v>72654</v>
      </c>
      <c r="C57" s="4" t="s">
        <v>117</v>
      </c>
      <c r="D57" s="19" t="s">
        <v>270</v>
      </c>
      <c r="E57" s="20">
        <v>45474</v>
      </c>
      <c r="F57" s="20" t="s">
        <v>374</v>
      </c>
      <c r="G57" s="20" t="s">
        <v>375</v>
      </c>
      <c r="H57" s="2">
        <v>45226</v>
      </c>
      <c r="I57" s="2" t="s">
        <v>263</v>
      </c>
      <c r="J57" s="2" t="s">
        <v>263</v>
      </c>
      <c r="K57" s="21">
        <v>14</v>
      </c>
      <c r="L57" s="21">
        <v>419400</v>
      </c>
      <c r="M57" s="21">
        <v>10800</v>
      </c>
      <c r="N57" s="21">
        <v>137</v>
      </c>
      <c r="O57" s="21">
        <v>0</v>
      </c>
      <c r="P57" s="21">
        <v>110431</v>
      </c>
      <c r="Q57" s="22">
        <v>380.95620437956205</v>
      </c>
      <c r="R57" s="22">
        <v>300</v>
      </c>
      <c r="S57" s="23">
        <v>0</v>
      </c>
      <c r="T57" s="23">
        <v>0</v>
      </c>
      <c r="U57" s="24">
        <v>0.27026676456191873</v>
      </c>
      <c r="V57" s="25">
        <v>0</v>
      </c>
      <c r="W57" s="26">
        <v>0</v>
      </c>
      <c r="X57" s="27">
        <v>0</v>
      </c>
      <c r="Y57" s="25">
        <v>0</v>
      </c>
      <c r="Z57" s="24">
        <v>0.5</v>
      </c>
      <c r="AA57" s="25">
        <v>0</v>
      </c>
      <c r="AB57" s="28">
        <v>0</v>
      </c>
      <c r="AC57" s="28">
        <v>0</v>
      </c>
      <c r="AD57" s="28">
        <v>0</v>
      </c>
      <c r="AE57" s="25">
        <v>0.09</v>
      </c>
      <c r="AF57" s="26">
        <v>0.09</v>
      </c>
      <c r="AG57" s="29" t="s">
        <v>729</v>
      </c>
      <c r="AH57" s="30">
        <v>1</v>
      </c>
      <c r="AI57" s="26">
        <v>0.1</v>
      </c>
      <c r="AJ57" s="21">
        <v>0</v>
      </c>
      <c r="AK57" s="21">
        <v>0</v>
      </c>
      <c r="AL57" s="26">
        <v>0.1</v>
      </c>
      <c r="AM57" s="24">
        <v>0.68125000000000002</v>
      </c>
      <c r="AN57" s="24">
        <v>0.625</v>
      </c>
      <c r="AO57" s="31">
        <v>2.5000000000000001E-2</v>
      </c>
      <c r="AP57" s="31">
        <v>0</v>
      </c>
      <c r="AQ57" s="24">
        <v>0.82</v>
      </c>
      <c r="AR57" s="27">
        <v>0.8571428571428571</v>
      </c>
      <c r="AS57" s="26">
        <v>0.2</v>
      </c>
      <c r="AT57" s="26">
        <v>0.06</v>
      </c>
      <c r="AU57" s="24">
        <v>0.95652173913043481</v>
      </c>
      <c r="AV57" s="32">
        <v>5</v>
      </c>
      <c r="AW57" s="26">
        <v>0</v>
      </c>
      <c r="AX57" s="26">
        <v>0</v>
      </c>
      <c r="AY57" s="24">
        <v>0.69836206896551711</v>
      </c>
      <c r="AZ57" s="24">
        <v>0.72413793103448276</v>
      </c>
      <c r="BA57" s="31">
        <v>0.1</v>
      </c>
      <c r="BB57" s="33">
        <v>0.52500000000000002</v>
      </c>
      <c r="BC57" s="21"/>
      <c r="BD57" s="26">
        <v>0.61499999999999999</v>
      </c>
      <c r="BE57" s="26">
        <v>0.06</v>
      </c>
      <c r="BF57" s="26" t="s">
        <v>729</v>
      </c>
      <c r="BG57" s="21"/>
      <c r="BH57" s="34">
        <v>0</v>
      </c>
      <c r="BI57" s="34">
        <v>0.01</v>
      </c>
      <c r="BJ57" s="34" t="s">
        <v>259</v>
      </c>
      <c r="BK57" s="34">
        <v>0.01</v>
      </c>
      <c r="BL57" s="21"/>
      <c r="BM57" s="35">
        <v>0.66500000000000004</v>
      </c>
    </row>
    <row r="58" spans="1:65" x14ac:dyDescent="0.25">
      <c r="A58" s="4" t="s">
        <v>63</v>
      </c>
      <c r="B58" s="4">
        <v>71007</v>
      </c>
      <c r="C58" s="4" t="s">
        <v>118</v>
      </c>
      <c r="D58" s="19" t="s">
        <v>282</v>
      </c>
      <c r="E58" s="20">
        <v>45499</v>
      </c>
      <c r="F58" s="20" t="s">
        <v>376</v>
      </c>
      <c r="G58" s="20" t="s">
        <v>377</v>
      </c>
      <c r="H58" s="2">
        <v>45226</v>
      </c>
      <c r="I58" s="2" t="s">
        <v>263</v>
      </c>
      <c r="J58" s="2" t="s">
        <v>263</v>
      </c>
      <c r="K58" s="21">
        <v>11</v>
      </c>
      <c r="L58" s="21">
        <v>326700</v>
      </c>
      <c r="M58" s="21">
        <v>0</v>
      </c>
      <c r="N58" s="21">
        <v>28</v>
      </c>
      <c r="O58" s="21">
        <v>0</v>
      </c>
      <c r="P58" s="21">
        <v>30620</v>
      </c>
      <c r="Q58" s="22">
        <v>709.28571428571433</v>
      </c>
      <c r="R58" s="22">
        <v>300</v>
      </c>
      <c r="S58" s="23">
        <v>0</v>
      </c>
      <c r="T58" s="23">
        <v>0</v>
      </c>
      <c r="U58" s="24">
        <v>9.3725130088766456E-2</v>
      </c>
      <c r="V58" s="25">
        <v>0</v>
      </c>
      <c r="W58" s="26">
        <v>0</v>
      </c>
      <c r="X58" s="27">
        <v>9.0909090909090912E-2</v>
      </c>
      <c r="Y58" s="25">
        <v>0</v>
      </c>
      <c r="Z58" s="24">
        <v>9.0909090909090912E-2</v>
      </c>
      <c r="AA58" s="25">
        <v>0</v>
      </c>
      <c r="AB58" s="28">
        <v>0</v>
      </c>
      <c r="AC58" s="28">
        <v>0</v>
      </c>
      <c r="AD58" s="28">
        <v>0</v>
      </c>
      <c r="AE58" s="25">
        <v>0.09</v>
      </c>
      <c r="AF58" s="26">
        <v>0.09</v>
      </c>
      <c r="AG58" s="29">
        <v>0.1</v>
      </c>
      <c r="AH58" s="30">
        <v>0.95499999999999996</v>
      </c>
      <c r="AI58" s="26">
        <v>0.1</v>
      </c>
      <c r="AJ58" s="21">
        <v>0</v>
      </c>
      <c r="AK58" s="21">
        <v>0</v>
      </c>
      <c r="AL58" s="26">
        <v>0.1</v>
      </c>
      <c r="AM58" s="24">
        <v>0.69</v>
      </c>
      <c r="AN58" s="24">
        <v>0.5</v>
      </c>
      <c r="AO58" s="31">
        <v>0</v>
      </c>
      <c r="AP58" s="31">
        <v>0</v>
      </c>
      <c r="AQ58" s="24">
        <v>0.82</v>
      </c>
      <c r="AR58" s="27">
        <v>0.8571428571428571</v>
      </c>
      <c r="AS58" s="26">
        <v>0.2</v>
      </c>
      <c r="AT58" s="26">
        <v>0.06</v>
      </c>
      <c r="AU58" s="24">
        <v>1</v>
      </c>
      <c r="AV58" s="32">
        <v>1</v>
      </c>
      <c r="AW58" s="26">
        <v>0.05</v>
      </c>
      <c r="AX58" s="26">
        <v>0</v>
      </c>
      <c r="AY58" s="24">
        <v>0.70640000000000003</v>
      </c>
      <c r="AZ58" s="24">
        <v>0.72</v>
      </c>
      <c r="BA58" s="31">
        <v>0.1</v>
      </c>
      <c r="BB58" s="33">
        <v>0.55000000000000004</v>
      </c>
      <c r="BC58" s="21"/>
      <c r="BD58" s="26">
        <v>0.64</v>
      </c>
      <c r="BE58" s="26">
        <v>0.06</v>
      </c>
      <c r="BF58" s="26">
        <v>0.1</v>
      </c>
      <c r="BG58" s="21"/>
      <c r="BH58" s="34">
        <v>0</v>
      </c>
      <c r="BI58" s="34">
        <v>0</v>
      </c>
      <c r="BJ58" s="34" t="s">
        <v>259</v>
      </c>
      <c r="BK58" s="34">
        <v>0</v>
      </c>
      <c r="BL58" s="21"/>
      <c r="BM58" s="35">
        <v>0.79999999999999993</v>
      </c>
    </row>
    <row r="59" spans="1:65" x14ac:dyDescent="0.25">
      <c r="A59" s="4" t="s">
        <v>63</v>
      </c>
      <c r="B59" s="4">
        <v>71673</v>
      </c>
      <c r="C59" s="4" t="s">
        <v>119</v>
      </c>
      <c r="D59" s="19" t="s">
        <v>282</v>
      </c>
      <c r="E59" s="20">
        <v>45500</v>
      </c>
      <c r="F59" s="20" t="s">
        <v>378</v>
      </c>
      <c r="G59" s="20" t="s">
        <v>379</v>
      </c>
      <c r="H59" s="2">
        <v>45226</v>
      </c>
      <c r="I59" s="2" t="s">
        <v>263</v>
      </c>
      <c r="J59" s="2" t="s">
        <v>263</v>
      </c>
      <c r="K59" s="21">
        <v>19</v>
      </c>
      <c r="L59" s="21">
        <v>567900</v>
      </c>
      <c r="M59" s="21">
        <v>6600</v>
      </c>
      <c r="N59" s="21">
        <v>677</v>
      </c>
      <c r="O59" s="21">
        <v>0</v>
      </c>
      <c r="P59" s="21">
        <v>269547</v>
      </c>
      <c r="Q59" s="22">
        <v>295.96307237813886</v>
      </c>
      <c r="R59" s="22">
        <v>300</v>
      </c>
      <c r="S59" s="23">
        <v>0.1</v>
      </c>
      <c r="T59" s="23">
        <v>0.04</v>
      </c>
      <c r="U59" s="24">
        <v>0.48021913415285944</v>
      </c>
      <c r="V59" s="25">
        <v>0</v>
      </c>
      <c r="W59" s="26">
        <v>0.1</v>
      </c>
      <c r="X59" s="27">
        <v>0.10526315789473684</v>
      </c>
      <c r="Y59" s="25">
        <v>0</v>
      </c>
      <c r="Z59" s="24">
        <v>0.42105263157894735</v>
      </c>
      <c r="AA59" s="25">
        <v>0</v>
      </c>
      <c r="AB59" s="28">
        <v>0</v>
      </c>
      <c r="AC59" s="28">
        <v>0</v>
      </c>
      <c r="AD59" s="28">
        <v>0</v>
      </c>
      <c r="AE59" s="25">
        <v>0.09</v>
      </c>
      <c r="AF59" s="26">
        <v>0.09</v>
      </c>
      <c r="AG59" s="29" t="s">
        <v>729</v>
      </c>
      <c r="AH59" s="30">
        <v>0.97499999999999998</v>
      </c>
      <c r="AI59" s="26">
        <v>0.1</v>
      </c>
      <c r="AJ59" s="21">
        <v>0</v>
      </c>
      <c r="AK59" s="21">
        <v>0</v>
      </c>
      <c r="AL59" s="26">
        <v>0.1</v>
      </c>
      <c r="AM59" s="24">
        <v>0.67782608695652169</v>
      </c>
      <c r="AN59" s="24">
        <v>0.86956521739130432</v>
      </c>
      <c r="AO59" s="31">
        <v>0.08</v>
      </c>
      <c r="AP59" s="31">
        <v>0.03</v>
      </c>
      <c r="AQ59" s="24">
        <v>0.80869565217391304</v>
      </c>
      <c r="AR59" s="27">
        <v>0.91304347826086951</v>
      </c>
      <c r="AS59" s="26">
        <v>0.2</v>
      </c>
      <c r="AT59" s="26">
        <v>0.1</v>
      </c>
      <c r="AU59" s="24">
        <v>0.98558558558558562</v>
      </c>
      <c r="AV59" s="32">
        <v>1</v>
      </c>
      <c r="AW59" s="26">
        <v>0.05</v>
      </c>
      <c r="AX59" s="26">
        <v>0</v>
      </c>
      <c r="AY59" s="24">
        <v>0.69718085106382977</v>
      </c>
      <c r="AZ59" s="24">
        <v>0.71099290780141844</v>
      </c>
      <c r="BA59" s="31">
        <v>0.1</v>
      </c>
      <c r="BB59" s="33">
        <v>0.63</v>
      </c>
      <c r="BC59" s="21"/>
      <c r="BD59" s="26">
        <v>0.82</v>
      </c>
      <c r="BE59" s="26">
        <v>0.17</v>
      </c>
      <c r="BF59" s="26" t="s">
        <v>729</v>
      </c>
      <c r="BG59" s="21"/>
      <c r="BH59" s="34">
        <v>0</v>
      </c>
      <c r="BI59" s="34">
        <v>0</v>
      </c>
      <c r="BJ59" s="34" t="s">
        <v>259</v>
      </c>
      <c r="BK59" s="34">
        <v>0</v>
      </c>
      <c r="BL59" s="21"/>
      <c r="BM59" s="35">
        <v>0.99</v>
      </c>
    </row>
    <row r="60" spans="1:65" x14ac:dyDescent="0.25">
      <c r="A60" s="4" t="s">
        <v>63</v>
      </c>
      <c r="B60" s="4">
        <v>71490</v>
      </c>
      <c r="C60" s="4" t="s">
        <v>120</v>
      </c>
      <c r="D60" s="19" t="s">
        <v>273</v>
      </c>
      <c r="E60" s="20">
        <v>45496</v>
      </c>
      <c r="F60" s="20" t="s">
        <v>380</v>
      </c>
      <c r="G60" s="20" t="s">
        <v>381</v>
      </c>
      <c r="H60" s="2">
        <v>45226</v>
      </c>
      <c r="I60" s="2" t="s">
        <v>263</v>
      </c>
      <c r="J60" s="2" t="s">
        <v>263</v>
      </c>
      <c r="K60" s="21">
        <v>19</v>
      </c>
      <c r="L60" s="21">
        <v>564300</v>
      </c>
      <c r="M60" s="21">
        <v>0</v>
      </c>
      <c r="N60" s="21">
        <v>306</v>
      </c>
      <c r="O60" s="21">
        <v>0</v>
      </c>
      <c r="P60" s="21">
        <v>160278</v>
      </c>
      <c r="Q60" s="22">
        <v>392.45424836601308</v>
      </c>
      <c r="R60" s="22">
        <v>300</v>
      </c>
      <c r="S60" s="48">
        <v>0.1</v>
      </c>
      <c r="T60" s="23">
        <v>0</v>
      </c>
      <c r="U60" s="24">
        <v>0.28402977139819247</v>
      </c>
      <c r="V60" s="25">
        <v>0</v>
      </c>
      <c r="W60" s="26">
        <v>0.1</v>
      </c>
      <c r="X60" s="27">
        <v>0</v>
      </c>
      <c r="Y60" s="25">
        <v>0</v>
      </c>
      <c r="Z60" s="24">
        <v>0.57894736842105265</v>
      </c>
      <c r="AA60" s="25">
        <v>0</v>
      </c>
      <c r="AB60" s="28">
        <v>1</v>
      </c>
      <c r="AC60" s="28">
        <v>0</v>
      </c>
      <c r="AD60" s="28">
        <v>0</v>
      </c>
      <c r="AE60" s="25">
        <v>0</v>
      </c>
      <c r="AF60" s="26">
        <v>0</v>
      </c>
      <c r="AG60" s="29">
        <v>0</v>
      </c>
      <c r="AH60" s="30">
        <v>1</v>
      </c>
      <c r="AI60" s="26">
        <v>0.1</v>
      </c>
      <c r="AJ60" s="21">
        <v>0</v>
      </c>
      <c r="AK60" s="21">
        <v>0</v>
      </c>
      <c r="AL60" s="26">
        <v>0.1</v>
      </c>
      <c r="AM60" s="24">
        <v>0.67526315789473679</v>
      </c>
      <c r="AN60" s="24">
        <v>0.60526315789473684</v>
      </c>
      <c r="AO60" s="31">
        <v>0</v>
      </c>
      <c r="AP60" s="31">
        <v>0</v>
      </c>
      <c r="AQ60" s="24">
        <v>0.8032258064516129</v>
      </c>
      <c r="AR60" s="27">
        <v>0.83870967741935487</v>
      </c>
      <c r="AS60" s="26">
        <v>0.2</v>
      </c>
      <c r="AT60" s="26">
        <v>0.06</v>
      </c>
      <c r="AU60" s="24">
        <v>0.96564885496183206</v>
      </c>
      <c r="AV60" s="32">
        <v>4</v>
      </c>
      <c r="AW60" s="26">
        <v>0</v>
      </c>
      <c r="AX60" s="26">
        <v>0</v>
      </c>
      <c r="AY60" s="24">
        <v>0.69333333333333336</v>
      </c>
      <c r="AZ60" s="24">
        <v>0.66296296296296298</v>
      </c>
      <c r="BA60" s="31">
        <v>0</v>
      </c>
      <c r="BB60" s="33">
        <v>0.4</v>
      </c>
      <c r="BC60" s="21"/>
      <c r="BD60" s="26">
        <v>0.5</v>
      </c>
      <c r="BE60" s="26">
        <v>0.06</v>
      </c>
      <c r="BF60" s="26">
        <v>0</v>
      </c>
      <c r="BG60" s="21"/>
      <c r="BH60" s="34">
        <v>0</v>
      </c>
      <c r="BI60" s="34">
        <v>0</v>
      </c>
      <c r="BJ60" s="34" t="s">
        <v>259</v>
      </c>
      <c r="BK60" s="34">
        <v>0</v>
      </c>
      <c r="BL60" s="21"/>
      <c r="BM60" s="35">
        <v>0.56000000000000005</v>
      </c>
    </row>
    <row r="61" spans="1:65" x14ac:dyDescent="0.25">
      <c r="A61" s="4" t="s">
        <v>63</v>
      </c>
      <c r="B61" s="4">
        <v>73819</v>
      </c>
      <c r="C61" s="4" t="s">
        <v>121</v>
      </c>
      <c r="D61" s="19" t="s">
        <v>260</v>
      </c>
      <c r="E61" s="20">
        <v>45778</v>
      </c>
      <c r="F61" s="20" t="s">
        <v>382</v>
      </c>
      <c r="G61" s="20" t="s">
        <v>383</v>
      </c>
      <c r="H61" s="2">
        <v>45272</v>
      </c>
      <c r="I61" s="2" t="s">
        <v>263</v>
      </c>
      <c r="J61" s="2" t="s">
        <v>263</v>
      </c>
      <c r="K61" s="21">
        <v>20</v>
      </c>
      <c r="L61" s="21">
        <v>594000</v>
      </c>
      <c r="M61" s="21">
        <v>0</v>
      </c>
      <c r="N61" s="21">
        <v>845</v>
      </c>
      <c r="O61" s="21">
        <v>1</v>
      </c>
      <c r="P61" s="21">
        <v>375584</v>
      </c>
      <c r="Q61" s="22">
        <v>240.56737588652481</v>
      </c>
      <c r="R61" s="22">
        <v>300</v>
      </c>
      <c r="S61" s="23">
        <v>0.1</v>
      </c>
      <c r="T61" s="23">
        <v>0.05</v>
      </c>
      <c r="U61" s="24">
        <v>0.63229629629629625</v>
      </c>
      <c r="V61" s="25">
        <v>0</v>
      </c>
      <c r="W61" s="26">
        <v>0.1</v>
      </c>
      <c r="X61" s="27">
        <v>0.35</v>
      </c>
      <c r="Y61" s="25">
        <v>0</v>
      </c>
      <c r="Z61" s="24">
        <v>0.6</v>
      </c>
      <c r="AA61" s="25">
        <v>0</v>
      </c>
      <c r="AB61" s="28">
        <v>0</v>
      </c>
      <c r="AC61" s="28">
        <v>0</v>
      </c>
      <c r="AD61" s="28">
        <v>0</v>
      </c>
      <c r="AE61" s="25">
        <v>0.09</v>
      </c>
      <c r="AF61" s="26">
        <v>0.09</v>
      </c>
      <c r="AG61" s="29" t="s">
        <v>729</v>
      </c>
      <c r="AH61" s="30">
        <v>0.9</v>
      </c>
      <c r="AI61" s="26">
        <v>0.1</v>
      </c>
      <c r="AJ61" s="21">
        <v>0</v>
      </c>
      <c r="AK61" s="21">
        <v>0</v>
      </c>
      <c r="AL61" s="26">
        <v>0.1</v>
      </c>
      <c r="AM61" s="24">
        <v>0.68631578947368421</v>
      </c>
      <c r="AN61" s="24">
        <v>0.56578947368421051</v>
      </c>
      <c r="AO61" s="31">
        <v>0</v>
      </c>
      <c r="AP61" s="31">
        <v>0</v>
      </c>
      <c r="AQ61" s="24">
        <v>0.81638888888888894</v>
      </c>
      <c r="AR61" s="27">
        <v>0.625</v>
      </c>
      <c r="AS61" s="26">
        <v>0</v>
      </c>
      <c r="AT61" s="26">
        <v>0</v>
      </c>
      <c r="AU61" s="24">
        <v>0.94765100671140945</v>
      </c>
      <c r="AV61" s="32">
        <v>1</v>
      </c>
      <c r="AW61" s="26">
        <v>0.05</v>
      </c>
      <c r="AX61" s="26">
        <v>0</v>
      </c>
      <c r="AY61" s="24">
        <v>0.71304054054054056</v>
      </c>
      <c r="AZ61" s="24">
        <v>0.68243243243243246</v>
      </c>
      <c r="BA61" s="31">
        <v>0</v>
      </c>
      <c r="BB61" s="33">
        <v>0.25</v>
      </c>
      <c r="BC61" s="21"/>
      <c r="BD61" s="26">
        <v>0.43999999999999995</v>
      </c>
      <c r="BE61" s="26">
        <v>0.05</v>
      </c>
      <c r="BF61" s="26" t="s">
        <v>729</v>
      </c>
      <c r="BG61" s="21"/>
      <c r="BH61" s="34">
        <v>0</v>
      </c>
      <c r="BI61" s="34">
        <v>0</v>
      </c>
      <c r="BJ61" s="34" t="s">
        <v>259</v>
      </c>
      <c r="BK61" s="34">
        <v>0</v>
      </c>
      <c r="BL61" s="21"/>
      <c r="BM61" s="35">
        <v>0.48999999999999994</v>
      </c>
    </row>
    <row r="62" spans="1:65" x14ac:dyDescent="0.25">
      <c r="A62" s="4" t="s">
        <v>63</v>
      </c>
      <c r="B62" s="4">
        <v>72210</v>
      </c>
      <c r="C62" s="4" t="s">
        <v>122</v>
      </c>
      <c r="D62" s="19" t="s">
        <v>314</v>
      </c>
      <c r="E62" s="20">
        <v>45802</v>
      </c>
      <c r="F62" s="20" t="s">
        <v>384</v>
      </c>
      <c r="G62" s="20" t="s">
        <v>385</v>
      </c>
      <c r="H62" s="2">
        <v>45272</v>
      </c>
      <c r="I62" s="2" t="s">
        <v>263</v>
      </c>
      <c r="J62" s="2" t="s">
        <v>263</v>
      </c>
      <c r="K62" s="21">
        <v>8</v>
      </c>
      <c r="L62" s="21">
        <v>237600</v>
      </c>
      <c r="M62" s="21">
        <v>0</v>
      </c>
      <c r="N62" s="21">
        <v>365</v>
      </c>
      <c r="O62" s="21">
        <v>0</v>
      </c>
      <c r="P62" s="21">
        <v>163125</v>
      </c>
      <c r="Q62" s="22">
        <v>256.53150684931506</v>
      </c>
      <c r="R62" s="22">
        <v>300</v>
      </c>
      <c r="S62" s="23">
        <v>0.1</v>
      </c>
      <c r="T62" s="23">
        <v>0.05</v>
      </c>
      <c r="U62" s="24">
        <v>0.68655303030303028</v>
      </c>
      <c r="V62" s="25">
        <v>0</v>
      </c>
      <c r="W62" s="26">
        <v>0.1</v>
      </c>
      <c r="X62" s="27">
        <v>0.125</v>
      </c>
      <c r="Y62" s="25">
        <v>0</v>
      </c>
      <c r="Z62" s="24">
        <v>1</v>
      </c>
      <c r="AA62" s="25">
        <v>0.04</v>
      </c>
      <c r="AB62" s="28">
        <v>0</v>
      </c>
      <c r="AC62" s="28">
        <v>0</v>
      </c>
      <c r="AD62" s="28">
        <v>1</v>
      </c>
      <c r="AE62" s="25">
        <v>0.04</v>
      </c>
      <c r="AF62" s="26">
        <v>0.08</v>
      </c>
      <c r="AG62" s="29">
        <v>0.05</v>
      </c>
      <c r="AH62" s="30">
        <v>1</v>
      </c>
      <c r="AI62" s="26">
        <v>0.1</v>
      </c>
      <c r="AJ62" s="21">
        <v>0</v>
      </c>
      <c r="AK62" s="21">
        <v>0</v>
      </c>
      <c r="AL62" s="26">
        <v>0.1</v>
      </c>
      <c r="AM62" s="24">
        <v>0.67879999999999996</v>
      </c>
      <c r="AN62" s="24">
        <v>0.8</v>
      </c>
      <c r="AO62" s="31">
        <v>0.08</v>
      </c>
      <c r="AP62" s="31">
        <v>0.03</v>
      </c>
      <c r="AQ62" s="24">
        <v>0.80959999999999999</v>
      </c>
      <c r="AR62" s="27">
        <v>0.92</v>
      </c>
      <c r="AS62" s="26">
        <v>0.2</v>
      </c>
      <c r="AT62" s="26">
        <v>0.1</v>
      </c>
      <c r="AU62" s="24">
        <v>0.96564885496183206</v>
      </c>
      <c r="AV62" s="32">
        <v>1</v>
      </c>
      <c r="AW62" s="26">
        <v>0.05</v>
      </c>
      <c r="AX62" s="26">
        <v>0</v>
      </c>
      <c r="AY62" s="24">
        <v>0.71324324324324329</v>
      </c>
      <c r="AZ62" s="24">
        <v>0.68339768339768336</v>
      </c>
      <c r="BA62" s="31">
        <v>0</v>
      </c>
      <c r="BB62" s="33">
        <v>0.53</v>
      </c>
      <c r="BC62" s="21"/>
      <c r="BD62" s="26">
        <v>0.71</v>
      </c>
      <c r="BE62" s="26">
        <v>0.18000000000000002</v>
      </c>
      <c r="BF62" s="26">
        <v>0.05</v>
      </c>
      <c r="BG62" s="21"/>
      <c r="BH62" s="34">
        <v>0</v>
      </c>
      <c r="BI62" s="34">
        <v>0</v>
      </c>
      <c r="BJ62" s="34" t="s">
        <v>259</v>
      </c>
      <c r="BK62" s="34">
        <v>0</v>
      </c>
      <c r="BL62" s="21"/>
      <c r="BM62" s="35">
        <v>0.94000000000000006</v>
      </c>
    </row>
    <row r="63" spans="1:65" x14ac:dyDescent="0.25">
      <c r="A63" s="4" t="s">
        <v>63</v>
      </c>
      <c r="B63" s="4">
        <v>72136</v>
      </c>
      <c r="C63" s="4" t="s">
        <v>123</v>
      </c>
      <c r="D63" s="19" t="s">
        <v>314</v>
      </c>
      <c r="E63" s="20">
        <v>45763</v>
      </c>
      <c r="F63" s="20" t="s">
        <v>386</v>
      </c>
      <c r="G63" s="20" t="s">
        <v>387</v>
      </c>
      <c r="H63" s="2">
        <v>45272</v>
      </c>
      <c r="I63" s="2" t="s">
        <v>263</v>
      </c>
      <c r="J63" s="2" t="s">
        <v>263</v>
      </c>
      <c r="K63" s="21">
        <v>17</v>
      </c>
      <c r="L63" s="21">
        <v>504900</v>
      </c>
      <c r="M63" s="21">
        <v>0</v>
      </c>
      <c r="N63" s="21">
        <v>848</v>
      </c>
      <c r="O63" s="21">
        <v>0</v>
      </c>
      <c r="P63" s="21">
        <v>481464</v>
      </c>
      <c r="Q63" s="22">
        <v>432.58136792452831</v>
      </c>
      <c r="R63" s="22">
        <v>300</v>
      </c>
      <c r="S63" s="23">
        <v>0</v>
      </c>
      <c r="T63" s="23">
        <v>0</v>
      </c>
      <c r="U63" s="24">
        <v>0.95358288770053479</v>
      </c>
      <c r="V63" s="25">
        <v>0.1</v>
      </c>
      <c r="W63" s="26">
        <v>0.1</v>
      </c>
      <c r="X63" s="27">
        <v>0.82352941176470584</v>
      </c>
      <c r="Y63" s="25">
        <v>0</v>
      </c>
      <c r="Z63" s="24">
        <v>0.94117647058823528</v>
      </c>
      <c r="AA63" s="25">
        <v>0</v>
      </c>
      <c r="AB63" s="28">
        <v>0</v>
      </c>
      <c r="AC63" s="28">
        <v>0</v>
      </c>
      <c r="AD63" s="28">
        <v>0</v>
      </c>
      <c r="AE63" s="25">
        <v>0.09</v>
      </c>
      <c r="AF63" s="26">
        <v>0.09</v>
      </c>
      <c r="AG63" s="29" t="s">
        <v>729</v>
      </c>
      <c r="AH63" s="30">
        <v>0.49</v>
      </c>
      <c r="AI63" s="26">
        <v>0</v>
      </c>
      <c r="AJ63" s="21">
        <v>0</v>
      </c>
      <c r="AK63" s="21">
        <v>0</v>
      </c>
      <c r="AL63" s="26">
        <v>0.1</v>
      </c>
      <c r="AM63" s="24">
        <v>0.6785714285714286</v>
      </c>
      <c r="AN63" s="24">
        <v>0.65306122448979587</v>
      </c>
      <c r="AO63" s="31">
        <v>0.04</v>
      </c>
      <c r="AP63" s="31">
        <v>0</v>
      </c>
      <c r="AQ63" s="24">
        <v>0.80999999999999994</v>
      </c>
      <c r="AR63" s="27">
        <v>0.73626373626373631</v>
      </c>
      <c r="AS63" s="26">
        <v>0</v>
      </c>
      <c r="AT63" s="26">
        <v>0</v>
      </c>
      <c r="AU63" s="24">
        <v>0.98688046647230321</v>
      </c>
      <c r="AV63" s="32">
        <v>0</v>
      </c>
      <c r="AW63" s="26">
        <v>0.05</v>
      </c>
      <c r="AX63" s="26">
        <v>0.02</v>
      </c>
      <c r="AY63" s="24">
        <v>0.70608888888888888</v>
      </c>
      <c r="AZ63" s="24">
        <v>0.7466666666666667</v>
      </c>
      <c r="BA63" s="31">
        <v>0.1</v>
      </c>
      <c r="BB63" s="33">
        <v>0.29000000000000004</v>
      </c>
      <c r="BC63" s="21"/>
      <c r="BD63" s="26">
        <v>0.48</v>
      </c>
      <c r="BE63" s="26">
        <v>0.02</v>
      </c>
      <c r="BF63" s="26" t="s">
        <v>729</v>
      </c>
      <c r="BG63" s="21"/>
      <c r="BH63" s="34">
        <v>0</v>
      </c>
      <c r="BI63" s="34">
        <v>0</v>
      </c>
      <c r="BJ63" s="34" t="s">
        <v>259</v>
      </c>
      <c r="BK63" s="34">
        <v>0</v>
      </c>
      <c r="BL63" s="21"/>
      <c r="BM63" s="35">
        <v>0.5</v>
      </c>
    </row>
    <row r="64" spans="1:65" x14ac:dyDescent="0.25">
      <c r="A64" s="4" t="s">
        <v>63</v>
      </c>
      <c r="B64" s="4">
        <v>73475</v>
      </c>
      <c r="C64" s="4" t="s">
        <v>124</v>
      </c>
      <c r="D64" s="19" t="s">
        <v>282</v>
      </c>
      <c r="E64" s="20">
        <v>46231</v>
      </c>
      <c r="F64" s="20" t="s">
        <v>388</v>
      </c>
      <c r="G64" s="20" t="s">
        <v>389</v>
      </c>
      <c r="H64" s="2">
        <v>45338</v>
      </c>
      <c r="I64" s="2" t="s">
        <v>263</v>
      </c>
      <c r="J64" s="2" t="s">
        <v>263</v>
      </c>
      <c r="K64" s="21">
        <v>21</v>
      </c>
      <c r="L64" s="21">
        <v>634500</v>
      </c>
      <c r="M64" s="21">
        <v>21600</v>
      </c>
      <c r="N64" s="21">
        <v>347</v>
      </c>
      <c r="O64" s="21">
        <v>0</v>
      </c>
      <c r="P64" s="21">
        <v>195163</v>
      </c>
      <c r="Q64" s="22">
        <v>388.50432276657062</v>
      </c>
      <c r="R64" s="22">
        <v>300</v>
      </c>
      <c r="S64" s="23">
        <v>0</v>
      </c>
      <c r="T64" s="23">
        <v>0</v>
      </c>
      <c r="U64" s="24">
        <v>0.31842551802904223</v>
      </c>
      <c r="V64" s="25">
        <v>0</v>
      </c>
      <c r="W64" s="26">
        <v>0</v>
      </c>
      <c r="X64" s="27">
        <v>0.2857142857142857</v>
      </c>
      <c r="Y64" s="25">
        <v>0</v>
      </c>
      <c r="Z64" s="24">
        <v>0.95238095238095233</v>
      </c>
      <c r="AA64" s="25">
        <v>0.04</v>
      </c>
      <c r="AB64" s="28">
        <v>0</v>
      </c>
      <c r="AC64" s="28">
        <v>0</v>
      </c>
      <c r="AD64" s="28">
        <v>0</v>
      </c>
      <c r="AE64" s="25">
        <v>0.09</v>
      </c>
      <c r="AF64" s="26">
        <v>0.13</v>
      </c>
      <c r="AG64" s="29" t="s">
        <v>729</v>
      </c>
      <c r="AH64" s="30">
        <v>0.875</v>
      </c>
      <c r="AI64" s="26">
        <v>0.05</v>
      </c>
      <c r="AJ64" s="21">
        <v>0</v>
      </c>
      <c r="AK64" s="21">
        <v>0</v>
      </c>
      <c r="AL64" s="26">
        <v>0.1</v>
      </c>
      <c r="AM64" s="24">
        <v>0.67551724137931024</v>
      </c>
      <c r="AN64" s="24">
        <v>0.68965517241379315</v>
      </c>
      <c r="AO64" s="31">
        <v>0.08</v>
      </c>
      <c r="AP64" s="31">
        <v>0.03</v>
      </c>
      <c r="AQ64" s="24">
        <v>0.80607142857142855</v>
      </c>
      <c r="AR64" s="27">
        <v>0.7857142857142857</v>
      </c>
      <c r="AS64" s="26">
        <v>7.4999999999999997E-2</v>
      </c>
      <c r="AT64" s="26">
        <v>0</v>
      </c>
      <c r="AU64" s="24">
        <v>0.96655518394648832</v>
      </c>
      <c r="AV64" s="32">
        <v>3</v>
      </c>
      <c r="AW64" s="26">
        <v>0.01</v>
      </c>
      <c r="AX64" s="26">
        <v>0</v>
      </c>
      <c r="AY64" s="24">
        <v>0.69575250836120395</v>
      </c>
      <c r="AZ64" s="24">
        <v>0.68561872909698995</v>
      </c>
      <c r="BA64" s="31">
        <v>0.05</v>
      </c>
      <c r="BB64" s="33">
        <v>0.36499999999999999</v>
      </c>
      <c r="BC64" s="21"/>
      <c r="BD64" s="26">
        <v>0.495</v>
      </c>
      <c r="BE64" s="26">
        <v>0.03</v>
      </c>
      <c r="BF64" s="26" t="s">
        <v>729</v>
      </c>
      <c r="BG64" s="21"/>
      <c r="BH64" s="34">
        <v>0</v>
      </c>
      <c r="BI64" s="34">
        <v>0</v>
      </c>
      <c r="BJ64" s="34" t="s">
        <v>259</v>
      </c>
      <c r="BK64" s="34">
        <v>0</v>
      </c>
      <c r="BL64" s="21"/>
      <c r="BM64" s="35">
        <v>0.52500000000000002</v>
      </c>
    </row>
    <row r="65" spans="1:65" x14ac:dyDescent="0.25">
      <c r="A65" s="4" t="s">
        <v>63</v>
      </c>
      <c r="B65" s="4">
        <v>72534</v>
      </c>
      <c r="C65" s="4" t="s">
        <v>125</v>
      </c>
      <c r="D65" s="19" t="s">
        <v>273</v>
      </c>
      <c r="E65" s="20">
        <v>46249</v>
      </c>
      <c r="F65" s="20" t="s">
        <v>390</v>
      </c>
      <c r="G65" s="20" t="s">
        <v>391</v>
      </c>
      <c r="H65" s="2">
        <v>45338</v>
      </c>
      <c r="I65" s="2" t="s">
        <v>253</v>
      </c>
      <c r="J65" s="2" t="s">
        <v>253</v>
      </c>
      <c r="K65" s="21">
        <v>3</v>
      </c>
      <c r="L65" s="21">
        <v>89100</v>
      </c>
      <c r="M65" s="21">
        <v>0</v>
      </c>
      <c r="N65" s="21">
        <v>133</v>
      </c>
      <c r="O65" s="21">
        <v>0</v>
      </c>
      <c r="P65" s="21">
        <v>58269</v>
      </c>
      <c r="Q65" s="22">
        <v>308.45112781954884</v>
      </c>
      <c r="R65" s="22">
        <v>300</v>
      </c>
      <c r="S65" s="23">
        <v>0</v>
      </c>
      <c r="T65" s="23">
        <v>0</v>
      </c>
      <c r="U65" s="24">
        <v>0.65397306397306398</v>
      </c>
      <c r="V65" s="25">
        <v>0</v>
      </c>
      <c r="W65" s="26">
        <v>0</v>
      </c>
      <c r="X65" s="27">
        <v>0.33333333333333331</v>
      </c>
      <c r="Y65" s="25">
        <v>0</v>
      </c>
      <c r="Z65" s="24">
        <v>1</v>
      </c>
      <c r="AA65" s="25">
        <v>0.04</v>
      </c>
      <c r="AB65" s="28">
        <v>0</v>
      </c>
      <c r="AC65" s="28">
        <v>0</v>
      </c>
      <c r="AD65" s="28">
        <v>0</v>
      </c>
      <c r="AE65" s="25">
        <v>0.09</v>
      </c>
      <c r="AF65" s="26">
        <v>0.13</v>
      </c>
      <c r="AG65" s="29" t="s">
        <v>729</v>
      </c>
      <c r="AH65" s="30">
        <v>0.80499999999999994</v>
      </c>
      <c r="AI65" s="26">
        <v>0.05</v>
      </c>
      <c r="AJ65" s="21">
        <v>0</v>
      </c>
      <c r="AK65" s="21">
        <v>0</v>
      </c>
      <c r="AL65" s="26">
        <v>0.1</v>
      </c>
      <c r="AM65" s="24">
        <v>0.69000000000000006</v>
      </c>
      <c r="AN65" s="24">
        <v>0.5714285714285714</v>
      </c>
      <c r="AO65" s="31">
        <v>0</v>
      </c>
      <c r="AP65" s="31">
        <v>0</v>
      </c>
      <c r="AQ65" s="24">
        <v>0.82</v>
      </c>
      <c r="AR65" s="27">
        <v>0.6428571428571429</v>
      </c>
      <c r="AS65" s="26">
        <v>0</v>
      </c>
      <c r="AT65" s="26">
        <v>0</v>
      </c>
      <c r="AU65" s="24">
        <v>0.99137931034482762</v>
      </c>
      <c r="AV65" s="32">
        <v>1</v>
      </c>
      <c r="AW65" s="26">
        <v>0.05</v>
      </c>
      <c r="AX65" s="26">
        <v>0</v>
      </c>
      <c r="AY65" s="24">
        <v>0.70379310344827573</v>
      </c>
      <c r="AZ65" s="24">
        <v>0.72413793103448276</v>
      </c>
      <c r="BA65" s="31">
        <v>0.1</v>
      </c>
      <c r="BB65" s="33">
        <v>0.30000000000000004</v>
      </c>
      <c r="BC65" s="21"/>
      <c r="BD65" s="26">
        <v>0.43000000000000005</v>
      </c>
      <c r="BE65" s="26">
        <v>0</v>
      </c>
      <c r="BF65" s="26" t="s">
        <v>729</v>
      </c>
      <c r="BG65" s="21"/>
      <c r="BH65" s="34">
        <v>0</v>
      </c>
      <c r="BI65" s="34">
        <v>0</v>
      </c>
      <c r="BJ65" s="34" t="s">
        <v>259</v>
      </c>
      <c r="BK65" s="34">
        <v>0</v>
      </c>
      <c r="BL65" s="21"/>
      <c r="BM65" s="35">
        <v>0.43000000000000005</v>
      </c>
    </row>
    <row r="66" spans="1:65" x14ac:dyDescent="0.25">
      <c r="A66" s="4" t="s">
        <v>63</v>
      </c>
      <c r="B66" s="4">
        <v>71514</v>
      </c>
      <c r="C66" s="4" t="s">
        <v>126</v>
      </c>
      <c r="D66" s="19" t="s">
        <v>260</v>
      </c>
      <c r="E66" s="20">
        <v>46284</v>
      </c>
      <c r="F66" s="20" t="s">
        <v>392</v>
      </c>
      <c r="G66" s="20" t="s">
        <v>393</v>
      </c>
      <c r="H66" s="2">
        <v>45338</v>
      </c>
      <c r="I66" s="2" t="s">
        <v>263</v>
      </c>
      <c r="J66" s="2" t="s">
        <v>263</v>
      </c>
      <c r="K66" s="21">
        <v>17</v>
      </c>
      <c r="L66" s="21">
        <v>504900</v>
      </c>
      <c r="M66" s="21">
        <v>0</v>
      </c>
      <c r="N66" s="21">
        <v>457</v>
      </c>
      <c r="O66" s="21">
        <v>123</v>
      </c>
      <c r="P66" s="21">
        <v>265929</v>
      </c>
      <c r="Q66" s="22">
        <v>234.40172413793104</v>
      </c>
      <c r="R66" s="22">
        <v>324.38793103448273</v>
      </c>
      <c r="S66" s="23">
        <v>0.1</v>
      </c>
      <c r="T66" s="23">
        <v>0.05</v>
      </c>
      <c r="U66" s="24">
        <v>0.52669637551990489</v>
      </c>
      <c r="V66" s="25">
        <v>0</v>
      </c>
      <c r="W66" s="26">
        <v>0.1</v>
      </c>
      <c r="X66" s="27">
        <v>0</v>
      </c>
      <c r="Y66" s="25">
        <v>0</v>
      </c>
      <c r="Z66" s="24">
        <v>0.70588235294117652</v>
      </c>
      <c r="AA66" s="25">
        <v>0</v>
      </c>
      <c r="AB66" s="28">
        <v>0</v>
      </c>
      <c r="AC66" s="28">
        <v>4</v>
      </c>
      <c r="AD66" s="28">
        <v>0</v>
      </c>
      <c r="AE66" s="25">
        <v>0</v>
      </c>
      <c r="AF66" s="26">
        <v>0</v>
      </c>
      <c r="AG66" s="29" t="s">
        <v>729</v>
      </c>
      <c r="AH66" s="30">
        <v>0.95</v>
      </c>
      <c r="AI66" s="26">
        <v>0.1</v>
      </c>
      <c r="AJ66" s="21">
        <v>0</v>
      </c>
      <c r="AK66" s="21">
        <v>0</v>
      </c>
      <c r="AL66" s="26">
        <v>0.1</v>
      </c>
      <c r="AM66" s="24">
        <v>0.68762711864406767</v>
      </c>
      <c r="AN66" s="24">
        <v>0.55932203389830504</v>
      </c>
      <c r="AO66" s="31">
        <v>0</v>
      </c>
      <c r="AP66" s="31">
        <v>0</v>
      </c>
      <c r="AQ66" s="24">
        <v>0.8175</v>
      </c>
      <c r="AR66" s="27">
        <v>0.65384615384615385</v>
      </c>
      <c r="AS66" s="26">
        <v>0</v>
      </c>
      <c r="AT66" s="26">
        <v>0</v>
      </c>
      <c r="AU66" s="24">
        <v>0.85637342908438063</v>
      </c>
      <c r="AV66" s="32">
        <v>2</v>
      </c>
      <c r="AW66" s="26">
        <v>0.03</v>
      </c>
      <c r="AX66" s="26">
        <v>0</v>
      </c>
      <c r="AY66" s="24">
        <v>0.71414572864321613</v>
      </c>
      <c r="AZ66" s="24">
        <v>0.55778894472361806</v>
      </c>
      <c r="BA66" s="31">
        <v>0</v>
      </c>
      <c r="BB66" s="33">
        <v>0.23</v>
      </c>
      <c r="BC66" s="21"/>
      <c r="BD66" s="26">
        <v>0.33</v>
      </c>
      <c r="BE66" s="26">
        <v>0.05</v>
      </c>
      <c r="BF66" s="26" t="s">
        <v>729</v>
      </c>
      <c r="BG66" s="21"/>
      <c r="BH66" s="34">
        <v>0.1</v>
      </c>
      <c r="BI66" s="34">
        <v>0</v>
      </c>
      <c r="BJ66" s="34" t="s">
        <v>259</v>
      </c>
      <c r="BK66" s="34">
        <v>0.1</v>
      </c>
      <c r="BL66" s="21"/>
      <c r="BM66" s="35">
        <v>0.28000000000000003</v>
      </c>
    </row>
    <row r="67" spans="1:65" x14ac:dyDescent="0.25">
      <c r="A67" s="4" t="s">
        <v>63</v>
      </c>
      <c r="B67" s="4">
        <v>71052</v>
      </c>
      <c r="C67" s="4" t="s">
        <v>127</v>
      </c>
      <c r="D67" s="19" t="s">
        <v>314</v>
      </c>
      <c r="E67" s="20">
        <v>46386</v>
      </c>
      <c r="F67" s="20" t="s">
        <v>394</v>
      </c>
      <c r="G67" s="20" t="s">
        <v>395</v>
      </c>
      <c r="H67" s="2">
        <v>45359</v>
      </c>
      <c r="I67" s="2" t="s">
        <v>263</v>
      </c>
      <c r="J67" s="2" t="s">
        <v>263</v>
      </c>
      <c r="K67" s="21">
        <v>17</v>
      </c>
      <c r="L67" s="21">
        <v>504900</v>
      </c>
      <c r="M67" s="21">
        <v>0</v>
      </c>
      <c r="N67" s="21">
        <v>292</v>
      </c>
      <c r="O67" s="21">
        <v>33</v>
      </c>
      <c r="P67" s="21">
        <v>201244</v>
      </c>
      <c r="Q67" s="22">
        <v>344.60923076923075</v>
      </c>
      <c r="R67" s="22">
        <v>300</v>
      </c>
      <c r="S67" s="48">
        <v>0.1</v>
      </c>
      <c r="T67" s="23">
        <v>0</v>
      </c>
      <c r="U67" s="24">
        <v>0.39858189740542682</v>
      </c>
      <c r="V67" s="25">
        <v>0</v>
      </c>
      <c r="W67" s="26">
        <v>0.1</v>
      </c>
      <c r="X67" s="27">
        <v>0.11764705882352941</v>
      </c>
      <c r="Y67" s="25">
        <v>0</v>
      </c>
      <c r="Z67" s="24">
        <v>0.41176470588235292</v>
      </c>
      <c r="AA67" s="25">
        <v>0</v>
      </c>
      <c r="AB67" s="28">
        <v>0</v>
      </c>
      <c r="AC67" s="28">
        <v>0</v>
      </c>
      <c r="AD67" s="28">
        <v>0</v>
      </c>
      <c r="AE67" s="25">
        <v>0.09</v>
      </c>
      <c r="AF67" s="26">
        <v>0.09</v>
      </c>
      <c r="AG67" s="29">
        <v>0</v>
      </c>
      <c r="AH67" s="30">
        <v>0.85</v>
      </c>
      <c r="AI67" s="26">
        <v>0.05</v>
      </c>
      <c r="AJ67" s="21">
        <v>0</v>
      </c>
      <c r="AK67" s="21">
        <v>0</v>
      </c>
      <c r="AL67" s="26">
        <v>0.1</v>
      </c>
      <c r="AM67" s="24">
        <v>0.69</v>
      </c>
      <c r="AN67" s="24">
        <v>0.78846153846153844</v>
      </c>
      <c r="AO67" s="31">
        <v>0.08</v>
      </c>
      <c r="AP67" s="31">
        <v>0.03</v>
      </c>
      <c r="AQ67" s="24">
        <v>0.82</v>
      </c>
      <c r="AR67" s="27">
        <v>0.875</v>
      </c>
      <c r="AS67" s="26">
        <v>0.2</v>
      </c>
      <c r="AT67" s="26">
        <v>0.1</v>
      </c>
      <c r="AU67" s="24">
        <v>0.95593220338983054</v>
      </c>
      <c r="AV67" s="32">
        <v>1</v>
      </c>
      <c r="AW67" s="26">
        <v>0.05</v>
      </c>
      <c r="AX67" s="26">
        <v>0</v>
      </c>
      <c r="AY67" s="24">
        <v>0.73096774193548386</v>
      </c>
      <c r="AZ67" s="24">
        <v>0.6738351254480287</v>
      </c>
      <c r="BA67" s="31">
        <v>0</v>
      </c>
      <c r="BB67" s="33">
        <v>0.48</v>
      </c>
      <c r="BC67" s="21"/>
      <c r="BD67" s="26">
        <v>0.66999999999999993</v>
      </c>
      <c r="BE67" s="26">
        <v>0.13</v>
      </c>
      <c r="BF67" s="26">
        <v>0</v>
      </c>
      <c r="BG67" s="21"/>
      <c r="BH67" s="34">
        <v>0</v>
      </c>
      <c r="BI67" s="34">
        <v>0</v>
      </c>
      <c r="BJ67" s="34" t="s">
        <v>259</v>
      </c>
      <c r="BK67" s="34">
        <v>0</v>
      </c>
      <c r="BL67" s="21"/>
      <c r="BM67" s="35">
        <v>0.79999999999999993</v>
      </c>
    </row>
    <row r="68" spans="1:65" x14ac:dyDescent="0.25">
      <c r="A68" s="4" t="s">
        <v>63</v>
      </c>
      <c r="B68" s="4">
        <v>73823</v>
      </c>
      <c r="C68" s="4" t="s">
        <v>128</v>
      </c>
      <c r="D68" s="19" t="s">
        <v>267</v>
      </c>
      <c r="E68" s="20">
        <v>46392</v>
      </c>
      <c r="F68" s="20" t="s">
        <v>396</v>
      </c>
      <c r="G68" s="20" t="s">
        <v>397</v>
      </c>
      <c r="H68" s="2">
        <v>45359</v>
      </c>
      <c r="I68" s="2" t="s">
        <v>263</v>
      </c>
      <c r="J68" s="2" t="s">
        <v>263</v>
      </c>
      <c r="K68" s="21">
        <v>19</v>
      </c>
      <c r="L68" s="21">
        <v>564300</v>
      </c>
      <c r="M68" s="21">
        <v>0</v>
      </c>
      <c r="N68" s="21">
        <v>1027</v>
      </c>
      <c r="O68" s="21">
        <v>149</v>
      </c>
      <c r="P68" s="21">
        <v>466908</v>
      </c>
      <c r="Q68" s="22">
        <v>268.57908163265307</v>
      </c>
      <c r="R68" s="22">
        <v>314.57057823129253</v>
      </c>
      <c r="S68" s="23">
        <v>0.1</v>
      </c>
      <c r="T68" s="23">
        <v>0.05</v>
      </c>
      <c r="U68" s="24">
        <v>0.82741095162147793</v>
      </c>
      <c r="V68" s="25">
        <v>0.05</v>
      </c>
      <c r="W68" s="26">
        <v>0.15000000000000002</v>
      </c>
      <c r="X68" s="27">
        <v>0.15789473684210525</v>
      </c>
      <c r="Y68" s="25">
        <v>0</v>
      </c>
      <c r="Z68" s="24">
        <v>0.36842105263157893</v>
      </c>
      <c r="AA68" s="25">
        <v>0</v>
      </c>
      <c r="AB68" s="28">
        <v>0</v>
      </c>
      <c r="AC68" s="28">
        <v>0</v>
      </c>
      <c r="AD68" s="28">
        <v>0</v>
      </c>
      <c r="AE68" s="25">
        <v>0.09</v>
      </c>
      <c r="AF68" s="26">
        <v>0.09</v>
      </c>
      <c r="AG68" s="29" t="s">
        <v>729</v>
      </c>
      <c r="AH68" s="30">
        <v>0.9</v>
      </c>
      <c r="AI68" s="26">
        <v>0.1</v>
      </c>
      <c r="AJ68" s="21">
        <v>0</v>
      </c>
      <c r="AK68" s="21">
        <v>0</v>
      </c>
      <c r="AL68" s="26">
        <v>0.1</v>
      </c>
      <c r="AM68" s="24">
        <v>0.68487804878048775</v>
      </c>
      <c r="AN68" s="24">
        <v>0.72560975609756095</v>
      </c>
      <c r="AO68" s="31">
        <v>0.08</v>
      </c>
      <c r="AP68" s="31">
        <v>0.03</v>
      </c>
      <c r="AQ68" s="24">
        <v>0.81580645161290311</v>
      </c>
      <c r="AR68" s="27">
        <v>0.83870967741935487</v>
      </c>
      <c r="AS68" s="26">
        <v>0.2</v>
      </c>
      <c r="AT68" s="26">
        <v>0.04</v>
      </c>
      <c r="AU68" s="24">
        <v>0.96502835538752363</v>
      </c>
      <c r="AV68" s="32">
        <v>2</v>
      </c>
      <c r="AW68" s="26">
        <v>0.03</v>
      </c>
      <c r="AX68" s="26">
        <v>0</v>
      </c>
      <c r="AY68" s="24">
        <v>0.71305993690851732</v>
      </c>
      <c r="AZ68" s="24">
        <v>0.6855941114616193</v>
      </c>
      <c r="BA68" s="31">
        <v>0</v>
      </c>
      <c r="BB68" s="33">
        <v>0.51</v>
      </c>
      <c r="BC68" s="21"/>
      <c r="BD68" s="26">
        <v>0.75</v>
      </c>
      <c r="BE68" s="26">
        <v>0.12</v>
      </c>
      <c r="BF68" s="26" t="s">
        <v>729</v>
      </c>
      <c r="BG68" s="21"/>
      <c r="BH68" s="34">
        <v>0</v>
      </c>
      <c r="BI68" s="34">
        <v>0</v>
      </c>
      <c r="BJ68" s="34" t="s">
        <v>259</v>
      </c>
      <c r="BK68" s="34">
        <v>0</v>
      </c>
      <c r="BL68" s="21"/>
      <c r="BM68" s="35">
        <v>0.87</v>
      </c>
    </row>
    <row r="69" spans="1:65" x14ac:dyDescent="0.25">
      <c r="A69" s="4" t="s">
        <v>63</v>
      </c>
      <c r="B69" s="4">
        <v>73200</v>
      </c>
      <c r="C69" s="4" t="s">
        <v>129</v>
      </c>
      <c r="D69" s="19" t="s">
        <v>264</v>
      </c>
      <c r="E69" s="20">
        <v>46518</v>
      </c>
      <c r="F69" s="20" t="s">
        <v>398</v>
      </c>
      <c r="G69" s="20" t="s">
        <v>399</v>
      </c>
      <c r="H69" s="2">
        <v>45362</v>
      </c>
      <c r="I69" s="2" t="s">
        <v>263</v>
      </c>
      <c r="J69" s="2" t="s">
        <v>263</v>
      </c>
      <c r="K69" s="21">
        <v>18</v>
      </c>
      <c r="L69" s="21">
        <v>559800</v>
      </c>
      <c r="M69" s="21">
        <v>25200</v>
      </c>
      <c r="N69" s="21">
        <v>603</v>
      </c>
      <c r="O69" s="21">
        <v>19</v>
      </c>
      <c r="P69" s="21">
        <v>315633</v>
      </c>
      <c r="Q69" s="22">
        <v>332.89710610932474</v>
      </c>
      <c r="R69" s="22">
        <v>300</v>
      </c>
      <c r="S69" s="48">
        <v>0.1</v>
      </c>
      <c r="T69" s="23">
        <v>0</v>
      </c>
      <c r="U69" s="24">
        <v>0.59040965207631879</v>
      </c>
      <c r="V69" s="25">
        <v>0</v>
      </c>
      <c r="W69" s="26">
        <v>0.1</v>
      </c>
      <c r="X69" s="27">
        <v>0.1111111111111111</v>
      </c>
      <c r="Y69" s="25">
        <v>0</v>
      </c>
      <c r="Z69" s="24">
        <v>0.88888888888888884</v>
      </c>
      <c r="AA69" s="25">
        <v>0</v>
      </c>
      <c r="AB69" s="28">
        <v>0</v>
      </c>
      <c r="AC69" s="28">
        <v>0</v>
      </c>
      <c r="AD69" s="28">
        <v>0</v>
      </c>
      <c r="AE69" s="25">
        <v>0.09</v>
      </c>
      <c r="AF69" s="26">
        <v>0.09</v>
      </c>
      <c r="AG69" s="29">
        <v>0</v>
      </c>
      <c r="AH69" s="30">
        <v>0.92500000000000004</v>
      </c>
      <c r="AI69" s="26">
        <v>0.1</v>
      </c>
      <c r="AJ69" s="21">
        <v>0</v>
      </c>
      <c r="AK69" s="21">
        <v>0</v>
      </c>
      <c r="AL69" s="26">
        <v>0.1</v>
      </c>
      <c r="AM69" s="24">
        <v>0.67666666666666664</v>
      </c>
      <c r="AN69" s="24">
        <v>0.79761904761904767</v>
      </c>
      <c r="AO69" s="31">
        <v>0.08</v>
      </c>
      <c r="AP69" s="31">
        <v>0.03</v>
      </c>
      <c r="AQ69" s="24">
        <v>0.80683544303797461</v>
      </c>
      <c r="AR69" s="27">
        <v>0.86075949367088611</v>
      </c>
      <c r="AS69" s="26">
        <v>0.2</v>
      </c>
      <c r="AT69" s="26">
        <v>0.1</v>
      </c>
      <c r="AU69" s="24">
        <v>0.98228346456692917</v>
      </c>
      <c r="AV69" s="32">
        <v>1</v>
      </c>
      <c r="AW69" s="26">
        <v>0.05</v>
      </c>
      <c r="AX69" s="26">
        <v>0</v>
      </c>
      <c r="AY69" s="24">
        <v>0.68632860040567956</v>
      </c>
      <c r="AZ69" s="24">
        <v>0.6470588235294118</v>
      </c>
      <c r="BA69" s="31">
        <v>0</v>
      </c>
      <c r="BB69" s="33">
        <v>0.53</v>
      </c>
      <c r="BC69" s="21"/>
      <c r="BD69" s="26">
        <v>0.72</v>
      </c>
      <c r="BE69" s="26">
        <v>0.13</v>
      </c>
      <c r="BF69" s="26">
        <v>0</v>
      </c>
      <c r="BG69" s="21"/>
      <c r="BH69" s="34">
        <v>0</v>
      </c>
      <c r="BI69" s="34">
        <v>0</v>
      </c>
      <c r="BJ69" s="34" t="s">
        <v>259</v>
      </c>
      <c r="BK69" s="34">
        <v>0</v>
      </c>
      <c r="BL69" s="21"/>
      <c r="BM69" s="35">
        <v>0.85</v>
      </c>
    </row>
    <row r="70" spans="1:65" x14ac:dyDescent="0.25">
      <c r="A70" s="4" t="s">
        <v>63</v>
      </c>
      <c r="B70" s="4">
        <v>73717</v>
      </c>
      <c r="C70" s="4" t="s">
        <v>130</v>
      </c>
      <c r="D70" s="19" t="s">
        <v>314</v>
      </c>
      <c r="E70" s="20">
        <v>46520</v>
      </c>
      <c r="F70" s="20" t="s">
        <v>400</v>
      </c>
      <c r="G70" s="20" t="s">
        <v>401</v>
      </c>
      <c r="H70" s="2">
        <v>45362</v>
      </c>
      <c r="I70" s="2" t="s">
        <v>263</v>
      </c>
      <c r="J70" s="2" t="s">
        <v>263</v>
      </c>
      <c r="K70" s="21">
        <v>15</v>
      </c>
      <c r="L70" s="21">
        <v>445500</v>
      </c>
      <c r="M70" s="21">
        <v>0</v>
      </c>
      <c r="N70" s="21">
        <v>457</v>
      </c>
      <c r="O70" s="21">
        <v>12</v>
      </c>
      <c r="P70" s="21">
        <v>349191</v>
      </c>
      <c r="Q70" s="22">
        <v>480.7761194029851</v>
      </c>
      <c r="R70" s="22">
        <v>300</v>
      </c>
      <c r="S70" s="48">
        <v>0.1</v>
      </c>
      <c r="T70" s="23">
        <v>0</v>
      </c>
      <c r="U70" s="24">
        <v>0.78381818181818186</v>
      </c>
      <c r="V70" s="25">
        <v>0.05</v>
      </c>
      <c r="W70" s="26">
        <v>0.15000000000000002</v>
      </c>
      <c r="X70" s="27">
        <v>6.6666666666666666E-2</v>
      </c>
      <c r="Y70" s="25">
        <v>0</v>
      </c>
      <c r="Z70" s="24">
        <v>0.8666666666666667</v>
      </c>
      <c r="AA70" s="25">
        <v>0</v>
      </c>
      <c r="AB70" s="28">
        <v>0</v>
      </c>
      <c r="AC70" s="28">
        <v>0</v>
      </c>
      <c r="AD70" s="28">
        <v>1</v>
      </c>
      <c r="AE70" s="25">
        <v>0.04</v>
      </c>
      <c r="AF70" s="26">
        <v>0.04</v>
      </c>
      <c r="AG70" s="29">
        <v>0</v>
      </c>
      <c r="AH70" s="30">
        <v>0.88500000000000001</v>
      </c>
      <c r="AI70" s="26">
        <v>0.05</v>
      </c>
      <c r="AJ70" s="21">
        <v>0</v>
      </c>
      <c r="AK70" s="21">
        <v>0</v>
      </c>
      <c r="AL70" s="26">
        <v>0.1</v>
      </c>
      <c r="AM70" s="24">
        <v>0.67144578313253001</v>
      </c>
      <c r="AN70" s="24">
        <v>0.85542168674698793</v>
      </c>
      <c r="AO70" s="31">
        <v>0.08</v>
      </c>
      <c r="AP70" s="31">
        <v>0.03</v>
      </c>
      <c r="AQ70" s="24">
        <v>0.80395061728395067</v>
      </c>
      <c r="AR70" s="27">
        <v>0.88888888888888884</v>
      </c>
      <c r="AS70" s="26">
        <v>0.2</v>
      </c>
      <c r="AT70" s="26">
        <v>0.1</v>
      </c>
      <c r="AU70" s="24">
        <v>0.98195876288659789</v>
      </c>
      <c r="AV70" s="32">
        <v>0</v>
      </c>
      <c r="AW70" s="26">
        <v>0.05</v>
      </c>
      <c r="AX70" s="26">
        <v>0.02</v>
      </c>
      <c r="AY70" s="24">
        <v>0.68447643979057604</v>
      </c>
      <c r="AZ70" s="24">
        <v>0.68586387434554974</v>
      </c>
      <c r="BA70" s="31">
        <v>0.1</v>
      </c>
      <c r="BB70" s="33">
        <v>0.57999999999999996</v>
      </c>
      <c r="BC70" s="21"/>
      <c r="BD70" s="26">
        <v>0.77</v>
      </c>
      <c r="BE70" s="26">
        <v>0.15000000000000002</v>
      </c>
      <c r="BF70" s="26">
        <v>0</v>
      </c>
      <c r="BG70" s="21"/>
      <c r="BH70" s="34">
        <v>0</v>
      </c>
      <c r="BI70" s="34">
        <v>0</v>
      </c>
      <c r="BJ70" s="34" t="s">
        <v>259</v>
      </c>
      <c r="BK70" s="34">
        <v>0</v>
      </c>
      <c r="BL70" s="21"/>
      <c r="BM70" s="35">
        <v>0.92</v>
      </c>
    </row>
    <row r="71" spans="1:65" x14ac:dyDescent="0.25">
      <c r="A71" s="4" t="s">
        <v>63</v>
      </c>
      <c r="B71" s="4">
        <v>71763</v>
      </c>
      <c r="C71" s="4" t="s">
        <v>131</v>
      </c>
      <c r="D71" s="19" t="s">
        <v>270</v>
      </c>
      <c r="E71" s="20">
        <v>46387</v>
      </c>
      <c r="F71" s="20" t="s">
        <v>402</v>
      </c>
      <c r="G71" s="20" t="s">
        <v>403</v>
      </c>
      <c r="H71" s="2">
        <v>45359</v>
      </c>
      <c r="I71" s="2" t="s">
        <v>263</v>
      </c>
      <c r="J71" s="2" t="s">
        <v>263</v>
      </c>
      <c r="K71" s="21">
        <v>19</v>
      </c>
      <c r="L71" s="21">
        <v>582300</v>
      </c>
      <c r="M71" s="21">
        <v>18000</v>
      </c>
      <c r="N71" s="21">
        <v>447</v>
      </c>
      <c r="O71" s="21">
        <v>38</v>
      </c>
      <c r="P71" s="21">
        <v>307135</v>
      </c>
      <c r="Q71" s="22">
        <v>471.55463917525771</v>
      </c>
      <c r="R71" s="22">
        <v>300</v>
      </c>
      <c r="S71" s="48">
        <v>0.1</v>
      </c>
      <c r="T71" s="23">
        <v>0</v>
      </c>
      <c r="U71" s="24">
        <v>0.54427609427609425</v>
      </c>
      <c r="V71" s="25">
        <v>0</v>
      </c>
      <c r="W71" s="26">
        <v>0.1</v>
      </c>
      <c r="X71" s="27">
        <v>5.2631578947368418E-2</v>
      </c>
      <c r="Y71" s="25">
        <v>0</v>
      </c>
      <c r="Z71" s="24">
        <v>0.73684210526315785</v>
      </c>
      <c r="AA71" s="25">
        <v>0</v>
      </c>
      <c r="AB71" s="28">
        <v>0</v>
      </c>
      <c r="AC71" s="28">
        <v>0</v>
      </c>
      <c r="AD71" s="28">
        <v>0</v>
      </c>
      <c r="AE71" s="25">
        <v>0.09</v>
      </c>
      <c r="AF71" s="26">
        <v>0.09</v>
      </c>
      <c r="AG71" s="29">
        <v>0</v>
      </c>
      <c r="AH71" s="30">
        <v>1</v>
      </c>
      <c r="AI71" s="26">
        <v>0.1</v>
      </c>
      <c r="AJ71" s="21">
        <v>0</v>
      </c>
      <c r="AK71" s="21">
        <v>0</v>
      </c>
      <c r="AL71" s="26">
        <v>0.1</v>
      </c>
      <c r="AM71" s="24">
        <v>0.68333333333333335</v>
      </c>
      <c r="AN71" s="24">
        <v>0.77380952380952384</v>
      </c>
      <c r="AO71" s="31">
        <v>0.08</v>
      </c>
      <c r="AP71" s="31">
        <v>0.03</v>
      </c>
      <c r="AQ71" s="24">
        <v>0.8135</v>
      </c>
      <c r="AR71" s="27">
        <v>0.83750000000000002</v>
      </c>
      <c r="AS71" s="26">
        <v>0</v>
      </c>
      <c r="AT71" s="26">
        <v>0</v>
      </c>
      <c r="AU71" s="24">
        <v>0.93064876957494402</v>
      </c>
      <c r="AV71" s="32">
        <v>1</v>
      </c>
      <c r="AW71" s="26">
        <v>0.05</v>
      </c>
      <c r="AX71" s="26">
        <v>0</v>
      </c>
      <c r="AY71" s="24">
        <v>0.71319148936170218</v>
      </c>
      <c r="AZ71" s="24">
        <v>0.68557919621749408</v>
      </c>
      <c r="BA71" s="31">
        <v>0</v>
      </c>
      <c r="BB71" s="33">
        <v>0.33</v>
      </c>
      <c r="BC71" s="21"/>
      <c r="BD71" s="26">
        <v>0.52</v>
      </c>
      <c r="BE71" s="26">
        <v>0.03</v>
      </c>
      <c r="BF71" s="26">
        <v>0</v>
      </c>
      <c r="BG71" s="21"/>
      <c r="BH71" s="34">
        <v>0</v>
      </c>
      <c r="BI71" s="34">
        <v>0</v>
      </c>
      <c r="BJ71" s="34" t="s">
        <v>259</v>
      </c>
      <c r="BK71" s="34">
        <v>0</v>
      </c>
      <c r="BL71" s="21"/>
      <c r="BM71" s="35">
        <v>0.55000000000000004</v>
      </c>
    </row>
    <row r="72" spans="1:65" x14ac:dyDescent="0.25">
      <c r="A72" s="4" t="s">
        <v>63</v>
      </c>
      <c r="B72" s="4">
        <v>75112</v>
      </c>
      <c r="C72" s="4" t="s">
        <v>132</v>
      </c>
      <c r="D72" s="19" t="s">
        <v>282</v>
      </c>
      <c r="E72" s="20">
        <v>47966</v>
      </c>
      <c r="F72" s="20" t="s">
        <v>404</v>
      </c>
      <c r="G72" s="20" t="s">
        <v>405</v>
      </c>
      <c r="H72" s="2">
        <v>45569</v>
      </c>
      <c r="I72" s="2" t="s">
        <v>263</v>
      </c>
      <c r="J72" s="2" t="s">
        <v>263</v>
      </c>
      <c r="K72" s="21">
        <v>13</v>
      </c>
      <c r="L72" s="21">
        <v>386100</v>
      </c>
      <c r="M72" s="21">
        <v>2400</v>
      </c>
      <c r="N72" s="21">
        <v>240</v>
      </c>
      <c r="O72" s="21">
        <v>0</v>
      </c>
      <c r="P72" s="21">
        <v>185286</v>
      </c>
      <c r="Q72" s="22">
        <v>296.72500000000002</v>
      </c>
      <c r="R72" s="22">
        <v>300</v>
      </c>
      <c r="S72" s="23">
        <v>0.1</v>
      </c>
      <c r="T72" s="23">
        <v>0.03</v>
      </c>
      <c r="U72" s="24">
        <v>0.48289288506645817</v>
      </c>
      <c r="V72" s="25">
        <v>0</v>
      </c>
      <c r="W72" s="26">
        <v>0.1</v>
      </c>
      <c r="X72" s="27">
        <v>0</v>
      </c>
      <c r="Y72" s="25">
        <v>0</v>
      </c>
      <c r="Z72" s="24">
        <v>0.38461538461538464</v>
      </c>
      <c r="AA72" s="25">
        <v>0</v>
      </c>
      <c r="AB72" s="28">
        <v>0</v>
      </c>
      <c r="AC72" s="28">
        <v>0</v>
      </c>
      <c r="AD72" s="28">
        <v>1</v>
      </c>
      <c r="AE72" s="25">
        <v>0.04</v>
      </c>
      <c r="AF72" s="26">
        <v>0.04</v>
      </c>
      <c r="AG72" s="29" t="s">
        <v>729</v>
      </c>
      <c r="AH72" s="30">
        <v>0.92500000000000004</v>
      </c>
      <c r="AI72" s="26">
        <v>0.1</v>
      </c>
      <c r="AJ72" s="21">
        <v>0</v>
      </c>
      <c r="AK72" s="21">
        <v>0</v>
      </c>
      <c r="AL72" s="26">
        <v>0.1</v>
      </c>
      <c r="AM72" s="24">
        <v>0.69</v>
      </c>
      <c r="AN72" s="24">
        <v>0.75</v>
      </c>
      <c r="AO72" s="31">
        <v>0.08</v>
      </c>
      <c r="AP72" s="31">
        <v>0.03</v>
      </c>
      <c r="AQ72" s="24">
        <v>0.82</v>
      </c>
      <c r="AR72" s="27">
        <v>0.70967741935483875</v>
      </c>
      <c r="AS72" s="26">
        <v>0</v>
      </c>
      <c r="AT72" s="26">
        <v>0</v>
      </c>
      <c r="AU72" s="24">
        <v>0.91044776119402981</v>
      </c>
      <c r="AV72" s="32">
        <v>0</v>
      </c>
      <c r="AW72" s="26">
        <v>0.05</v>
      </c>
      <c r="AX72" s="26">
        <v>0.02</v>
      </c>
      <c r="AY72" s="24">
        <v>0.73539473684210532</v>
      </c>
      <c r="AZ72" s="24">
        <v>0.77631578947368418</v>
      </c>
      <c r="BA72" s="31">
        <v>0.1</v>
      </c>
      <c r="BB72" s="33">
        <v>0.43000000000000005</v>
      </c>
      <c r="BC72" s="21"/>
      <c r="BD72" s="26">
        <v>0.57000000000000006</v>
      </c>
      <c r="BE72" s="26">
        <v>0.08</v>
      </c>
      <c r="BF72" s="26" t="s">
        <v>729</v>
      </c>
      <c r="BG72" s="21"/>
      <c r="BH72" s="34">
        <v>0</v>
      </c>
      <c r="BI72" s="34">
        <v>0</v>
      </c>
      <c r="BJ72" s="34" t="s">
        <v>259</v>
      </c>
      <c r="BK72" s="34">
        <v>0</v>
      </c>
      <c r="BL72" s="21"/>
      <c r="BM72" s="35">
        <v>0.65</v>
      </c>
    </row>
    <row r="73" spans="1:65" x14ac:dyDescent="0.25">
      <c r="A73" s="4" t="s">
        <v>63</v>
      </c>
      <c r="B73" s="4">
        <v>72108</v>
      </c>
      <c r="C73" s="4" t="s">
        <v>133</v>
      </c>
      <c r="D73" s="19" t="s">
        <v>255</v>
      </c>
      <c r="E73" s="20">
        <v>400254</v>
      </c>
      <c r="F73" s="20" t="s">
        <v>406</v>
      </c>
      <c r="G73" s="20" t="s">
        <v>407</v>
      </c>
      <c r="H73" s="2">
        <v>45786</v>
      </c>
      <c r="I73" s="2" t="s">
        <v>258</v>
      </c>
      <c r="J73" s="2" t="s">
        <v>258</v>
      </c>
      <c r="K73" s="21">
        <v>20</v>
      </c>
      <c r="L73" s="21">
        <v>604800</v>
      </c>
      <c r="M73" s="21">
        <v>10800</v>
      </c>
      <c r="N73" s="21">
        <v>701</v>
      </c>
      <c r="O73" s="21">
        <v>0</v>
      </c>
      <c r="P73" s="21">
        <v>549988</v>
      </c>
      <c r="Q73" s="22">
        <v>487.44079885877318</v>
      </c>
      <c r="R73" s="22">
        <v>300</v>
      </c>
      <c r="S73" s="23">
        <v>0</v>
      </c>
      <c r="T73" s="23">
        <v>0</v>
      </c>
      <c r="U73" s="24">
        <v>0.9259057239057239</v>
      </c>
      <c r="V73" s="25">
        <v>0.1</v>
      </c>
      <c r="W73" s="26">
        <v>0.1</v>
      </c>
      <c r="X73" s="27">
        <v>0.75</v>
      </c>
      <c r="Y73" s="25">
        <v>0</v>
      </c>
      <c r="Z73" s="24">
        <v>0.9</v>
      </c>
      <c r="AA73" s="25">
        <v>0</v>
      </c>
      <c r="AB73" s="28">
        <v>0</v>
      </c>
      <c r="AC73" s="28">
        <v>0</v>
      </c>
      <c r="AD73" s="28">
        <v>0</v>
      </c>
      <c r="AE73" s="25">
        <v>0.09</v>
      </c>
      <c r="AF73" s="26">
        <v>0.09</v>
      </c>
      <c r="AG73" s="29" t="s">
        <v>729</v>
      </c>
      <c r="AH73" s="30">
        <v>0.92999999999999994</v>
      </c>
      <c r="AI73" s="26">
        <v>0.1</v>
      </c>
      <c r="AJ73" s="21">
        <v>0</v>
      </c>
      <c r="AK73" s="21">
        <v>0</v>
      </c>
      <c r="AL73" s="26">
        <v>0.1</v>
      </c>
      <c r="AM73" s="24">
        <v>0.69</v>
      </c>
      <c r="AN73" s="24">
        <v>0.71951219512195119</v>
      </c>
      <c r="AO73" s="31">
        <v>0.08</v>
      </c>
      <c r="AP73" s="31">
        <v>0.03</v>
      </c>
      <c r="AQ73" s="24">
        <v>0.82</v>
      </c>
      <c r="AR73" s="27">
        <v>0.80769230769230771</v>
      </c>
      <c r="AS73" s="26">
        <v>0.125</v>
      </c>
      <c r="AT73" s="26">
        <v>0</v>
      </c>
      <c r="AU73" s="24">
        <v>0.9700176366843033</v>
      </c>
      <c r="AV73" s="32">
        <v>3</v>
      </c>
      <c r="AW73" s="26">
        <v>0.01</v>
      </c>
      <c r="AX73" s="26">
        <v>0</v>
      </c>
      <c r="AY73" s="24">
        <v>0.74</v>
      </c>
      <c r="AZ73" s="24">
        <v>0.77737226277372262</v>
      </c>
      <c r="BA73" s="31">
        <v>0.1</v>
      </c>
      <c r="BB73" s="33">
        <v>0.51500000000000001</v>
      </c>
      <c r="BC73" s="21"/>
      <c r="BD73" s="26">
        <v>0.70499999999999996</v>
      </c>
      <c r="BE73" s="26">
        <v>0.03</v>
      </c>
      <c r="BF73" s="26" t="s">
        <v>729</v>
      </c>
      <c r="BG73" s="21"/>
      <c r="BH73" s="34">
        <v>0</v>
      </c>
      <c r="BI73" s="34">
        <v>0</v>
      </c>
      <c r="BJ73" s="34" t="s">
        <v>259</v>
      </c>
      <c r="BK73" s="34">
        <v>0</v>
      </c>
      <c r="BL73" s="21"/>
      <c r="BM73" s="35">
        <v>0.73499999999999999</v>
      </c>
    </row>
    <row r="74" spans="1:65" x14ac:dyDescent="0.25">
      <c r="A74" s="4" t="s">
        <v>63</v>
      </c>
      <c r="B74" s="4">
        <v>72852</v>
      </c>
      <c r="C74" s="4" t="s">
        <v>134</v>
      </c>
      <c r="D74" s="19" t="s">
        <v>267</v>
      </c>
      <c r="E74" s="20">
        <v>48038</v>
      </c>
      <c r="F74" s="20" t="s">
        <v>408</v>
      </c>
      <c r="G74" s="20" t="s">
        <v>409</v>
      </c>
      <c r="H74" s="2">
        <v>45602</v>
      </c>
      <c r="I74" s="2" t="s">
        <v>263</v>
      </c>
      <c r="J74" s="2" t="s">
        <v>263</v>
      </c>
      <c r="K74" s="21">
        <v>19</v>
      </c>
      <c r="L74" s="21">
        <v>582300</v>
      </c>
      <c r="M74" s="21">
        <v>24180</v>
      </c>
      <c r="N74" s="21">
        <v>987</v>
      </c>
      <c r="O74" s="21">
        <v>0</v>
      </c>
      <c r="P74" s="21">
        <v>444500</v>
      </c>
      <c r="Q74" s="22">
        <v>308.35562310030394</v>
      </c>
      <c r="R74" s="22">
        <v>300</v>
      </c>
      <c r="S74" s="23">
        <v>0</v>
      </c>
      <c r="T74" s="23">
        <v>0</v>
      </c>
      <c r="U74" s="24">
        <v>0.79642370816311903</v>
      </c>
      <c r="V74" s="25">
        <v>0.05</v>
      </c>
      <c r="W74" s="26">
        <v>0.05</v>
      </c>
      <c r="X74" s="27">
        <v>5.2631578947368418E-2</v>
      </c>
      <c r="Y74" s="25">
        <v>0</v>
      </c>
      <c r="Z74" s="24">
        <v>0.84210526315789469</v>
      </c>
      <c r="AA74" s="25">
        <v>0</v>
      </c>
      <c r="AB74" s="28">
        <v>0</v>
      </c>
      <c r="AC74" s="28">
        <v>0</v>
      </c>
      <c r="AD74" s="28">
        <v>0</v>
      </c>
      <c r="AE74" s="25">
        <v>0.09</v>
      </c>
      <c r="AF74" s="26">
        <v>0.09</v>
      </c>
      <c r="AG74" s="29" t="s">
        <v>729</v>
      </c>
      <c r="AH74" s="30">
        <v>1</v>
      </c>
      <c r="AI74" s="26">
        <v>0.1</v>
      </c>
      <c r="AJ74" s="21">
        <v>0</v>
      </c>
      <c r="AK74" s="21">
        <v>0</v>
      </c>
      <c r="AL74" s="26">
        <v>0.1</v>
      </c>
      <c r="AM74" s="24">
        <v>0.68124999999999991</v>
      </c>
      <c r="AN74" s="24">
        <v>0.71527777777777779</v>
      </c>
      <c r="AO74" s="31">
        <v>0.08</v>
      </c>
      <c r="AP74" s="31">
        <v>0.03</v>
      </c>
      <c r="AQ74" s="24">
        <v>0.81145985401459841</v>
      </c>
      <c r="AR74" s="27">
        <v>0.83211678832116787</v>
      </c>
      <c r="AS74" s="26">
        <v>0.2</v>
      </c>
      <c r="AT74" s="26">
        <v>0.04</v>
      </c>
      <c r="AU74" s="24">
        <v>0.97606093579978237</v>
      </c>
      <c r="AV74" s="32">
        <v>1</v>
      </c>
      <c r="AW74" s="26">
        <v>0.05</v>
      </c>
      <c r="AX74" s="26">
        <v>0</v>
      </c>
      <c r="AY74" s="24">
        <v>0.70299459459459457</v>
      </c>
      <c r="AZ74" s="24">
        <v>0.72864864864864864</v>
      </c>
      <c r="BA74" s="31">
        <v>0.1</v>
      </c>
      <c r="BB74" s="33">
        <v>0.63</v>
      </c>
      <c r="BC74" s="21"/>
      <c r="BD74" s="26">
        <v>0.77</v>
      </c>
      <c r="BE74" s="26">
        <v>7.0000000000000007E-2</v>
      </c>
      <c r="BF74" s="26" t="s">
        <v>729</v>
      </c>
      <c r="BG74" s="21"/>
      <c r="BH74" s="34">
        <v>0</v>
      </c>
      <c r="BI74" s="34">
        <v>0</v>
      </c>
      <c r="BJ74" s="34" t="s">
        <v>259</v>
      </c>
      <c r="BK74" s="34">
        <v>0</v>
      </c>
      <c r="BL74" s="21"/>
      <c r="BM74" s="35">
        <v>0.84000000000000008</v>
      </c>
    </row>
    <row r="75" spans="1:65" x14ac:dyDescent="0.25">
      <c r="A75" s="4" t="s">
        <v>63</v>
      </c>
      <c r="B75" s="4">
        <v>73344</v>
      </c>
      <c r="C75" s="4" t="s">
        <v>135</v>
      </c>
      <c r="D75" s="19" t="s">
        <v>273</v>
      </c>
      <c r="E75" s="20">
        <v>47318</v>
      </c>
      <c r="F75" s="20" t="s">
        <v>410</v>
      </c>
      <c r="G75" s="20" t="s">
        <v>411</v>
      </c>
      <c r="H75" s="2">
        <v>45525</v>
      </c>
      <c r="I75" s="2" t="s">
        <v>263</v>
      </c>
      <c r="J75" s="2" t="s">
        <v>263</v>
      </c>
      <c r="K75" s="21">
        <v>13</v>
      </c>
      <c r="L75" s="21">
        <v>386100</v>
      </c>
      <c r="M75" s="21">
        <v>0</v>
      </c>
      <c r="N75" s="21">
        <v>872</v>
      </c>
      <c r="O75" s="21">
        <v>21</v>
      </c>
      <c r="P75" s="21">
        <v>354679</v>
      </c>
      <c r="Q75" s="22">
        <v>279.20716685330348</v>
      </c>
      <c r="R75" s="22">
        <v>300</v>
      </c>
      <c r="S75" s="23">
        <v>0.1</v>
      </c>
      <c r="T75" s="23">
        <v>0.05</v>
      </c>
      <c r="U75" s="24">
        <v>0.91861952861952867</v>
      </c>
      <c r="V75" s="25">
        <v>0.1</v>
      </c>
      <c r="W75" s="26">
        <v>0.2</v>
      </c>
      <c r="X75" s="27">
        <v>0.92307692307692313</v>
      </c>
      <c r="Y75" s="25">
        <v>0</v>
      </c>
      <c r="Z75" s="24">
        <v>0.84615384615384615</v>
      </c>
      <c r="AA75" s="25">
        <v>0</v>
      </c>
      <c r="AB75" s="28">
        <v>0</v>
      </c>
      <c r="AC75" s="28">
        <v>0</v>
      </c>
      <c r="AD75" s="28">
        <v>0</v>
      </c>
      <c r="AE75" s="25">
        <v>0.09</v>
      </c>
      <c r="AF75" s="26">
        <v>0.09</v>
      </c>
      <c r="AG75" s="29" t="s">
        <v>729</v>
      </c>
      <c r="AH75" s="30">
        <v>1</v>
      </c>
      <c r="AI75" s="26">
        <v>0.1</v>
      </c>
      <c r="AJ75" s="21">
        <v>0</v>
      </c>
      <c r="AK75" s="21">
        <v>0</v>
      </c>
      <c r="AL75" s="26">
        <v>0.1</v>
      </c>
      <c r="AM75" s="24">
        <v>0.68391304347826076</v>
      </c>
      <c r="AN75" s="24">
        <v>0.77391304347826084</v>
      </c>
      <c r="AO75" s="31">
        <v>0.08</v>
      </c>
      <c r="AP75" s="31">
        <v>0.03</v>
      </c>
      <c r="AQ75" s="24">
        <v>0.81409090909090909</v>
      </c>
      <c r="AR75" s="27">
        <v>0.8545454545454545</v>
      </c>
      <c r="AS75" s="26">
        <v>0</v>
      </c>
      <c r="AT75" s="26">
        <v>0</v>
      </c>
      <c r="AU75" s="24">
        <v>0.94355828220858895</v>
      </c>
      <c r="AV75" s="32">
        <v>5</v>
      </c>
      <c r="AW75" s="26">
        <v>0</v>
      </c>
      <c r="AX75" s="26">
        <v>0</v>
      </c>
      <c r="AY75" s="24">
        <v>0.71467336683417082</v>
      </c>
      <c r="AZ75" s="24">
        <v>0.6959798994974874</v>
      </c>
      <c r="BA75" s="31">
        <v>0.05</v>
      </c>
      <c r="BB75" s="33">
        <v>0.33</v>
      </c>
      <c r="BC75" s="21"/>
      <c r="BD75" s="26">
        <v>0.62000000000000011</v>
      </c>
      <c r="BE75" s="26">
        <v>0.08</v>
      </c>
      <c r="BF75" s="26" t="s">
        <v>729</v>
      </c>
      <c r="BG75" s="21"/>
      <c r="BH75" s="34">
        <v>0</v>
      </c>
      <c r="BI75" s="34">
        <v>0.01</v>
      </c>
      <c r="BJ75" s="34" t="s">
        <v>259</v>
      </c>
      <c r="BK75" s="34">
        <v>0.01</v>
      </c>
      <c r="BL75" s="21"/>
      <c r="BM75" s="35">
        <v>0.69000000000000006</v>
      </c>
    </row>
    <row r="76" spans="1:65" x14ac:dyDescent="0.25">
      <c r="A76" s="4" t="s">
        <v>63</v>
      </c>
      <c r="B76" s="4">
        <v>73329</v>
      </c>
      <c r="C76" s="4" t="s">
        <v>136</v>
      </c>
      <c r="D76" s="19" t="s">
        <v>314</v>
      </c>
      <c r="E76" s="20">
        <v>47360</v>
      </c>
      <c r="F76" s="20" t="s">
        <v>412</v>
      </c>
      <c r="G76" s="20" t="s">
        <v>413</v>
      </c>
      <c r="H76" s="2">
        <v>45525</v>
      </c>
      <c r="I76" s="2" t="s">
        <v>263</v>
      </c>
      <c r="J76" s="2" t="s">
        <v>263</v>
      </c>
      <c r="K76" s="21">
        <v>11</v>
      </c>
      <c r="L76" s="21">
        <v>341100</v>
      </c>
      <c r="M76" s="21">
        <v>21600</v>
      </c>
      <c r="N76" s="21">
        <v>191</v>
      </c>
      <c r="O76" s="21">
        <v>0</v>
      </c>
      <c r="P76" s="21">
        <v>161224</v>
      </c>
      <c r="Q76" s="22">
        <v>565.53926701570686</v>
      </c>
      <c r="R76" s="22">
        <v>300</v>
      </c>
      <c r="S76" s="48">
        <v>0.1</v>
      </c>
      <c r="T76" s="23">
        <v>0</v>
      </c>
      <c r="U76" s="24">
        <v>0.50461345852895145</v>
      </c>
      <c r="V76" s="25">
        <v>0</v>
      </c>
      <c r="W76" s="26">
        <v>0.1</v>
      </c>
      <c r="X76" s="27">
        <v>0.72727272727272729</v>
      </c>
      <c r="Y76" s="25">
        <v>0</v>
      </c>
      <c r="Z76" s="24">
        <v>0.81818181818181823</v>
      </c>
      <c r="AA76" s="25">
        <v>0</v>
      </c>
      <c r="AB76" s="28">
        <v>0</v>
      </c>
      <c r="AC76" s="28">
        <v>0</v>
      </c>
      <c r="AD76" s="28">
        <v>0</v>
      </c>
      <c r="AE76" s="25">
        <v>0.09</v>
      </c>
      <c r="AF76" s="26">
        <v>0.09</v>
      </c>
      <c r="AG76" s="29">
        <v>0.1</v>
      </c>
      <c r="AH76" s="30">
        <v>1</v>
      </c>
      <c r="AI76" s="26">
        <v>0.1</v>
      </c>
      <c r="AJ76" s="21">
        <v>0</v>
      </c>
      <c r="AK76" s="21">
        <v>0</v>
      </c>
      <c r="AL76" s="26">
        <v>0.1</v>
      </c>
      <c r="AM76" s="24">
        <v>0.67999999999999994</v>
      </c>
      <c r="AN76" s="24">
        <v>0.8571428571428571</v>
      </c>
      <c r="AO76" s="31">
        <v>0.08</v>
      </c>
      <c r="AP76" s="31">
        <v>0.03</v>
      </c>
      <c r="AQ76" s="24">
        <v>0.81434782608695655</v>
      </c>
      <c r="AR76" s="27">
        <v>0.95652173913043481</v>
      </c>
      <c r="AS76" s="26">
        <v>0.2</v>
      </c>
      <c r="AT76" s="26">
        <v>0.1</v>
      </c>
      <c r="AU76" s="24">
        <v>0.99375000000000002</v>
      </c>
      <c r="AV76" s="32">
        <v>0</v>
      </c>
      <c r="AW76" s="26">
        <v>0.05</v>
      </c>
      <c r="AX76" s="26">
        <v>0.02</v>
      </c>
      <c r="AY76" s="24">
        <v>0.71243749999999995</v>
      </c>
      <c r="AZ76" s="24">
        <v>0.76249999999999996</v>
      </c>
      <c r="BA76" s="31">
        <v>0.1</v>
      </c>
      <c r="BB76" s="33">
        <v>0.63</v>
      </c>
      <c r="BC76" s="21"/>
      <c r="BD76" s="26">
        <v>0.82</v>
      </c>
      <c r="BE76" s="26">
        <v>0.15000000000000002</v>
      </c>
      <c r="BF76" s="26">
        <v>0.1</v>
      </c>
      <c r="BG76" s="21"/>
      <c r="BH76" s="34">
        <v>0</v>
      </c>
      <c r="BI76" s="34">
        <v>0</v>
      </c>
      <c r="BJ76" s="34" t="s">
        <v>259</v>
      </c>
      <c r="BK76" s="34">
        <v>0</v>
      </c>
      <c r="BL76" s="21"/>
      <c r="BM76" s="35">
        <v>1.07</v>
      </c>
    </row>
    <row r="77" spans="1:65" x14ac:dyDescent="0.25">
      <c r="A77" s="4" t="s">
        <v>63</v>
      </c>
      <c r="B77" s="4">
        <v>72655</v>
      </c>
      <c r="C77" s="4" t="s">
        <v>137</v>
      </c>
      <c r="D77" s="19" t="s">
        <v>264</v>
      </c>
      <c r="E77" s="20">
        <v>47319</v>
      </c>
      <c r="F77" s="20" t="s">
        <v>414</v>
      </c>
      <c r="G77" s="20" t="s">
        <v>415</v>
      </c>
      <c r="H77" s="2">
        <v>45525</v>
      </c>
      <c r="I77" s="2" t="s">
        <v>263</v>
      </c>
      <c r="J77" s="2" t="s">
        <v>263</v>
      </c>
      <c r="K77" s="21">
        <v>16</v>
      </c>
      <c r="L77" s="21">
        <v>478800</v>
      </c>
      <c r="M77" s="21">
        <v>3600</v>
      </c>
      <c r="N77" s="21">
        <v>819</v>
      </c>
      <c r="O77" s="21">
        <v>0</v>
      </c>
      <c r="P77" s="21">
        <v>343835</v>
      </c>
      <c r="Q77" s="22">
        <v>320.43956043956047</v>
      </c>
      <c r="R77" s="22">
        <v>300</v>
      </c>
      <c r="S77" s="23">
        <v>0</v>
      </c>
      <c r="T77" s="23">
        <v>0</v>
      </c>
      <c r="U77" s="24">
        <v>0.72355850168350166</v>
      </c>
      <c r="V77" s="25">
        <v>0</v>
      </c>
      <c r="W77" s="26">
        <v>0</v>
      </c>
      <c r="X77" s="27">
        <v>0</v>
      </c>
      <c r="Y77" s="25">
        <v>0</v>
      </c>
      <c r="Z77" s="24">
        <v>0.5625</v>
      </c>
      <c r="AA77" s="25">
        <v>0</v>
      </c>
      <c r="AB77" s="28">
        <v>1</v>
      </c>
      <c r="AC77" s="28">
        <v>1</v>
      </c>
      <c r="AD77" s="28">
        <v>0</v>
      </c>
      <c r="AE77" s="25">
        <v>0</v>
      </c>
      <c r="AF77" s="26">
        <v>0</v>
      </c>
      <c r="AG77" s="29" t="s">
        <v>729</v>
      </c>
      <c r="AH77" s="30">
        <v>0.9</v>
      </c>
      <c r="AI77" s="26">
        <v>0.1</v>
      </c>
      <c r="AJ77" s="21">
        <v>0</v>
      </c>
      <c r="AK77" s="21">
        <v>0</v>
      </c>
      <c r="AL77" s="26">
        <v>0.1</v>
      </c>
      <c r="AM77" s="24">
        <v>0.67285714285714282</v>
      </c>
      <c r="AN77" s="24">
        <v>0.65306122448979587</v>
      </c>
      <c r="AO77" s="31">
        <v>0.06</v>
      </c>
      <c r="AP77" s="31">
        <v>0</v>
      </c>
      <c r="AQ77" s="24">
        <v>0.80645833333333339</v>
      </c>
      <c r="AR77" s="27">
        <v>0.78125</v>
      </c>
      <c r="AS77" s="26">
        <v>7.4999999999999997E-2</v>
      </c>
      <c r="AT77" s="26">
        <v>0</v>
      </c>
      <c r="AU77" s="24">
        <v>0.98563218390804597</v>
      </c>
      <c r="AV77" s="32">
        <v>8</v>
      </c>
      <c r="AW77" s="26">
        <v>0</v>
      </c>
      <c r="AX77" s="26">
        <v>0</v>
      </c>
      <c r="AY77" s="24">
        <v>0.68164978292329959</v>
      </c>
      <c r="AZ77" s="24">
        <v>0.66859623733719242</v>
      </c>
      <c r="BA77" s="31">
        <v>0.05</v>
      </c>
      <c r="BB77" s="33">
        <v>0.38500000000000001</v>
      </c>
      <c r="BC77" s="21"/>
      <c r="BD77" s="26">
        <v>0.38500000000000001</v>
      </c>
      <c r="BE77" s="26">
        <v>0</v>
      </c>
      <c r="BF77" s="26" t="s">
        <v>729</v>
      </c>
      <c r="BG77" s="21"/>
      <c r="BH77" s="34">
        <v>0.05</v>
      </c>
      <c r="BI77" s="34">
        <v>0.04</v>
      </c>
      <c r="BJ77" s="34" t="s">
        <v>259</v>
      </c>
      <c r="BK77" s="34">
        <v>0.09</v>
      </c>
      <c r="BL77" s="21"/>
      <c r="BM77" s="35">
        <v>0.29500000000000004</v>
      </c>
    </row>
    <row r="78" spans="1:65" x14ac:dyDescent="0.25">
      <c r="A78" s="4" t="s">
        <v>63</v>
      </c>
      <c r="B78" s="4">
        <v>73697</v>
      </c>
      <c r="C78" s="4" t="s">
        <v>138</v>
      </c>
      <c r="D78" s="19" t="s">
        <v>260</v>
      </c>
      <c r="E78" s="20">
        <v>47302</v>
      </c>
      <c r="F78" s="20" t="s">
        <v>416</v>
      </c>
      <c r="G78" s="20" t="s">
        <v>417</v>
      </c>
      <c r="H78" s="2">
        <v>45525</v>
      </c>
      <c r="I78" s="2" t="s">
        <v>253</v>
      </c>
      <c r="J78" s="2" t="s">
        <v>253</v>
      </c>
      <c r="K78" s="21">
        <v>0</v>
      </c>
      <c r="L78" s="21">
        <v>0</v>
      </c>
      <c r="M78" s="21">
        <v>0</v>
      </c>
      <c r="N78" s="21">
        <v>42</v>
      </c>
      <c r="O78" s="21">
        <v>0</v>
      </c>
      <c r="P78" s="21">
        <v>13865</v>
      </c>
      <c r="Q78" s="22">
        <v>242.92857142857142</v>
      </c>
      <c r="R78" s="22">
        <v>300</v>
      </c>
      <c r="S78" s="23">
        <v>0.1</v>
      </c>
      <c r="T78" s="23">
        <v>0.05</v>
      </c>
      <c r="U78" s="24" t="s">
        <v>276</v>
      </c>
      <c r="V78" s="25">
        <v>0</v>
      </c>
      <c r="W78" s="26">
        <v>0.1</v>
      </c>
      <c r="X78" s="27">
        <v>0.5</v>
      </c>
      <c r="Y78" s="25">
        <v>0</v>
      </c>
      <c r="Z78" s="24">
        <v>0.95</v>
      </c>
      <c r="AA78" s="25">
        <v>0.04</v>
      </c>
      <c r="AB78" s="28">
        <v>0</v>
      </c>
      <c r="AC78" s="28">
        <v>0</v>
      </c>
      <c r="AD78" s="28">
        <v>0</v>
      </c>
      <c r="AE78" s="25">
        <v>0.09</v>
      </c>
      <c r="AF78" s="26">
        <v>0.13</v>
      </c>
      <c r="AG78" s="29" t="s">
        <v>729</v>
      </c>
      <c r="AH78" s="30">
        <v>0.81</v>
      </c>
      <c r="AI78" s="26">
        <v>0.05</v>
      </c>
      <c r="AJ78" s="21">
        <v>0</v>
      </c>
      <c r="AK78" s="21">
        <v>0</v>
      </c>
      <c r="AL78" s="26">
        <v>0.1</v>
      </c>
      <c r="AM78" s="24">
        <v>0.69</v>
      </c>
      <c r="AN78" s="24">
        <v>0.33333333333333331</v>
      </c>
      <c r="AO78" s="31">
        <v>0</v>
      </c>
      <c r="AP78" s="31">
        <v>0</v>
      </c>
      <c r="AQ78" s="24">
        <v>0.82</v>
      </c>
      <c r="AR78" s="27">
        <v>0.5</v>
      </c>
      <c r="AS78" s="26">
        <v>0</v>
      </c>
      <c r="AT78" s="26">
        <v>0</v>
      </c>
      <c r="AU78" s="24">
        <v>0.91891891891891897</v>
      </c>
      <c r="AV78" s="32">
        <v>0</v>
      </c>
      <c r="AW78" s="26">
        <v>0.05</v>
      </c>
      <c r="AX78" s="26">
        <v>0.02</v>
      </c>
      <c r="AY78" s="24">
        <v>0.65486486486486484</v>
      </c>
      <c r="AZ78" s="24">
        <v>0.86486486486486491</v>
      </c>
      <c r="BA78" s="31">
        <v>0.1</v>
      </c>
      <c r="BB78" s="33">
        <v>0.30000000000000004</v>
      </c>
      <c r="BC78" s="21"/>
      <c r="BD78" s="26">
        <v>0.53</v>
      </c>
      <c r="BE78" s="26">
        <v>7.0000000000000007E-2</v>
      </c>
      <c r="BF78" s="26" t="s">
        <v>729</v>
      </c>
      <c r="BG78" s="21"/>
      <c r="BH78" s="34">
        <v>0</v>
      </c>
      <c r="BI78" s="34">
        <v>0</v>
      </c>
      <c r="BJ78" s="34" t="s">
        <v>259</v>
      </c>
      <c r="BK78" s="34">
        <v>0</v>
      </c>
      <c r="BL78" s="21"/>
      <c r="BM78" s="35">
        <v>0.60000000000000009</v>
      </c>
    </row>
    <row r="79" spans="1:65" x14ac:dyDescent="0.25">
      <c r="A79" s="4" t="s">
        <v>63</v>
      </c>
      <c r="B79" s="4">
        <v>71698</v>
      </c>
      <c r="C79" s="4" t="s">
        <v>139</v>
      </c>
      <c r="D79" s="19" t="s">
        <v>270</v>
      </c>
      <c r="E79" s="20">
        <v>48540</v>
      </c>
      <c r="F79" s="20" t="s">
        <v>418</v>
      </c>
      <c r="G79" s="20" t="s">
        <v>419</v>
      </c>
      <c r="H79" s="2">
        <v>45621</v>
      </c>
      <c r="I79" s="2" t="s">
        <v>263</v>
      </c>
      <c r="J79" s="2" t="s">
        <v>263</v>
      </c>
      <c r="K79" s="21">
        <v>20</v>
      </c>
      <c r="L79" s="21">
        <v>594000</v>
      </c>
      <c r="M79" s="21">
        <v>0</v>
      </c>
      <c r="N79" s="21">
        <v>741</v>
      </c>
      <c r="O79" s="21">
        <v>0</v>
      </c>
      <c r="P79" s="21">
        <v>349129</v>
      </c>
      <c r="Q79" s="22">
        <v>383.18623481781378</v>
      </c>
      <c r="R79" s="22">
        <v>300</v>
      </c>
      <c r="S79" s="48">
        <v>0.1</v>
      </c>
      <c r="T79" s="23">
        <v>0</v>
      </c>
      <c r="U79" s="24">
        <v>0.58775925925925931</v>
      </c>
      <c r="V79" s="25">
        <v>0</v>
      </c>
      <c r="W79" s="26">
        <v>0.1</v>
      </c>
      <c r="X79" s="27">
        <v>0.15</v>
      </c>
      <c r="Y79" s="25">
        <v>0</v>
      </c>
      <c r="Z79" s="24">
        <v>0.8</v>
      </c>
      <c r="AA79" s="25">
        <v>0</v>
      </c>
      <c r="AB79" s="28">
        <v>0</v>
      </c>
      <c r="AC79" s="28">
        <v>0</v>
      </c>
      <c r="AD79" s="28">
        <v>0</v>
      </c>
      <c r="AE79" s="25">
        <v>0.09</v>
      </c>
      <c r="AF79" s="26">
        <v>0.09</v>
      </c>
      <c r="AG79" s="29">
        <v>0</v>
      </c>
      <c r="AH79" s="30">
        <v>0.95</v>
      </c>
      <c r="AI79" s="26">
        <v>0.1</v>
      </c>
      <c r="AJ79" s="21">
        <v>0</v>
      </c>
      <c r="AK79" s="21">
        <v>0</v>
      </c>
      <c r="AL79" s="26">
        <v>0.1</v>
      </c>
      <c r="AM79" s="24">
        <v>0.67847058823529405</v>
      </c>
      <c r="AN79" s="24">
        <v>0.6588235294117647</v>
      </c>
      <c r="AO79" s="31">
        <v>0.06</v>
      </c>
      <c r="AP79" s="31">
        <v>0</v>
      </c>
      <c r="AQ79" s="24">
        <v>0.80833333333333335</v>
      </c>
      <c r="AR79" s="27">
        <v>0.78205128205128205</v>
      </c>
      <c r="AS79" s="26">
        <v>7.4999999999999997E-2</v>
      </c>
      <c r="AT79" s="26">
        <v>0</v>
      </c>
      <c r="AU79" s="24">
        <v>0.98885350318471332</v>
      </c>
      <c r="AV79" s="32">
        <v>1</v>
      </c>
      <c r="AW79" s="26">
        <v>0.05</v>
      </c>
      <c r="AX79" s="26">
        <v>0</v>
      </c>
      <c r="AY79" s="24">
        <v>0.69355769230769226</v>
      </c>
      <c r="AZ79" s="24">
        <v>0.73557692307692313</v>
      </c>
      <c r="BA79" s="31">
        <v>0.1</v>
      </c>
      <c r="BB79" s="33">
        <v>0.48499999999999999</v>
      </c>
      <c r="BC79" s="21"/>
      <c r="BD79" s="26">
        <v>0.67499999999999993</v>
      </c>
      <c r="BE79" s="26">
        <v>0</v>
      </c>
      <c r="BF79" s="26">
        <v>0</v>
      </c>
      <c r="BG79" s="21"/>
      <c r="BH79" s="34">
        <v>0</v>
      </c>
      <c r="BI79" s="34">
        <v>0</v>
      </c>
      <c r="BJ79" s="34" t="s">
        <v>259</v>
      </c>
      <c r="BK79" s="34">
        <v>0</v>
      </c>
      <c r="BL79" s="21"/>
      <c r="BM79" s="35">
        <v>0.67499999999999993</v>
      </c>
    </row>
    <row r="80" spans="1:65" x14ac:dyDescent="0.25">
      <c r="A80" s="4" t="s">
        <v>63</v>
      </c>
      <c r="B80" s="4">
        <v>72809</v>
      </c>
      <c r="C80" s="4" t="s">
        <v>140</v>
      </c>
      <c r="D80" s="19" t="s">
        <v>273</v>
      </c>
      <c r="E80" s="20">
        <v>47699</v>
      </c>
      <c r="F80" s="20" t="s">
        <v>420</v>
      </c>
      <c r="G80" s="20" t="s">
        <v>421</v>
      </c>
      <c r="H80" s="2">
        <v>45569</v>
      </c>
      <c r="I80" s="2" t="s">
        <v>263</v>
      </c>
      <c r="J80" s="2" t="s">
        <v>263</v>
      </c>
      <c r="K80" s="21">
        <v>18</v>
      </c>
      <c r="L80" s="21">
        <v>539100</v>
      </c>
      <c r="M80" s="21">
        <v>3600</v>
      </c>
      <c r="N80" s="21">
        <v>1189</v>
      </c>
      <c r="O80" s="21">
        <v>1</v>
      </c>
      <c r="P80" s="21">
        <v>461811</v>
      </c>
      <c r="Q80" s="22">
        <v>215.13697478991597</v>
      </c>
      <c r="R80" s="22">
        <v>300</v>
      </c>
      <c r="S80" s="23">
        <v>0.1</v>
      </c>
      <c r="T80" s="23">
        <v>0.05</v>
      </c>
      <c r="U80" s="24">
        <v>0.86239215686274506</v>
      </c>
      <c r="V80" s="25">
        <v>0.1</v>
      </c>
      <c r="W80" s="26">
        <v>0.2</v>
      </c>
      <c r="X80" s="27">
        <v>0.72222222222222221</v>
      </c>
      <c r="Y80" s="25">
        <v>0</v>
      </c>
      <c r="Z80" s="24">
        <v>0.44444444444444442</v>
      </c>
      <c r="AA80" s="25">
        <v>0</v>
      </c>
      <c r="AB80" s="28">
        <v>0</v>
      </c>
      <c r="AC80" s="28">
        <v>1</v>
      </c>
      <c r="AD80" s="28">
        <v>0</v>
      </c>
      <c r="AE80" s="25">
        <v>0.04</v>
      </c>
      <c r="AF80" s="26">
        <v>0.04</v>
      </c>
      <c r="AG80" s="29" t="s">
        <v>729</v>
      </c>
      <c r="AH80" s="30">
        <v>0</v>
      </c>
      <c r="AI80" s="26">
        <v>0</v>
      </c>
      <c r="AJ80" s="21">
        <v>0</v>
      </c>
      <c r="AK80" s="21">
        <v>0</v>
      </c>
      <c r="AL80" s="26">
        <v>0.1</v>
      </c>
      <c r="AM80" s="24">
        <v>0.69</v>
      </c>
      <c r="AN80" s="24">
        <v>0.6</v>
      </c>
      <c r="AO80" s="31">
        <v>0</v>
      </c>
      <c r="AP80" s="31">
        <v>0</v>
      </c>
      <c r="AQ80" s="24">
        <v>0.82</v>
      </c>
      <c r="AR80" s="27">
        <v>0.69892473118279574</v>
      </c>
      <c r="AS80" s="26">
        <v>0</v>
      </c>
      <c r="AT80" s="26">
        <v>0</v>
      </c>
      <c r="AU80" s="24">
        <v>0.96292863762743286</v>
      </c>
      <c r="AV80" s="32">
        <v>6</v>
      </c>
      <c r="AW80" s="26">
        <v>0</v>
      </c>
      <c r="AX80" s="26">
        <v>0</v>
      </c>
      <c r="AY80" s="24">
        <v>0.69848368522072934</v>
      </c>
      <c r="AZ80" s="24">
        <v>0.71976967370441458</v>
      </c>
      <c r="BA80" s="31">
        <v>0.1</v>
      </c>
      <c r="BB80" s="33">
        <v>0.2</v>
      </c>
      <c r="BC80" s="21"/>
      <c r="BD80" s="26">
        <v>0.44000000000000006</v>
      </c>
      <c r="BE80" s="26">
        <v>0.05</v>
      </c>
      <c r="BF80" s="26" t="s">
        <v>729</v>
      </c>
      <c r="BG80" s="21"/>
      <c r="BH80" s="34">
        <v>0</v>
      </c>
      <c r="BI80" s="34">
        <v>0.02</v>
      </c>
      <c r="BJ80" s="34" t="s">
        <v>259</v>
      </c>
      <c r="BK80" s="34">
        <v>0.02</v>
      </c>
      <c r="BL80" s="21"/>
      <c r="BM80" s="35">
        <v>0.47000000000000003</v>
      </c>
    </row>
    <row r="81" spans="1:65" x14ac:dyDescent="0.25">
      <c r="A81" s="4" t="s">
        <v>63</v>
      </c>
      <c r="B81" s="4">
        <v>74038</v>
      </c>
      <c r="C81" s="4" t="s">
        <v>141</v>
      </c>
      <c r="D81" s="19" t="s">
        <v>273</v>
      </c>
      <c r="E81" s="20">
        <v>47992</v>
      </c>
      <c r="F81" s="20" t="s">
        <v>422</v>
      </c>
      <c r="G81" s="20" t="s">
        <v>423</v>
      </c>
      <c r="H81" s="2">
        <v>45581</v>
      </c>
      <c r="I81" s="2" t="s">
        <v>263</v>
      </c>
      <c r="J81" s="2" t="s">
        <v>263</v>
      </c>
      <c r="K81" s="21">
        <v>19</v>
      </c>
      <c r="L81" s="21">
        <v>564300</v>
      </c>
      <c r="M81" s="21">
        <v>0</v>
      </c>
      <c r="N81" s="21">
        <v>854</v>
      </c>
      <c r="O81" s="21">
        <v>128</v>
      </c>
      <c r="P81" s="21">
        <v>453694</v>
      </c>
      <c r="Q81" s="22">
        <v>272.98065173116089</v>
      </c>
      <c r="R81" s="22">
        <v>314.98981670061102</v>
      </c>
      <c r="S81" s="23">
        <v>0.1</v>
      </c>
      <c r="T81" s="23">
        <v>0.05</v>
      </c>
      <c r="U81" s="24">
        <v>0.80399432925748715</v>
      </c>
      <c r="V81" s="25">
        <v>0.05</v>
      </c>
      <c r="W81" s="26">
        <v>0.15000000000000002</v>
      </c>
      <c r="X81" s="27">
        <v>0.15789473684210525</v>
      </c>
      <c r="Y81" s="25">
        <v>0</v>
      </c>
      <c r="Z81" s="24">
        <v>0.84210526315789469</v>
      </c>
      <c r="AA81" s="25">
        <v>0</v>
      </c>
      <c r="AB81" s="28">
        <v>0</v>
      </c>
      <c r="AC81" s="28">
        <v>1</v>
      </c>
      <c r="AD81" s="28">
        <v>0</v>
      </c>
      <c r="AE81" s="25">
        <v>0.04</v>
      </c>
      <c r="AF81" s="26">
        <v>0.04</v>
      </c>
      <c r="AG81" s="29" t="s">
        <v>729</v>
      </c>
      <c r="AH81" s="30">
        <v>0.9</v>
      </c>
      <c r="AI81" s="26">
        <v>0.1</v>
      </c>
      <c r="AJ81" s="21">
        <v>0</v>
      </c>
      <c r="AK81" s="21">
        <v>0</v>
      </c>
      <c r="AL81" s="26">
        <v>0.1</v>
      </c>
      <c r="AM81" s="24">
        <v>0.6877777777777776</v>
      </c>
      <c r="AN81" s="24">
        <v>0.59523809523809523</v>
      </c>
      <c r="AO81" s="31">
        <v>0</v>
      </c>
      <c r="AP81" s="31">
        <v>0</v>
      </c>
      <c r="AQ81" s="24">
        <v>0.81775862068965499</v>
      </c>
      <c r="AR81" s="27">
        <v>0.68965517241379315</v>
      </c>
      <c r="AS81" s="26">
        <v>0</v>
      </c>
      <c r="AT81" s="26">
        <v>0</v>
      </c>
      <c r="AU81" s="24">
        <v>0.96905016008537892</v>
      </c>
      <c r="AV81" s="32">
        <v>10</v>
      </c>
      <c r="AW81" s="26">
        <v>0</v>
      </c>
      <c r="AX81" s="26">
        <v>0</v>
      </c>
      <c r="AY81" s="24">
        <v>0.71479999999999999</v>
      </c>
      <c r="AZ81" s="24">
        <v>0.73419354838709683</v>
      </c>
      <c r="BA81" s="31">
        <v>0.1</v>
      </c>
      <c r="BB81" s="33">
        <v>0.30000000000000004</v>
      </c>
      <c r="BC81" s="21"/>
      <c r="BD81" s="26">
        <v>0.49000000000000005</v>
      </c>
      <c r="BE81" s="26">
        <v>0.05</v>
      </c>
      <c r="BF81" s="26" t="s">
        <v>729</v>
      </c>
      <c r="BG81" s="21"/>
      <c r="BH81" s="34">
        <v>0</v>
      </c>
      <c r="BI81" s="34">
        <v>0.06</v>
      </c>
      <c r="BJ81" s="34" t="s">
        <v>259</v>
      </c>
      <c r="BK81" s="34">
        <v>0.06</v>
      </c>
      <c r="BL81" s="21"/>
      <c r="BM81" s="35">
        <v>0.48000000000000004</v>
      </c>
    </row>
    <row r="82" spans="1:65" x14ac:dyDescent="0.25">
      <c r="A82" s="4" t="s">
        <v>63</v>
      </c>
      <c r="B82" s="4">
        <v>71739</v>
      </c>
      <c r="C82" s="4" t="s">
        <v>142</v>
      </c>
      <c r="D82" s="19" t="s">
        <v>314</v>
      </c>
      <c r="E82" s="20">
        <v>47991</v>
      </c>
      <c r="F82" s="20" t="s">
        <v>424</v>
      </c>
      <c r="G82" s="20" t="s">
        <v>425</v>
      </c>
      <c r="H82" s="2">
        <v>45581</v>
      </c>
      <c r="I82" s="2" t="s">
        <v>263</v>
      </c>
      <c r="J82" s="2" t="s">
        <v>263</v>
      </c>
      <c r="K82" s="21">
        <v>17</v>
      </c>
      <c r="L82" s="21">
        <v>504900</v>
      </c>
      <c r="M82" s="21">
        <v>0</v>
      </c>
      <c r="N82" s="21">
        <v>766</v>
      </c>
      <c r="O82" s="21">
        <v>0</v>
      </c>
      <c r="P82" s="21">
        <v>380304</v>
      </c>
      <c r="Q82" s="22">
        <v>331.30939947780678</v>
      </c>
      <c r="R82" s="22">
        <v>300</v>
      </c>
      <c r="S82" s="23">
        <v>0</v>
      </c>
      <c r="T82" s="23">
        <v>0</v>
      </c>
      <c r="U82" s="24">
        <v>0.75322638146167553</v>
      </c>
      <c r="V82" s="25">
        <v>0</v>
      </c>
      <c r="W82" s="26">
        <v>0</v>
      </c>
      <c r="X82" s="27">
        <v>0.17647058823529413</v>
      </c>
      <c r="Y82" s="25">
        <v>0</v>
      </c>
      <c r="Z82" s="24">
        <v>0.11764705882352941</v>
      </c>
      <c r="AA82" s="25">
        <v>0</v>
      </c>
      <c r="AB82" s="28">
        <v>1</v>
      </c>
      <c r="AC82" s="28">
        <v>0</v>
      </c>
      <c r="AD82" s="28">
        <v>0</v>
      </c>
      <c r="AE82" s="25">
        <v>0</v>
      </c>
      <c r="AF82" s="26">
        <v>0</v>
      </c>
      <c r="AG82" s="29" t="s">
        <v>729</v>
      </c>
      <c r="AH82" s="30">
        <v>0.92500000000000004</v>
      </c>
      <c r="AI82" s="26">
        <v>0.1</v>
      </c>
      <c r="AJ82" s="21">
        <v>0</v>
      </c>
      <c r="AK82" s="21">
        <v>0</v>
      </c>
      <c r="AL82" s="26">
        <v>0.1</v>
      </c>
      <c r="AM82" s="24">
        <v>0.69</v>
      </c>
      <c r="AN82" s="24">
        <v>0.70370370370370372</v>
      </c>
      <c r="AO82" s="31">
        <v>0.08</v>
      </c>
      <c r="AP82" s="31">
        <v>0.03</v>
      </c>
      <c r="AQ82" s="24">
        <v>0.82</v>
      </c>
      <c r="AR82" s="27">
        <v>0.8</v>
      </c>
      <c r="AS82" s="26">
        <v>0.125</v>
      </c>
      <c r="AT82" s="26">
        <v>0</v>
      </c>
      <c r="AU82" s="24">
        <v>0.98646820027063598</v>
      </c>
      <c r="AV82" s="32">
        <v>9</v>
      </c>
      <c r="AW82" s="26">
        <v>0</v>
      </c>
      <c r="AX82" s="26">
        <v>0</v>
      </c>
      <c r="AY82" s="24">
        <v>0.71053133514986377</v>
      </c>
      <c r="AZ82" s="24">
        <v>0.6757493188010899</v>
      </c>
      <c r="BA82" s="31">
        <v>0</v>
      </c>
      <c r="BB82" s="33">
        <v>0.40500000000000003</v>
      </c>
      <c r="BC82" s="21"/>
      <c r="BD82" s="26">
        <v>0.40500000000000003</v>
      </c>
      <c r="BE82" s="26">
        <v>0.03</v>
      </c>
      <c r="BF82" s="26" t="s">
        <v>729</v>
      </c>
      <c r="BG82" s="21"/>
      <c r="BH82" s="34">
        <v>0</v>
      </c>
      <c r="BI82" s="34">
        <v>0.05</v>
      </c>
      <c r="BJ82" s="34" t="s">
        <v>259</v>
      </c>
      <c r="BK82" s="34">
        <v>0.05</v>
      </c>
      <c r="BL82" s="21"/>
      <c r="BM82" s="35">
        <v>0.38500000000000006</v>
      </c>
    </row>
    <row r="83" spans="1:65" x14ac:dyDescent="0.25">
      <c r="A83" s="4" t="s">
        <v>63</v>
      </c>
      <c r="B83" s="4">
        <v>74081</v>
      </c>
      <c r="C83" s="4" t="s">
        <v>143</v>
      </c>
      <c r="D83" s="19" t="s">
        <v>264</v>
      </c>
      <c r="E83" s="20">
        <v>48039</v>
      </c>
      <c r="F83" s="20" t="s">
        <v>426</v>
      </c>
      <c r="G83" s="20" t="s">
        <v>427</v>
      </c>
      <c r="H83" s="2">
        <v>45581</v>
      </c>
      <c r="I83" s="2" t="s">
        <v>263</v>
      </c>
      <c r="J83" s="2" t="s">
        <v>263</v>
      </c>
      <c r="K83" s="21">
        <v>15</v>
      </c>
      <c r="L83" s="21">
        <v>452700</v>
      </c>
      <c r="M83" s="21">
        <v>7200</v>
      </c>
      <c r="N83" s="21">
        <v>583</v>
      </c>
      <c r="O83" s="21">
        <v>65</v>
      </c>
      <c r="P83" s="21">
        <v>314511</v>
      </c>
      <c r="Q83" s="22">
        <v>273.47222222222223</v>
      </c>
      <c r="R83" s="22">
        <v>311.53549382716051</v>
      </c>
      <c r="S83" s="23">
        <v>0.1</v>
      </c>
      <c r="T83" s="23">
        <v>0.05</v>
      </c>
      <c r="U83" s="24">
        <v>0.70597306397306392</v>
      </c>
      <c r="V83" s="25">
        <v>0</v>
      </c>
      <c r="W83" s="26">
        <v>0.1</v>
      </c>
      <c r="X83" s="27">
        <v>0.2</v>
      </c>
      <c r="Y83" s="25">
        <v>0</v>
      </c>
      <c r="Z83" s="24">
        <v>1</v>
      </c>
      <c r="AA83" s="25">
        <v>0.04</v>
      </c>
      <c r="AB83" s="28">
        <v>0</v>
      </c>
      <c r="AC83" s="28">
        <v>0</v>
      </c>
      <c r="AD83" s="28">
        <v>0</v>
      </c>
      <c r="AE83" s="25">
        <v>0.09</v>
      </c>
      <c r="AF83" s="26">
        <v>0.13</v>
      </c>
      <c r="AG83" s="29" t="s">
        <v>729</v>
      </c>
      <c r="AH83" s="30">
        <v>1</v>
      </c>
      <c r="AI83" s="26">
        <v>0.1</v>
      </c>
      <c r="AJ83" s="21">
        <v>0</v>
      </c>
      <c r="AK83" s="21">
        <v>0</v>
      </c>
      <c r="AL83" s="26">
        <v>0.1</v>
      </c>
      <c r="AM83" s="24">
        <v>0.68815789473684197</v>
      </c>
      <c r="AN83" s="24">
        <v>0.77631578947368418</v>
      </c>
      <c r="AO83" s="31">
        <v>0.08</v>
      </c>
      <c r="AP83" s="31">
        <v>0.03</v>
      </c>
      <c r="AQ83" s="24">
        <v>0.81814285714285706</v>
      </c>
      <c r="AR83" s="27">
        <v>0.84285714285714286</v>
      </c>
      <c r="AS83" s="26">
        <v>0.2</v>
      </c>
      <c r="AT83" s="26">
        <v>0.04</v>
      </c>
      <c r="AU83" s="24">
        <v>0.97697368421052633</v>
      </c>
      <c r="AV83" s="32">
        <v>1</v>
      </c>
      <c r="AW83" s="26">
        <v>0.05</v>
      </c>
      <c r="AX83" s="26">
        <v>0</v>
      </c>
      <c r="AY83" s="24">
        <v>0.72384615384615381</v>
      </c>
      <c r="AZ83" s="24">
        <v>0.75576923076923075</v>
      </c>
      <c r="BA83" s="31">
        <v>0.1</v>
      </c>
      <c r="BB83" s="33">
        <v>0.63</v>
      </c>
      <c r="BC83" s="21"/>
      <c r="BD83" s="26">
        <v>0.86</v>
      </c>
      <c r="BE83" s="26">
        <v>0.12</v>
      </c>
      <c r="BF83" s="26" t="s">
        <v>729</v>
      </c>
      <c r="BG83" s="21"/>
      <c r="BH83" s="34">
        <v>0</v>
      </c>
      <c r="BI83" s="34">
        <v>0</v>
      </c>
      <c r="BJ83" s="34" t="s">
        <v>259</v>
      </c>
      <c r="BK83" s="34">
        <v>0</v>
      </c>
      <c r="BL83" s="21"/>
      <c r="BM83" s="35">
        <v>0.98</v>
      </c>
    </row>
    <row r="84" spans="1:65" x14ac:dyDescent="0.25">
      <c r="A84" s="4" t="s">
        <v>63</v>
      </c>
      <c r="B84" s="4">
        <v>74139</v>
      </c>
      <c r="C84" s="4" t="s">
        <v>144</v>
      </c>
      <c r="D84" s="19" t="s">
        <v>264</v>
      </c>
      <c r="E84" s="20">
        <v>48042</v>
      </c>
      <c r="F84" s="20" t="s">
        <v>428</v>
      </c>
      <c r="G84" s="20" t="s">
        <v>429</v>
      </c>
      <c r="H84" s="2">
        <v>45581</v>
      </c>
      <c r="I84" s="2" t="s">
        <v>263</v>
      </c>
      <c r="J84" s="2" t="s">
        <v>263</v>
      </c>
      <c r="K84" s="21">
        <v>18</v>
      </c>
      <c r="L84" s="21">
        <v>565200</v>
      </c>
      <c r="M84" s="21">
        <v>37800</v>
      </c>
      <c r="N84" s="21">
        <v>618</v>
      </c>
      <c r="O84" s="21">
        <v>79</v>
      </c>
      <c r="P84" s="21">
        <v>313989</v>
      </c>
      <c r="Q84" s="22">
        <v>294.95839311334288</v>
      </c>
      <c r="R84" s="22">
        <v>313.03443328550935</v>
      </c>
      <c r="S84" s="23">
        <v>0.1</v>
      </c>
      <c r="T84" s="23">
        <v>0.05</v>
      </c>
      <c r="U84" s="24">
        <v>0.59535267349260523</v>
      </c>
      <c r="V84" s="25">
        <v>0</v>
      </c>
      <c r="W84" s="26">
        <v>0.1</v>
      </c>
      <c r="X84" s="27">
        <v>0</v>
      </c>
      <c r="Y84" s="25">
        <v>0</v>
      </c>
      <c r="Z84" s="24">
        <v>0.16666666666666666</v>
      </c>
      <c r="AA84" s="25">
        <v>0</v>
      </c>
      <c r="AB84" s="28">
        <v>0</v>
      </c>
      <c r="AC84" s="28">
        <v>0</v>
      </c>
      <c r="AD84" s="28">
        <v>0</v>
      </c>
      <c r="AE84" s="25">
        <v>0.09</v>
      </c>
      <c r="AF84" s="26">
        <v>0.09</v>
      </c>
      <c r="AG84" s="29" t="s">
        <v>729</v>
      </c>
      <c r="AH84" s="30">
        <v>0.47499999999999998</v>
      </c>
      <c r="AI84" s="26">
        <v>0</v>
      </c>
      <c r="AJ84" s="21">
        <v>0</v>
      </c>
      <c r="AK84" s="21">
        <v>0</v>
      </c>
      <c r="AL84" s="26">
        <v>0.1</v>
      </c>
      <c r="AM84" s="24">
        <v>0.69</v>
      </c>
      <c r="AN84" s="24">
        <v>0.72164948453608246</v>
      </c>
      <c r="AO84" s="31">
        <v>0.08</v>
      </c>
      <c r="AP84" s="31">
        <v>0.03</v>
      </c>
      <c r="AQ84" s="24">
        <v>0.82</v>
      </c>
      <c r="AR84" s="27">
        <v>0.80434782608695654</v>
      </c>
      <c r="AS84" s="26">
        <v>0.125</v>
      </c>
      <c r="AT84" s="26">
        <v>0</v>
      </c>
      <c r="AU84" s="24">
        <v>0.95607613469985364</v>
      </c>
      <c r="AV84" s="32">
        <v>4</v>
      </c>
      <c r="AW84" s="26">
        <v>0</v>
      </c>
      <c r="AX84" s="26">
        <v>0</v>
      </c>
      <c r="AY84" s="24">
        <v>0.72423208191126276</v>
      </c>
      <c r="AZ84" s="24">
        <v>0.70819112627986347</v>
      </c>
      <c r="BA84" s="31">
        <v>0.05</v>
      </c>
      <c r="BB84" s="33">
        <v>0.35500000000000004</v>
      </c>
      <c r="BC84" s="21"/>
      <c r="BD84" s="26">
        <v>0.54500000000000004</v>
      </c>
      <c r="BE84" s="26">
        <v>0.08</v>
      </c>
      <c r="BF84" s="26" t="s">
        <v>729</v>
      </c>
      <c r="BG84" s="21"/>
      <c r="BH84" s="34">
        <v>0</v>
      </c>
      <c r="BI84" s="34">
        <v>0</v>
      </c>
      <c r="BJ84" s="34" t="s">
        <v>259</v>
      </c>
      <c r="BK84" s="34">
        <v>0</v>
      </c>
      <c r="BL84" s="21"/>
      <c r="BM84" s="35">
        <v>0.625</v>
      </c>
    </row>
    <row r="85" spans="1:65" x14ac:dyDescent="0.25">
      <c r="A85" s="4" t="s">
        <v>63</v>
      </c>
      <c r="B85" s="4">
        <v>73322</v>
      </c>
      <c r="C85" s="4" t="s">
        <v>145</v>
      </c>
      <c r="D85" s="19" t="s">
        <v>264</v>
      </c>
      <c r="E85" s="20">
        <v>45992</v>
      </c>
      <c r="F85" s="20" t="s">
        <v>430</v>
      </c>
      <c r="G85" s="20" t="s">
        <v>431</v>
      </c>
      <c r="H85" s="2">
        <v>45334</v>
      </c>
      <c r="I85" s="2" t="s">
        <v>253</v>
      </c>
      <c r="J85" s="2" t="s">
        <v>253</v>
      </c>
      <c r="K85" s="21">
        <v>0</v>
      </c>
      <c r="L85" s="21">
        <v>0</v>
      </c>
      <c r="M85" s="21">
        <v>0</v>
      </c>
      <c r="N85" s="21">
        <v>0</v>
      </c>
      <c r="O85" s="21">
        <v>0</v>
      </c>
      <c r="P85" s="21">
        <v>0</v>
      </c>
      <c r="Q85" s="22">
        <v>0</v>
      </c>
      <c r="R85" s="22">
        <v>0</v>
      </c>
      <c r="S85" s="23">
        <v>0</v>
      </c>
      <c r="T85" s="23">
        <v>0</v>
      </c>
      <c r="U85" s="24" t="s">
        <v>276</v>
      </c>
      <c r="V85" s="25">
        <v>0</v>
      </c>
      <c r="W85" s="26">
        <v>0</v>
      </c>
      <c r="X85" s="27">
        <v>0.5</v>
      </c>
      <c r="Y85" s="25">
        <v>0</v>
      </c>
      <c r="Z85" s="24">
        <v>0.95</v>
      </c>
      <c r="AA85" s="25">
        <v>0.04</v>
      </c>
      <c r="AB85" s="28">
        <v>0</v>
      </c>
      <c r="AC85" s="28">
        <v>0</v>
      </c>
      <c r="AD85" s="28">
        <v>0</v>
      </c>
      <c r="AE85" s="25">
        <v>0.09</v>
      </c>
      <c r="AF85" s="26">
        <v>0.13</v>
      </c>
      <c r="AG85" s="29" t="s">
        <v>729</v>
      </c>
      <c r="AH85" s="30" t="s">
        <v>277</v>
      </c>
      <c r="AI85" s="26">
        <v>0.1</v>
      </c>
      <c r="AJ85" s="21">
        <v>0</v>
      </c>
      <c r="AK85" s="21">
        <v>0</v>
      </c>
      <c r="AL85" s="26">
        <v>0.1</v>
      </c>
      <c r="AM85" s="24">
        <v>0</v>
      </c>
      <c r="AN85" s="24">
        <v>0</v>
      </c>
      <c r="AO85" s="31">
        <v>0.08</v>
      </c>
      <c r="AP85" s="31">
        <v>0</v>
      </c>
      <c r="AQ85" s="24">
        <v>0</v>
      </c>
      <c r="AR85" s="27">
        <v>0</v>
      </c>
      <c r="AS85" s="26">
        <v>0.2</v>
      </c>
      <c r="AT85" s="26">
        <v>0</v>
      </c>
      <c r="AU85" s="24" t="s">
        <v>276</v>
      </c>
      <c r="AV85" s="32">
        <v>0</v>
      </c>
      <c r="AW85" s="26">
        <v>0.05</v>
      </c>
      <c r="AX85" s="26">
        <v>0.02</v>
      </c>
      <c r="AY85" s="24">
        <v>0</v>
      </c>
      <c r="AZ85" s="24">
        <v>0</v>
      </c>
      <c r="BA85" s="31">
        <v>0</v>
      </c>
      <c r="BB85" s="33">
        <v>0.53</v>
      </c>
      <c r="BC85" s="21"/>
      <c r="BD85" s="26">
        <v>0.66</v>
      </c>
      <c r="BE85" s="26">
        <v>0.02</v>
      </c>
      <c r="BF85" s="26" t="s">
        <v>729</v>
      </c>
      <c r="BG85" s="21"/>
      <c r="BH85" s="34">
        <v>0</v>
      </c>
      <c r="BI85" s="34">
        <v>0</v>
      </c>
      <c r="BJ85" s="34" t="s">
        <v>259</v>
      </c>
      <c r="BK85" s="34">
        <v>0</v>
      </c>
      <c r="BL85" s="21"/>
      <c r="BM85" s="35">
        <v>0.68</v>
      </c>
    </row>
    <row r="86" spans="1:65" x14ac:dyDescent="0.25">
      <c r="A86" s="4" t="s">
        <v>63</v>
      </c>
      <c r="B86" s="4">
        <v>73945</v>
      </c>
      <c r="C86" s="4" t="s">
        <v>146</v>
      </c>
      <c r="D86" s="19" t="s">
        <v>264</v>
      </c>
      <c r="E86" s="20">
        <v>47709</v>
      </c>
      <c r="F86" s="20" t="s">
        <v>432</v>
      </c>
      <c r="G86" s="20" t="s">
        <v>433</v>
      </c>
      <c r="H86" s="2">
        <v>45569</v>
      </c>
      <c r="I86" s="2" t="s">
        <v>263</v>
      </c>
      <c r="J86" s="2" t="s">
        <v>263</v>
      </c>
      <c r="K86" s="21">
        <v>16</v>
      </c>
      <c r="L86" s="21">
        <v>475200</v>
      </c>
      <c r="M86" s="21">
        <v>0</v>
      </c>
      <c r="N86" s="21">
        <v>846</v>
      </c>
      <c r="O86" s="21">
        <v>0</v>
      </c>
      <c r="P86" s="21">
        <v>333890</v>
      </c>
      <c r="Q86" s="22">
        <v>264.95508274231679</v>
      </c>
      <c r="R86" s="22">
        <v>300</v>
      </c>
      <c r="S86" s="23">
        <v>0.1</v>
      </c>
      <c r="T86" s="23">
        <v>0.05</v>
      </c>
      <c r="U86" s="24">
        <v>0.70263047138047141</v>
      </c>
      <c r="V86" s="25">
        <v>0</v>
      </c>
      <c r="W86" s="26">
        <v>0.1</v>
      </c>
      <c r="X86" s="27">
        <v>0.25</v>
      </c>
      <c r="Y86" s="25">
        <v>0</v>
      </c>
      <c r="Z86" s="24">
        <v>0.625</v>
      </c>
      <c r="AA86" s="25">
        <v>0</v>
      </c>
      <c r="AB86" s="28">
        <v>2</v>
      </c>
      <c r="AC86" s="28">
        <v>1</v>
      </c>
      <c r="AD86" s="28">
        <v>0</v>
      </c>
      <c r="AE86" s="25">
        <v>0</v>
      </c>
      <c r="AF86" s="26">
        <v>0</v>
      </c>
      <c r="AG86" s="29" t="s">
        <v>729</v>
      </c>
      <c r="AH86" s="30">
        <v>1</v>
      </c>
      <c r="AI86" s="26">
        <v>0.1</v>
      </c>
      <c r="AJ86" s="21">
        <v>0</v>
      </c>
      <c r="AK86" s="21">
        <v>0</v>
      </c>
      <c r="AL86" s="26">
        <v>0.1</v>
      </c>
      <c r="AM86" s="24">
        <v>0.6712499999999999</v>
      </c>
      <c r="AN86" s="24">
        <v>0.7053571428571429</v>
      </c>
      <c r="AO86" s="31">
        <v>0.08</v>
      </c>
      <c r="AP86" s="31">
        <v>0.03</v>
      </c>
      <c r="AQ86" s="24">
        <v>0.80485436893203877</v>
      </c>
      <c r="AR86" s="27">
        <v>0.79611650485436891</v>
      </c>
      <c r="AS86" s="26">
        <v>0.125</v>
      </c>
      <c r="AT86" s="26">
        <v>0</v>
      </c>
      <c r="AU86" s="24">
        <v>0.99238578680203049</v>
      </c>
      <c r="AV86" s="32">
        <v>1</v>
      </c>
      <c r="AW86" s="26">
        <v>0.05</v>
      </c>
      <c r="AX86" s="26">
        <v>0</v>
      </c>
      <c r="AY86" s="24">
        <v>0.70015384615384613</v>
      </c>
      <c r="AZ86" s="24">
        <v>0.69230769230769229</v>
      </c>
      <c r="BA86" s="31">
        <v>0.05</v>
      </c>
      <c r="BB86" s="33">
        <v>0.505</v>
      </c>
      <c r="BC86" s="21"/>
      <c r="BD86" s="26">
        <v>0.60499999999999998</v>
      </c>
      <c r="BE86" s="26">
        <v>0.08</v>
      </c>
      <c r="BF86" s="26" t="s">
        <v>729</v>
      </c>
      <c r="BG86" s="21"/>
      <c r="BH86" s="34">
        <v>0.1</v>
      </c>
      <c r="BI86" s="34">
        <v>0</v>
      </c>
      <c r="BJ86" s="34" t="s">
        <v>259</v>
      </c>
      <c r="BK86" s="34">
        <v>0.1</v>
      </c>
      <c r="BL86" s="21"/>
      <c r="BM86" s="35">
        <v>0.58499999999999996</v>
      </c>
    </row>
    <row r="87" spans="1:65" x14ac:dyDescent="0.25">
      <c r="A87" s="4" t="s">
        <v>63</v>
      </c>
      <c r="B87" s="4">
        <v>74197</v>
      </c>
      <c r="C87" s="4" t="s">
        <v>147</v>
      </c>
      <c r="D87" s="19" t="s">
        <v>267</v>
      </c>
      <c r="E87" s="20">
        <v>47684</v>
      </c>
      <c r="F87" s="20" t="s">
        <v>434</v>
      </c>
      <c r="G87" s="20" t="s">
        <v>435</v>
      </c>
      <c r="H87" s="2">
        <v>45569</v>
      </c>
      <c r="I87" s="2" t="s">
        <v>263</v>
      </c>
      <c r="J87" s="2" t="s">
        <v>263</v>
      </c>
      <c r="K87" s="21">
        <v>19</v>
      </c>
      <c r="L87" s="21">
        <v>564300</v>
      </c>
      <c r="M87" s="21">
        <v>19500</v>
      </c>
      <c r="N87" s="21">
        <v>743</v>
      </c>
      <c r="O87" s="21">
        <v>0</v>
      </c>
      <c r="P87" s="21">
        <v>353316</v>
      </c>
      <c r="Q87" s="22">
        <v>363.13862718707941</v>
      </c>
      <c r="R87" s="22">
        <v>300</v>
      </c>
      <c r="S87" s="23">
        <v>0</v>
      </c>
      <c r="T87" s="23">
        <v>0</v>
      </c>
      <c r="U87" s="24">
        <v>0.64852422907488982</v>
      </c>
      <c r="V87" s="25">
        <v>0</v>
      </c>
      <c r="W87" s="26">
        <v>0</v>
      </c>
      <c r="X87" s="27">
        <v>0.15789473684210525</v>
      </c>
      <c r="Y87" s="25">
        <v>0</v>
      </c>
      <c r="Z87" s="24">
        <v>0.89473684210526316</v>
      </c>
      <c r="AA87" s="25">
        <v>0</v>
      </c>
      <c r="AB87" s="28">
        <v>0</v>
      </c>
      <c r="AC87" s="28">
        <v>0</v>
      </c>
      <c r="AD87" s="28">
        <v>0</v>
      </c>
      <c r="AE87" s="25">
        <v>0.09</v>
      </c>
      <c r="AF87" s="26">
        <v>0.09</v>
      </c>
      <c r="AG87" s="29" t="s">
        <v>729</v>
      </c>
      <c r="AH87" s="30">
        <v>0.90999999999999992</v>
      </c>
      <c r="AI87" s="26">
        <v>0.1</v>
      </c>
      <c r="AJ87" s="21">
        <v>0</v>
      </c>
      <c r="AK87" s="21">
        <v>0</v>
      </c>
      <c r="AL87" s="26">
        <v>0.1</v>
      </c>
      <c r="AM87" s="24">
        <v>0.6774</v>
      </c>
      <c r="AN87" s="24">
        <v>0.73</v>
      </c>
      <c r="AO87" s="31">
        <v>0.08</v>
      </c>
      <c r="AP87" s="31">
        <v>0.03</v>
      </c>
      <c r="AQ87" s="24">
        <v>0.80781249999999982</v>
      </c>
      <c r="AR87" s="27">
        <v>0.85416666666666663</v>
      </c>
      <c r="AS87" s="26">
        <v>0.2</v>
      </c>
      <c r="AT87" s="26">
        <v>0.08</v>
      </c>
      <c r="AU87" s="24">
        <v>0.96865203761755481</v>
      </c>
      <c r="AV87" s="32">
        <v>4</v>
      </c>
      <c r="AW87" s="26">
        <v>0</v>
      </c>
      <c r="AX87" s="26">
        <v>0</v>
      </c>
      <c r="AY87" s="24">
        <v>0.68356250000000007</v>
      </c>
      <c r="AZ87" s="24">
        <v>0.68906250000000002</v>
      </c>
      <c r="BA87" s="31">
        <v>0.1</v>
      </c>
      <c r="BB87" s="33">
        <v>0.57999999999999996</v>
      </c>
      <c r="BC87" s="21"/>
      <c r="BD87" s="26">
        <v>0.66999999999999993</v>
      </c>
      <c r="BE87" s="26">
        <v>0.11</v>
      </c>
      <c r="BF87" s="26" t="s">
        <v>729</v>
      </c>
      <c r="BG87" s="21"/>
      <c r="BH87" s="34">
        <v>0</v>
      </c>
      <c r="BI87" s="34">
        <v>0</v>
      </c>
      <c r="BJ87" s="34" t="s">
        <v>259</v>
      </c>
      <c r="BK87" s="34">
        <v>0</v>
      </c>
      <c r="BL87" s="21"/>
      <c r="BM87" s="35">
        <v>0.77999999999999992</v>
      </c>
    </row>
    <row r="88" spans="1:65" x14ac:dyDescent="0.25">
      <c r="A88" s="4" t="s">
        <v>63</v>
      </c>
      <c r="B88" s="4">
        <v>74154</v>
      </c>
      <c r="C88" s="4" t="s">
        <v>148</v>
      </c>
      <c r="D88" s="19" t="s">
        <v>267</v>
      </c>
      <c r="E88" s="20">
        <v>47919</v>
      </c>
      <c r="F88" s="20" t="s">
        <v>436</v>
      </c>
      <c r="G88" s="20" t="s">
        <v>437</v>
      </c>
      <c r="H88" s="2">
        <v>45581</v>
      </c>
      <c r="I88" s="2" t="s">
        <v>263</v>
      </c>
      <c r="J88" s="2" t="s">
        <v>263</v>
      </c>
      <c r="K88" s="21">
        <v>12</v>
      </c>
      <c r="L88" s="21">
        <v>370800</v>
      </c>
      <c r="M88" s="21">
        <v>34560</v>
      </c>
      <c r="N88" s="21">
        <v>330</v>
      </c>
      <c r="O88" s="21">
        <v>0</v>
      </c>
      <c r="P88" s="21">
        <v>159021</v>
      </c>
      <c r="Q88" s="22">
        <v>387.5242424242424</v>
      </c>
      <c r="R88" s="22">
        <v>300</v>
      </c>
      <c r="S88" s="23">
        <v>0</v>
      </c>
      <c r="T88" s="23">
        <v>0</v>
      </c>
      <c r="U88" s="24">
        <v>0.47293897216274089</v>
      </c>
      <c r="V88" s="25">
        <v>0</v>
      </c>
      <c r="W88" s="26">
        <v>0</v>
      </c>
      <c r="X88" s="27">
        <v>8.3333333333333329E-2</v>
      </c>
      <c r="Y88" s="25">
        <v>0</v>
      </c>
      <c r="Z88" s="24">
        <v>0.75</v>
      </c>
      <c r="AA88" s="25">
        <v>0</v>
      </c>
      <c r="AB88" s="28">
        <v>0</v>
      </c>
      <c r="AC88" s="28">
        <v>0</v>
      </c>
      <c r="AD88" s="28">
        <v>0</v>
      </c>
      <c r="AE88" s="25">
        <v>0.09</v>
      </c>
      <c r="AF88" s="26">
        <v>0.09</v>
      </c>
      <c r="AG88" s="29" t="s">
        <v>729</v>
      </c>
      <c r="AH88" s="30">
        <v>0.92500000000000004</v>
      </c>
      <c r="AI88" s="26">
        <v>0.1</v>
      </c>
      <c r="AJ88" s="21">
        <v>0</v>
      </c>
      <c r="AK88" s="21">
        <v>0</v>
      </c>
      <c r="AL88" s="26">
        <v>0.1</v>
      </c>
      <c r="AM88" s="24">
        <v>0.67173913043478262</v>
      </c>
      <c r="AN88" s="24">
        <v>0.56521739130434778</v>
      </c>
      <c r="AO88" s="31">
        <v>0</v>
      </c>
      <c r="AP88" s="31">
        <v>0</v>
      </c>
      <c r="AQ88" s="24">
        <v>0.80227272727272725</v>
      </c>
      <c r="AR88" s="27">
        <v>0.77272727272727271</v>
      </c>
      <c r="AS88" s="26">
        <v>7.4999999999999997E-2</v>
      </c>
      <c r="AT88" s="26">
        <v>0</v>
      </c>
      <c r="AU88" s="24">
        <v>0.98648648648648651</v>
      </c>
      <c r="AV88" s="32">
        <v>0</v>
      </c>
      <c r="AW88" s="26">
        <v>0.05</v>
      </c>
      <c r="AX88" s="26">
        <v>0.02</v>
      </c>
      <c r="AY88" s="24">
        <v>0.69341296928327656</v>
      </c>
      <c r="AZ88" s="24">
        <v>0.69965870307167233</v>
      </c>
      <c r="BA88" s="31">
        <v>0.1</v>
      </c>
      <c r="BB88" s="33">
        <v>0.42500000000000004</v>
      </c>
      <c r="BC88" s="21"/>
      <c r="BD88" s="26">
        <v>0.51500000000000001</v>
      </c>
      <c r="BE88" s="26">
        <v>0.02</v>
      </c>
      <c r="BF88" s="26" t="s">
        <v>729</v>
      </c>
      <c r="BG88" s="21"/>
      <c r="BH88" s="34">
        <v>0</v>
      </c>
      <c r="BI88" s="34">
        <v>0</v>
      </c>
      <c r="BJ88" s="34" t="s">
        <v>259</v>
      </c>
      <c r="BK88" s="34">
        <v>0</v>
      </c>
      <c r="BL88" s="21"/>
      <c r="BM88" s="35">
        <v>0.53500000000000003</v>
      </c>
    </row>
    <row r="89" spans="1:65" x14ac:dyDescent="0.25">
      <c r="A89" s="4" t="s">
        <v>63</v>
      </c>
      <c r="B89" s="4">
        <v>72332</v>
      </c>
      <c r="C89" s="4" t="s">
        <v>149</v>
      </c>
      <c r="D89" s="19" t="s">
        <v>270</v>
      </c>
      <c r="E89" s="20">
        <v>47965</v>
      </c>
      <c r="F89" s="20" t="s">
        <v>438</v>
      </c>
      <c r="G89" s="20" t="s">
        <v>439</v>
      </c>
      <c r="H89" s="2">
        <v>45581</v>
      </c>
      <c r="I89" s="2" t="s">
        <v>263</v>
      </c>
      <c r="J89" s="2" t="s">
        <v>263</v>
      </c>
      <c r="K89" s="21">
        <v>16</v>
      </c>
      <c r="L89" s="21">
        <v>480600</v>
      </c>
      <c r="M89" s="21">
        <v>5400</v>
      </c>
      <c r="N89" s="21">
        <v>919</v>
      </c>
      <c r="O89" s="21">
        <v>0</v>
      </c>
      <c r="P89" s="21">
        <v>392081</v>
      </c>
      <c r="Q89" s="22">
        <v>263.8520130576714</v>
      </c>
      <c r="R89" s="22">
        <v>300</v>
      </c>
      <c r="S89" s="23">
        <v>0.1</v>
      </c>
      <c r="T89" s="23">
        <v>0.05</v>
      </c>
      <c r="U89" s="24">
        <v>0.82508627946127944</v>
      </c>
      <c r="V89" s="25">
        <v>0.05</v>
      </c>
      <c r="W89" s="26">
        <v>0.15000000000000002</v>
      </c>
      <c r="X89" s="27">
        <v>0.5</v>
      </c>
      <c r="Y89" s="25">
        <v>0</v>
      </c>
      <c r="Z89" s="24">
        <v>0.9375</v>
      </c>
      <c r="AA89" s="25">
        <v>0</v>
      </c>
      <c r="AB89" s="28">
        <v>0</v>
      </c>
      <c r="AC89" s="28">
        <v>0</v>
      </c>
      <c r="AD89" s="28">
        <v>0</v>
      </c>
      <c r="AE89" s="25">
        <v>0.09</v>
      </c>
      <c r="AF89" s="26">
        <v>0.09</v>
      </c>
      <c r="AG89" s="29" t="s">
        <v>729</v>
      </c>
      <c r="AH89" s="30">
        <v>0.92500000000000004</v>
      </c>
      <c r="AI89" s="26">
        <v>0.1</v>
      </c>
      <c r="AJ89" s="21">
        <v>0</v>
      </c>
      <c r="AK89" s="21">
        <v>0</v>
      </c>
      <c r="AL89" s="26">
        <v>0.1</v>
      </c>
      <c r="AM89" s="24">
        <v>0.68749999999999989</v>
      </c>
      <c r="AN89" s="24">
        <v>0.6428571428571429</v>
      </c>
      <c r="AO89" s="31">
        <v>0.04</v>
      </c>
      <c r="AP89" s="31">
        <v>0</v>
      </c>
      <c r="AQ89" s="24">
        <v>0.8174509803921568</v>
      </c>
      <c r="AR89" s="27">
        <v>0.72549019607843135</v>
      </c>
      <c r="AS89" s="26">
        <v>0</v>
      </c>
      <c r="AT89" s="26">
        <v>0</v>
      </c>
      <c r="AU89" s="24">
        <v>0.98524404086265605</v>
      </c>
      <c r="AV89" s="32">
        <v>13</v>
      </c>
      <c r="AW89" s="26">
        <v>0</v>
      </c>
      <c r="AX89" s="26">
        <v>0</v>
      </c>
      <c r="AY89" s="24">
        <v>0.71276450511945388</v>
      </c>
      <c r="AZ89" s="24">
        <v>0.68600682593856654</v>
      </c>
      <c r="BA89" s="31">
        <v>0</v>
      </c>
      <c r="BB89" s="33">
        <v>0.24000000000000002</v>
      </c>
      <c r="BC89" s="21"/>
      <c r="BD89" s="26">
        <v>0.48000000000000004</v>
      </c>
      <c r="BE89" s="26">
        <v>0.05</v>
      </c>
      <c r="BF89" s="26" t="s">
        <v>729</v>
      </c>
      <c r="BG89" s="21"/>
      <c r="BH89" s="34">
        <v>0</v>
      </c>
      <c r="BI89" s="34">
        <v>0.09</v>
      </c>
      <c r="BJ89" s="34" t="s">
        <v>259</v>
      </c>
      <c r="BK89" s="34">
        <v>0.09</v>
      </c>
      <c r="BL89" s="21"/>
      <c r="BM89" s="35">
        <v>0.44000000000000006</v>
      </c>
    </row>
    <row r="90" spans="1:65" x14ac:dyDescent="0.25">
      <c r="A90" s="4" t="s">
        <v>63</v>
      </c>
      <c r="B90" s="4">
        <v>73865</v>
      </c>
      <c r="C90" s="4" t="s">
        <v>150</v>
      </c>
      <c r="D90" s="19" t="s">
        <v>282</v>
      </c>
      <c r="E90" s="20">
        <v>48190</v>
      </c>
      <c r="F90" s="20" t="s">
        <v>440</v>
      </c>
      <c r="G90" s="20" t="s">
        <v>441</v>
      </c>
      <c r="H90" s="2">
        <v>45602</v>
      </c>
      <c r="I90" s="2" t="s">
        <v>263</v>
      </c>
      <c r="J90" s="2" t="s">
        <v>263</v>
      </c>
      <c r="K90" s="21">
        <v>20</v>
      </c>
      <c r="L90" s="21">
        <v>594000</v>
      </c>
      <c r="M90" s="21">
        <v>0</v>
      </c>
      <c r="N90" s="21">
        <v>991</v>
      </c>
      <c r="O90" s="21">
        <v>59</v>
      </c>
      <c r="P90" s="21">
        <v>434739</v>
      </c>
      <c r="Q90" s="22">
        <v>308.25333333333333</v>
      </c>
      <c r="R90" s="22">
        <v>306.46190476190475</v>
      </c>
      <c r="S90" s="23">
        <v>0.05</v>
      </c>
      <c r="T90" s="23">
        <v>0</v>
      </c>
      <c r="U90" s="24">
        <v>0.73188383838383841</v>
      </c>
      <c r="V90" s="25">
        <v>0</v>
      </c>
      <c r="W90" s="26">
        <v>0.05</v>
      </c>
      <c r="X90" s="27">
        <v>0.95</v>
      </c>
      <c r="Y90" s="25">
        <v>0.04</v>
      </c>
      <c r="Z90" s="24">
        <v>0.9</v>
      </c>
      <c r="AA90" s="25">
        <v>0</v>
      </c>
      <c r="AB90" s="28">
        <v>0</v>
      </c>
      <c r="AC90" s="28">
        <v>0</v>
      </c>
      <c r="AD90" s="28">
        <v>0</v>
      </c>
      <c r="AE90" s="25">
        <v>0.09</v>
      </c>
      <c r="AF90" s="26">
        <v>0.13</v>
      </c>
      <c r="AG90" s="29" t="s">
        <v>729</v>
      </c>
      <c r="AH90" s="30">
        <v>0.91500000000000004</v>
      </c>
      <c r="AI90" s="26">
        <v>0.1</v>
      </c>
      <c r="AJ90" s="21">
        <v>0</v>
      </c>
      <c r="AK90" s="21">
        <v>0</v>
      </c>
      <c r="AL90" s="26">
        <v>0.1</v>
      </c>
      <c r="AM90" s="24">
        <v>0.69</v>
      </c>
      <c r="AN90" s="24">
        <v>0.80158730158730163</v>
      </c>
      <c r="AO90" s="31">
        <v>0.08</v>
      </c>
      <c r="AP90" s="31">
        <v>0.03</v>
      </c>
      <c r="AQ90" s="24">
        <v>0.82</v>
      </c>
      <c r="AR90" s="27">
        <v>0.84482758620689657</v>
      </c>
      <c r="AS90" s="26">
        <v>0</v>
      </c>
      <c r="AT90" s="26">
        <v>0</v>
      </c>
      <c r="AU90" s="24">
        <v>0.91640543364681293</v>
      </c>
      <c r="AV90" s="32">
        <v>1</v>
      </c>
      <c r="AW90" s="26">
        <v>0.05</v>
      </c>
      <c r="AX90" s="26">
        <v>0</v>
      </c>
      <c r="AY90" s="24">
        <v>0.72465648854961828</v>
      </c>
      <c r="AZ90" s="24">
        <v>0.73936750272628138</v>
      </c>
      <c r="BA90" s="31">
        <v>0.1</v>
      </c>
      <c r="BB90" s="33">
        <v>0.43000000000000005</v>
      </c>
      <c r="BC90" s="21"/>
      <c r="BD90" s="26">
        <v>0.6100000000000001</v>
      </c>
      <c r="BE90" s="26">
        <v>0.03</v>
      </c>
      <c r="BF90" s="26" t="s">
        <v>729</v>
      </c>
      <c r="BG90" s="21"/>
      <c r="BH90" s="34">
        <v>0</v>
      </c>
      <c r="BI90" s="34">
        <v>0</v>
      </c>
      <c r="BJ90" s="34" t="s">
        <v>259</v>
      </c>
      <c r="BK90" s="34">
        <v>0</v>
      </c>
      <c r="BL90" s="21"/>
      <c r="BM90" s="35">
        <v>0.64000000000000012</v>
      </c>
    </row>
    <row r="91" spans="1:65" x14ac:dyDescent="0.25">
      <c r="A91" s="4" t="s">
        <v>63</v>
      </c>
      <c r="B91" s="4">
        <v>74157</v>
      </c>
      <c r="C91" s="4" t="s">
        <v>151</v>
      </c>
      <c r="D91" s="19" t="s">
        <v>282</v>
      </c>
      <c r="E91" s="20">
        <v>48365</v>
      </c>
      <c r="F91" s="20" t="s">
        <v>442</v>
      </c>
      <c r="G91" s="20" t="s">
        <v>443</v>
      </c>
      <c r="H91" s="2">
        <v>45621</v>
      </c>
      <c r="I91" s="2" t="s">
        <v>263</v>
      </c>
      <c r="J91" s="2" t="s">
        <v>263</v>
      </c>
      <c r="K91" s="21">
        <v>21</v>
      </c>
      <c r="L91" s="21">
        <v>623700</v>
      </c>
      <c r="M91" s="21">
        <v>0</v>
      </c>
      <c r="N91" s="21">
        <v>687</v>
      </c>
      <c r="O91" s="21">
        <v>0</v>
      </c>
      <c r="P91" s="21">
        <v>346952</v>
      </c>
      <c r="Q91" s="22">
        <v>403.8850072780204</v>
      </c>
      <c r="R91" s="22">
        <v>300</v>
      </c>
      <c r="S91" s="48">
        <v>0.1</v>
      </c>
      <c r="T91" s="23">
        <v>0</v>
      </c>
      <c r="U91" s="24">
        <v>0.55628026294692956</v>
      </c>
      <c r="V91" s="25">
        <v>0</v>
      </c>
      <c r="W91" s="26">
        <v>0.1</v>
      </c>
      <c r="X91" s="27">
        <v>0</v>
      </c>
      <c r="Y91" s="25">
        <v>0</v>
      </c>
      <c r="Z91" s="24">
        <v>0.5714285714285714</v>
      </c>
      <c r="AA91" s="25">
        <v>0</v>
      </c>
      <c r="AB91" s="28">
        <v>0</v>
      </c>
      <c r="AC91" s="28">
        <v>0</v>
      </c>
      <c r="AD91" s="28">
        <v>0</v>
      </c>
      <c r="AE91" s="25">
        <v>0.09</v>
      </c>
      <c r="AF91" s="26">
        <v>0.09</v>
      </c>
      <c r="AG91" s="29">
        <v>0</v>
      </c>
      <c r="AH91" s="30">
        <v>1</v>
      </c>
      <c r="AI91" s="26">
        <v>0.1</v>
      </c>
      <c r="AJ91" s="21">
        <v>0</v>
      </c>
      <c r="AK91" s="21">
        <v>0</v>
      </c>
      <c r="AL91" s="26">
        <v>0.1</v>
      </c>
      <c r="AM91" s="24">
        <v>0.6744444444444444</v>
      </c>
      <c r="AN91" s="24">
        <v>0.74444444444444446</v>
      </c>
      <c r="AO91" s="31">
        <v>0.08</v>
      </c>
      <c r="AP91" s="31">
        <v>0.03</v>
      </c>
      <c r="AQ91" s="24">
        <v>0.80776470588235294</v>
      </c>
      <c r="AR91" s="27">
        <v>0.83529411764705885</v>
      </c>
      <c r="AS91" s="26">
        <v>0.2</v>
      </c>
      <c r="AT91" s="26">
        <v>0.04</v>
      </c>
      <c r="AU91" s="24">
        <v>0.9700176366843033</v>
      </c>
      <c r="AV91" s="32">
        <v>4</v>
      </c>
      <c r="AW91" s="26">
        <v>0</v>
      </c>
      <c r="AX91" s="26">
        <v>0</v>
      </c>
      <c r="AY91" s="24">
        <v>0.69998185117967338</v>
      </c>
      <c r="AZ91" s="24">
        <v>0.7078039927404719</v>
      </c>
      <c r="BA91" s="31">
        <v>0.1</v>
      </c>
      <c r="BB91" s="33">
        <v>0.57999999999999996</v>
      </c>
      <c r="BC91" s="21"/>
      <c r="BD91" s="26">
        <v>0.76999999999999991</v>
      </c>
      <c r="BE91" s="26">
        <v>7.0000000000000007E-2</v>
      </c>
      <c r="BF91" s="26">
        <v>0</v>
      </c>
      <c r="BG91" s="21"/>
      <c r="BH91" s="34">
        <v>0</v>
      </c>
      <c r="BI91" s="34">
        <v>0</v>
      </c>
      <c r="BJ91" s="34" t="s">
        <v>259</v>
      </c>
      <c r="BK91" s="34">
        <v>0</v>
      </c>
      <c r="BL91" s="21"/>
      <c r="BM91" s="35">
        <v>0.83999999999999986</v>
      </c>
    </row>
    <row r="92" spans="1:65" x14ac:dyDescent="0.25">
      <c r="A92" s="4" t="s">
        <v>63</v>
      </c>
      <c r="B92" s="4">
        <v>71131</v>
      </c>
      <c r="C92" s="4" t="s">
        <v>152</v>
      </c>
      <c r="D92" s="19" t="s">
        <v>282</v>
      </c>
      <c r="E92" s="20">
        <v>48319</v>
      </c>
      <c r="F92" s="20" t="s">
        <v>444</v>
      </c>
      <c r="G92" s="20" t="s">
        <v>445</v>
      </c>
      <c r="H92" s="2">
        <v>45602</v>
      </c>
      <c r="I92" s="2" t="s">
        <v>263</v>
      </c>
      <c r="J92" s="2" t="s">
        <v>263</v>
      </c>
      <c r="K92" s="21">
        <v>10</v>
      </c>
      <c r="L92" s="21">
        <v>303300</v>
      </c>
      <c r="M92" s="21">
        <v>13500</v>
      </c>
      <c r="N92" s="21">
        <v>469</v>
      </c>
      <c r="O92" s="21">
        <v>0</v>
      </c>
      <c r="P92" s="21">
        <v>230650</v>
      </c>
      <c r="Q92" s="22">
        <v>337.59488272921106</v>
      </c>
      <c r="R92" s="22">
        <v>300</v>
      </c>
      <c r="S92" s="23">
        <v>0</v>
      </c>
      <c r="T92" s="23">
        <v>0</v>
      </c>
      <c r="U92" s="24">
        <v>0.79589371980676327</v>
      </c>
      <c r="V92" s="25">
        <v>0.05</v>
      </c>
      <c r="W92" s="26">
        <v>0.05</v>
      </c>
      <c r="X92" s="27">
        <v>0.6</v>
      </c>
      <c r="Y92" s="25">
        <v>0</v>
      </c>
      <c r="Z92" s="24">
        <v>0.6</v>
      </c>
      <c r="AA92" s="25">
        <v>0</v>
      </c>
      <c r="AB92" s="28">
        <v>0</v>
      </c>
      <c r="AC92" s="28">
        <v>0</v>
      </c>
      <c r="AD92" s="28">
        <v>0</v>
      </c>
      <c r="AE92" s="25">
        <v>0.09</v>
      </c>
      <c r="AF92" s="26">
        <v>0.09</v>
      </c>
      <c r="AG92" s="29" t="s">
        <v>729</v>
      </c>
      <c r="AH92" s="30">
        <v>1</v>
      </c>
      <c r="AI92" s="26">
        <v>0.1</v>
      </c>
      <c r="AJ92" s="21">
        <v>0</v>
      </c>
      <c r="AK92" s="21">
        <v>0</v>
      </c>
      <c r="AL92" s="26">
        <v>0.1</v>
      </c>
      <c r="AM92" s="24">
        <v>0.67999999999999994</v>
      </c>
      <c r="AN92" s="24">
        <v>0.7142857142857143</v>
      </c>
      <c r="AO92" s="31">
        <v>0.08</v>
      </c>
      <c r="AP92" s="31">
        <v>0.03</v>
      </c>
      <c r="AQ92" s="24">
        <v>0.81018867924528293</v>
      </c>
      <c r="AR92" s="27">
        <v>0.83018867924528306</v>
      </c>
      <c r="AS92" s="26">
        <v>0.2</v>
      </c>
      <c r="AT92" s="26">
        <v>0.04</v>
      </c>
      <c r="AU92" s="24">
        <v>0.98292682926829267</v>
      </c>
      <c r="AV92" s="32">
        <v>1</v>
      </c>
      <c r="AW92" s="26">
        <v>0.05</v>
      </c>
      <c r="AX92" s="26">
        <v>0</v>
      </c>
      <c r="AY92" s="24">
        <v>0.69769041769041762</v>
      </c>
      <c r="AZ92" s="24">
        <v>0.7764127764127764</v>
      </c>
      <c r="BA92" s="31">
        <v>0.1</v>
      </c>
      <c r="BB92" s="33">
        <v>0.63</v>
      </c>
      <c r="BC92" s="21"/>
      <c r="BD92" s="26">
        <v>0.77</v>
      </c>
      <c r="BE92" s="26">
        <v>7.0000000000000007E-2</v>
      </c>
      <c r="BF92" s="26" t="s">
        <v>729</v>
      </c>
      <c r="BG92" s="21"/>
      <c r="BH92" s="34">
        <v>0</v>
      </c>
      <c r="BI92" s="34">
        <v>0</v>
      </c>
      <c r="BJ92" s="34" t="s">
        <v>259</v>
      </c>
      <c r="BK92" s="34">
        <v>0</v>
      </c>
      <c r="BL92" s="21"/>
      <c r="BM92" s="35">
        <v>0.84000000000000008</v>
      </c>
    </row>
    <row r="93" spans="1:65" x14ac:dyDescent="0.25">
      <c r="A93" s="4" t="s">
        <v>63</v>
      </c>
      <c r="B93" s="4">
        <v>71619</v>
      </c>
      <c r="C93" s="4" t="s">
        <v>153</v>
      </c>
      <c r="D93" s="19" t="s">
        <v>273</v>
      </c>
      <c r="E93" s="20">
        <v>48320</v>
      </c>
      <c r="F93" s="20" t="s">
        <v>446</v>
      </c>
      <c r="G93" s="20" t="s">
        <v>447</v>
      </c>
      <c r="H93" s="2">
        <v>45602</v>
      </c>
      <c r="I93" s="2" t="s">
        <v>263</v>
      </c>
      <c r="J93" s="2" t="s">
        <v>263</v>
      </c>
      <c r="K93" s="21">
        <v>20</v>
      </c>
      <c r="L93" s="21">
        <v>594000</v>
      </c>
      <c r="M93" s="21">
        <v>7200</v>
      </c>
      <c r="N93" s="21">
        <v>925</v>
      </c>
      <c r="O93" s="21">
        <v>131</v>
      </c>
      <c r="P93" s="21">
        <v>364785</v>
      </c>
      <c r="Q93" s="22">
        <v>227.71969696969697</v>
      </c>
      <c r="R93" s="22">
        <v>314.2660984848485</v>
      </c>
      <c r="S93" s="23">
        <v>0.1</v>
      </c>
      <c r="T93" s="23">
        <v>0.05</v>
      </c>
      <c r="U93" s="24">
        <v>0.62165132924335376</v>
      </c>
      <c r="V93" s="25">
        <v>0</v>
      </c>
      <c r="W93" s="26">
        <v>0.1</v>
      </c>
      <c r="X93" s="27">
        <v>0.05</v>
      </c>
      <c r="Y93" s="25">
        <v>0</v>
      </c>
      <c r="Z93" s="24">
        <v>0.65</v>
      </c>
      <c r="AA93" s="25">
        <v>0</v>
      </c>
      <c r="AB93" s="28">
        <v>0</v>
      </c>
      <c r="AC93" s="28">
        <v>0</v>
      </c>
      <c r="AD93" s="28">
        <v>0</v>
      </c>
      <c r="AE93" s="25">
        <v>0.09</v>
      </c>
      <c r="AF93" s="26">
        <v>0.09</v>
      </c>
      <c r="AG93" s="29" t="s">
        <v>729</v>
      </c>
      <c r="AH93" s="30">
        <v>0.92999999999999994</v>
      </c>
      <c r="AI93" s="26">
        <v>0.1</v>
      </c>
      <c r="AJ93" s="21">
        <v>0</v>
      </c>
      <c r="AK93" s="21">
        <v>0</v>
      </c>
      <c r="AL93" s="26">
        <v>0.1</v>
      </c>
      <c r="AM93" s="24">
        <v>0.68787878787878776</v>
      </c>
      <c r="AN93" s="24">
        <v>0.74242424242424243</v>
      </c>
      <c r="AO93" s="31">
        <v>0.08</v>
      </c>
      <c r="AP93" s="31">
        <v>0.03</v>
      </c>
      <c r="AQ93" s="24">
        <v>0.81785123966942141</v>
      </c>
      <c r="AR93" s="27">
        <v>0.83471074380165289</v>
      </c>
      <c r="AS93" s="26">
        <v>0.2</v>
      </c>
      <c r="AT93" s="26">
        <v>0.02</v>
      </c>
      <c r="AU93" s="24">
        <v>0.97377049180327868</v>
      </c>
      <c r="AV93" s="32">
        <v>17</v>
      </c>
      <c r="AW93" s="26">
        <v>0</v>
      </c>
      <c r="AX93" s="26">
        <v>0</v>
      </c>
      <c r="AY93" s="24">
        <v>0.71652173913043482</v>
      </c>
      <c r="AZ93" s="24">
        <v>0.71552795031055905</v>
      </c>
      <c r="BA93" s="31">
        <v>0.05</v>
      </c>
      <c r="BB93" s="33">
        <v>0.53</v>
      </c>
      <c r="BC93" s="21"/>
      <c r="BD93" s="26">
        <v>0.72</v>
      </c>
      <c r="BE93" s="26">
        <v>0.1</v>
      </c>
      <c r="BF93" s="26" t="s">
        <v>729</v>
      </c>
      <c r="BG93" s="21"/>
      <c r="BH93" s="34">
        <v>0</v>
      </c>
      <c r="BI93" s="34">
        <v>0.13</v>
      </c>
      <c r="BJ93" s="34" t="s">
        <v>259</v>
      </c>
      <c r="BK93" s="34">
        <v>0.13</v>
      </c>
      <c r="BL93" s="21"/>
      <c r="BM93" s="35">
        <v>0.69</v>
      </c>
    </row>
    <row r="94" spans="1:65" x14ac:dyDescent="0.25">
      <c r="A94" s="4" t="s">
        <v>63</v>
      </c>
      <c r="B94" s="4">
        <v>71810</v>
      </c>
      <c r="C94" s="4" t="s">
        <v>154</v>
      </c>
      <c r="D94" s="19" t="s">
        <v>273</v>
      </c>
      <c r="E94" s="20">
        <v>48193</v>
      </c>
      <c r="F94" s="20" t="s">
        <v>448</v>
      </c>
      <c r="G94" s="20" t="s">
        <v>449</v>
      </c>
      <c r="H94" s="2">
        <v>45602</v>
      </c>
      <c r="I94" s="2" t="s">
        <v>263</v>
      </c>
      <c r="J94" s="2" t="s">
        <v>263</v>
      </c>
      <c r="K94" s="21">
        <v>15</v>
      </c>
      <c r="L94" s="21">
        <v>445500</v>
      </c>
      <c r="M94" s="21">
        <v>0</v>
      </c>
      <c r="N94" s="21">
        <v>903</v>
      </c>
      <c r="O94" s="21">
        <v>0</v>
      </c>
      <c r="P94" s="21">
        <v>385149</v>
      </c>
      <c r="Q94" s="22">
        <v>289.03433001107419</v>
      </c>
      <c r="R94" s="22">
        <v>300</v>
      </c>
      <c r="S94" s="23">
        <v>0.1</v>
      </c>
      <c r="T94" s="23">
        <v>0.05</v>
      </c>
      <c r="U94" s="24">
        <v>0.86453198653198648</v>
      </c>
      <c r="V94" s="25">
        <v>0.1</v>
      </c>
      <c r="W94" s="26">
        <v>0.2</v>
      </c>
      <c r="X94" s="27">
        <v>0.53333333333333333</v>
      </c>
      <c r="Y94" s="25">
        <v>0</v>
      </c>
      <c r="Z94" s="24">
        <v>0.93333333333333335</v>
      </c>
      <c r="AA94" s="25">
        <v>0</v>
      </c>
      <c r="AB94" s="28">
        <v>0</v>
      </c>
      <c r="AC94" s="28">
        <v>0</v>
      </c>
      <c r="AD94" s="28">
        <v>0</v>
      </c>
      <c r="AE94" s="25">
        <v>0.09</v>
      </c>
      <c r="AF94" s="26">
        <v>0.09</v>
      </c>
      <c r="AG94" s="29" t="s">
        <v>729</v>
      </c>
      <c r="AH94" s="30">
        <v>0.92999999999999994</v>
      </c>
      <c r="AI94" s="26">
        <v>0.1</v>
      </c>
      <c r="AJ94" s="21">
        <v>0</v>
      </c>
      <c r="AK94" s="21">
        <v>0</v>
      </c>
      <c r="AL94" s="26">
        <v>0.1</v>
      </c>
      <c r="AM94" s="24">
        <v>0.68275862068965509</v>
      </c>
      <c r="AN94" s="24">
        <v>0.68103448275862066</v>
      </c>
      <c r="AO94" s="31">
        <v>0.06</v>
      </c>
      <c r="AP94" s="31">
        <v>0</v>
      </c>
      <c r="AQ94" s="24">
        <v>0.81336734693877544</v>
      </c>
      <c r="AR94" s="27">
        <v>0.7857142857142857</v>
      </c>
      <c r="AS94" s="26">
        <v>7.4999999999999997E-2</v>
      </c>
      <c r="AT94" s="26">
        <v>0</v>
      </c>
      <c r="AU94" s="24">
        <v>0.97929354445797812</v>
      </c>
      <c r="AV94" s="32">
        <v>1</v>
      </c>
      <c r="AW94" s="26">
        <v>0.05</v>
      </c>
      <c r="AX94" s="26">
        <v>0</v>
      </c>
      <c r="AY94" s="24">
        <v>0.70592548076923067</v>
      </c>
      <c r="AZ94" s="24">
        <v>0.77403846153846156</v>
      </c>
      <c r="BA94" s="31">
        <v>0.1</v>
      </c>
      <c r="BB94" s="33">
        <v>0.48499999999999999</v>
      </c>
      <c r="BC94" s="21"/>
      <c r="BD94" s="26">
        <v>0.77499999999999991</v>
      </c>
      <c r="BE94" s="26">
        <v>0.05</v>
      </c>
      <c r="BF94" s="26" t="s">
        <v>729</v>
      </c>
      <c r="BG94" s="21"/>
      <c r="BH94" s="34">
        <v>0</v>
      </c>
      <c r="BI94" s="34">
        <v>0</v>
      </c>
      <c r="BJ94" s="34" t="s">
        <v>259</v>
      </c>
      <c r="BK94" s="34">
        <v>0</v>
      </c>
      <c r="BL94" s="21"/>
      <c r="BM94" s="35">
        <v>0.82499999999999996</v>
      </c>
    </row>
    <row r="95" spans="1:65" x14ac:dyDescent="0.25">
      <c r="A95" s="4" t="s">
        <v>63</v>
      </c>
      <c r="B95" s="4">
        <v>72859</v>
      </c>
      <c r="C95" s="4" t="s">
        <v>155</v>
      </c>
      <c r="D95" s="19" t="s">
        <v>314</v>
      </c>
      <c r="E95" s="20">
        <v>48353</v>
      </c>
      <c r="F95" s="20" t="s">
        <v>450</v>
      </c>
      <c r="G95" s="20" t="s">
        <v>451</v>
      </c>
      <c r="H95" s="2">
        <v>45621</v>
      </c>
      <c r="I95" s="2" t="s">
        <v>263</v>
      </c>
      <c r="J95" s="2" t="s">
        <v>263</v>
      </c>
      <c r="K95" s="21">
        <v>17</v>
      </c>
      <c r="L95" s="21">
        <v>504900</v>
      </c>
      <c r="M95" s="21">
        <v>0</v>
      </c>
      <c r="N95" s="21">
        <v>650</v>
      </c>
      <c r="O95" s="21">
        <v>0</v>
      </c>
      <c r="P95" s="21">
        <v>299631</v>
      </c>
      <c r="Q95" s="22">
        <v>333.2</v>
      </c>
      <c r="R95" s="22">
        <v>300</v>
      </c>
      <c r="S95" s="23">
        <v>0</v>
      </c>
      <c r="T95" s="23">
        <v>0</v>
      </c>
      <c r="U95" s="24">
        <v>0.59344622697563876</v>
      </c>
      <c r="V95" s="25">
        <v>0</v>
      </c>
      <c r="W95" s="26">
        <v>0</v>
      </c>
      <c r="X95" s="27">
        <v>0</v>
      </c>
      <c r="Y95" s="25">
        <v>0</v>
      </c>
      <c r="Z95" s="24">
        <v>0.41176470588235292</v>
      </c>
      <c r="AA95" s="25">
        <v>0</v>
      </c>
      <c r="AB95" s="28">
        <v>0</v>
      </c>
      <c r="AC95" s="28">
        <v>0</v>
      </c>
      <c r="AD95" s="28">
        <v>0</v>
      </c>
      <c r="AE95" s="25">
        <v>0.09</v>
      </c>
      <c r="AF95" s="26">
        <v>0.09</v>
      </c>
      <c r="AG95" s="29" t="s">
        <v>729</v>
      </c>
      <c r="AH95" s="30">
        <v>1</v>
      </c>
      <c r="AI95" s="26">
        <v>0.1</v>
      </c>
      <c r="AJ95" s="21">
        <v>0</v>
      </c>
      <c r="AK95" s="21">
        <v>0</v>
      </c>
      <c r="AL95" s="26">
        <v>0.1</v>
      </c>
      <c r="AM95" s="24">
        <v>0.68636363636363629</v>
      </c>
      <c r="AN95" s="24">
        <v>0.62337662337662336</v>
      </c>
      <c r="AO95" s="31">
        <v>0</v>
      </c>
      <c r="AP95" s="31">
        <v>0</v>
      </c>
      <c r="AQ95" s="24">
        <v>0.81816901408450704</v>
      </c>
      <c r="AR95" s="27">
        <v>0.676056338028169</v>
      </c>
      <c r="AS95" s="26">
        <v>0</v>
      </c>
      <c r="AT95" s="26">
        <v>0</v>
      </c>
      <c r="AU95" s="24">
        <v>0.94515539305301643</v>
      </c>
      <c r="AV95" s="32">
        <v>2</v>
      </c>
      <c r="AW95" s="26">
        <v>0.03</v>
      </c>
      <c r="AX95" s="26">
        <v>0</v>
      </c>
      <c r="AY95" s="24">
        <v>0.70086715867158678</v>
      </c>
      <c r="AZ95" s="24">
        <v>0.74169741697416969</v>
      </c>
      <c r="BA95" s="31">
        <v>0.1</v>
      </c>
      <c r="BB95" s="33">
        <v>0.33</v>
      </c>
      <c r="BC95" s="21"/>
      <c r="BD95" s="26">
        <v>0.42000000000000004</v>
      </c>
      <c r="BE95" s="26">
        <v>0</v>
      </c>
      <c r="BF95" s="26" t="s">
        <v>729</v>
      </c>
      <c r="BG95" s="21"/>
      <c r="BH95" s="34">
        <v>0</v>
      </c>
      <c r="BI95" s="34">
        <v>0</v>
      </c>
      <c r="BJ95" s="34" t="s">
        <v>259</v>
      </c>
      <c r="BK95" s="34">
        <v>0</v>
      </c>
      <c r="BL95" s="21"/>
      <c r="BM95" s="35">
        <v>0.42000000000000004</v>
      </c>
    </row>
    <row r="96" spans="1:65" x14ac:dyDescent="0.25">
      <c r="A96" s="4" t="s">
        <v>63</v>
      </c>
      <c r="B96" s="4">
        <v>73245</v>
      </c>
      <c r="C96" s="4" t="s">
        <v>156</v>
      </c>
      <c r="D96" s="19" t="s">
        <v>314</v>
      </c>
      <c r="E96" s="20">
        <v>48509</v>
      </c>
      <c r="F96" s="20" t="s">
        <v>452</v>
      </c>
      <c r="G96" s="20" t="s">
        <v>453</v>
      </c>
      <c r="H96" s="2">
        <v>45621</v>
      </c>
      <c r="I96" s="2" t="s">
        <v>263</v>
      </c>
      <c r="J96" s="2" t="s">
        <v>263</v>
      </c>
      <c r="K96" s="21">
        <v>17</v>
      </c>
      <c r="L96" s="21">
        <v>523800</v>
      </c>
      <c r="M96" s="21">
        <v>29700</v>
      </c>
      <c r="N96" s="21">
        <v>765</v>
      </c>
      <c r="O96" s="21">
        <v>165</v>
      </c>
      <c r="P96" s="21">
        <v>397695</v>
      </c>
      <c r="Q96" s="22">
        <v>286.85053763440862</v>
      </c>
      <c r="R96" s="22">
        <v>320.40322580645159</v>
      </c>
      <c r="S96" s="23">
        <v>0.1</v>
      </c>
      <c r="T96" s="23">
        <v>0.05</v>
      </c>
      <c r="U96" s="24">
        <v>0.8048876745598057</v>
      </c>
      <c r="V96" s="25">
        <v>0.05</v>
      </c>
      <c r="W96" s="26">
        <v>0.15000000000000002</v>
      </c>
      <c r="X96" s="27">
        <v>5.8823529411764705E-2</v>
      </c>
      <c r="Y96" s="25">
        <v>0</v>
      </c>
      <c r="Z96" s="24">
        <v>0.70588235294117652</v>
      </c>
      <c r="AA96" s="25">
        <v>0</v>
      </c>
      <c r="AB96" s="28">
        <v>0</v>
      </c>
      <c r="AC96" s="28">
        <v>1</v>
      </c>
      <c r="AD96" s="28">
        <v>0</v>
      </c>
      <c r="AE96" s="25">
        <v>0.04</v>
      </c>
      <c r="AF96" s="26">
        <v>0.04</v>
      </c>
      <c r="AG96" s="29" t="s">
        <v>729</v>
      </c>
      <c r="AH96" s="30">
        <v>0.85</v>
      </c>
      <c r="AI96" s="26">
        <v>0.05</v>
      </c>
      <c r="AJ96" s="21">
        <v>0</v>
      </c>
      <c r="AK96" s="21">
        <v>0</v>
      </c>
      <c r="AL96" s="26">
        <v>0.1</v>
      </c>
      <c r="AM96" s="24">
        <v>0.69</v>
      </c>
      <c r="AN96" s="24">
        <v>0.72340425531914898</v>
      </c>
      <c r="AO96" s="31">
        <v>0.08</v>
      </c>
      <c r="AP96" s="31">
        <v>0.03</v>
      </c>
      <c r="AQ96" s="24">
        <v>0.82</v>
      </c>
      <c r="AR96" s="27">
        <v>0.79699248120300747</v>
      </c>
      <c r="AS96" s="26">
        <v>7.4999999999999997E-2</v>
      </c>
      <c r="AT96" s="26">
        <v>0</v>
      </c>
      <c r="AU96" s="24">
        <v>0.95264317180616742</v>
      </c>
      <c r="AV96" s="32">
        <v>9</v>
      </c>
      <c r="AW96" s="26">
        <v>0</v>
      </c>
      <c r="AX96" s="26">
        <v>0</v>
      </c>
      <c r="AY96" s="24">
        <v>0.72613764044943818</v>
      </c>
      <c r="AZ96" s="24">
        <v>0.73735955056179781</v>
      </c>
      <c r="BA96" s="31">
        <v>0.1</v>
      </c>
      <c r="BB96" s="33">
        <v>0.40500000000000003</v>
      </c>
      <c r="BC96" s="21"/>
      <c r="BD96" s="26">
        <v>0.59499999999999997</v>
      </c>
      <c r="BE96" s="26">
        <v>0.08</v>
      </c>
      <c r="BF96" s="26" t="s">
        <v>729</v>
      </c>
      <c r="BG96" s="21"/>
      <c r="BH96" s="34">
        <v>0</v>
      </c>
      <c r="BI96" s="34">
        <v>0.05</v>
      </c>
      <c r="BJ96" s="34" t="s">
        <v>259</v>
      </c>
      <c r="BK96" s="34">
        <v>0.05</v>
      </c>
      <c r="BL96" s="21"/>
      <c r="BM96" s="35">
        <v>0.62499999999999989</v>
      </c>
    </row>
    <row r="97" spans="1:65" x14ac:dyDescent="0.25">
      <c r="A97" s="4" t="s">
        <v>63</v>
      </c>
      <c r="B97" s="4">
        <v>73296</v>
      </c>
      <c r="C97" s="4" t="s">
        <v>157</v>
      </c>
      <c r="D97" s="19" t="s">
        <v>314</v>
      </c>
      <c r="E97" s="20">
        <v>48156</v>
      </c>
      <c r="F97" s="20" t="s">
        <v>454</v>
      </c>
      <c r="G97" s="20" t="s">
        <v>455</v>
      </c>
      <c r="H97" s="2">
        <v>45602</v>
      </c>
      <c r="I97" s="2" t="s">
        <v>263</v>
      </c>
      <c r="J97" s="2" t="s">
        <v>263</v>
      </c>
      <c r="K97" s="21">
        <v>15</v>
      </c>
      <c r="L97" s="21">
        <v>445500</v>
      </c>
      <c r="M97" s="21">
        <v>0</v>
      </c>
      <c r="N97" s="21">
        <v>478</v>
      </c>
      <c r="O97" s="21">
        <v>0</v>
      </c>
      <c r="P97" s="21">
        <v>264972</v>
      </c>
      <c r="Q97" s="22">
        <v>317.91004184100416</v>
      </c>
      <c r="R97" s="22">
        <v>300</v>
      </c>
      <c r="S97" s="48">
        <v>0.1</v>
      </c>
      <c r="T97" s="23">
        <v>0</v>
      </c>
      <c r="U97" s="24">
        <v>0.59477441077441073</v>
      </c>
      <c r="V97" s="25">
        <v>0</v>
      </c>
      <c r="W97" s="26">
        <v>0.1</v>
      </c>
      <c r="X97" s="27">
        <v>0.2</v>
      </c>
      <c r="Y97" s="25">
        <v>0</v>
      </c>
      <c r="Z97" s="24">
        <v>0.8666666666666667</v>
      </c>
      <c r="AA97" s="25">
        <v>0</v>
      </c>
      <c r="AB97" s="28">
        <v>0</v>
      </c>
      <c r="AC97" s="28">
        <v>0</v>
      </c>
      <c r="AD97" s="28">
        <v>0</v>
      </c>
      <c r="AE97" s="25">
        <v>0.09</v>
      </c>
      <c r="AF97" s="26">
        <v>0.09</v>
      </c>
      <c r="AG97" s="29">
        <v>0</v>
      </c>
      <c r="AH97" s="30">
        <v>0.99</v>
      </c>
      <c r="AI97" s="26">
        <v>0.1</v>
      </c>
      <c r="AJ97" s="21">
        <v>0</v>
      </c>
      <c r="AK97" s="21">
        <v>0</v>
      </c>
      <c r="AL97" s="26">
        <v>0.1</v>
      </c>
      <c r="AM97" s="24">
        <v>0.67499999999999993</v>
      </c>
      <c r="AN97" s="24">
        <v>0.75</v>
      </c>
      <c r="AO97" s="31">
        <v>0.08</v>
      </c>
      <c r="AP97" s="31">
        <v>0.03</v>
      </c>
      <c r="AQ97" s="24">
        <v>0.80499999999999994</v>
      </c>
      <c r="AR97" s="27">
        <v>0.86538461538461542</v>
      </c>
      <c r="AS97" s="26">
        <v>0.2</v>
      </c>
      <c r="AT97" s="26">
        <v>0.1</v>
      </c>
      <c r="AU97" s="24">
        <v>0.99099099099099097</v>
      </c>
      <c r="AV97" s="32">
        <v>0</v>
      </c>
      <c r="AW97" s="26">
        <v>0.05</v>
      </c>
      <c r="AX97" s="26">
        <v>0.02</v>
      </c>
      <c r="AY97" s="24">
        <v>0.68904761904761902</v>
      </c>
      <c r="AZ97" s="24">
        <v>0.69387755102040816</v>
      </c>
      <c r="BA97" s="31">
        <v>0.1</v>
      </c>
      <c r="BB97" s="33">
        <v>0.63</v>
      </c>
      <c r="BC97" s="21"/>
      <c r="BD97" s="26">
        <v>0.82</v>
      </c>
      <c r="BE97" s="26">
        <v>0.15000000000000002</v>
      </c>
      <c r="BF97" s="26">
        <v>0</v>
      </c>
      <c r="BG97" s="21"/>
      <c r="BH97" s="34">
        <v>0</v>
      </c>
      <c r="BI97" s="34">
        <v>0</v>
      </c>
      <c r="BJ97" s="34" t="s">
        <v>259</v>
      </c>
      <c r="BK97" s="34">
        <v>0</v>
      </c>
      <c r="BL97" s="21"/>
      <c r="BM97" s="35">
        <v>0.97</v>
      </c>
    </row>
    <row r="98" spans="1:65" x14ac:dyDescent="0.25">
      <c r="A98" s="4" t="s">
        <v>63</v>
      </c>
      <c r="B98" s="4">
        <v>72619</v>
      </c>
      <c r="C98" s="4" t="s">
        <v>158</v>
      </c>
      <c r="D98" s="19" t="s">
        <v>314</v>
      </c>
      <c r="E98" s="20">
        <v>48297</v>
      </c>
      <c r="F98" s="20" t="s">
        <v>456</v>
      </c>
      <c r="G98" s="20" t="s">
        <v>457</v>
      </c>
      <c r="H98" s="2">
        <v>45602</v>
      </c>
      <c r="I98" s="2" t="s">
        <v>263</v>
      </c>
      <c r="J98" s="2" t="s">
        <v>263</v>
      </c>
      <c r="K98" s="21">
        <v>19</v>
      </c>
      <c r="L98" s="21">
        <v>567900</v>
      </c>
      <c r="M98" s="21">
        <v>7200</v>
      </c>
      <c r="N98" s="21">
        <v>743</v>
      </c>
      <c r="O98" s="21">
        <v>0</v>
      </c>
      <c r="P98" s="21">
        <v>358444</v>
      </c>
      <c r="Q98" s="22">
        <v>288.69986541049798</v>
      </c>
      <c r="R98" s="22">
        <v>300</v>
      </c>
      <c r="S98" s="23">
        <v>0.1</v>
      </c>
      <c r="T98" s="23">
        <v>0.05</v>
      </c>
      <c r="U98" s="24">
        <v>0.63927947208846081</v>
      </c>
      <c r="V98" s="25">
        <v>0</v>
      </c>
      <c r="W98" s="26">
        <v>0.1</v>
      </c>
      <c r="X98" s="27">
        <v>0</v>
      </c>
      <c r="Y98" s="25">
        <v>0</v>
      </c>
      <c r="Z98" s="24">
        <v>0.84210526315789469</v>
      </c>
      <c r="AA98" s="25">
        <v>0</v>
      </c>
      <c r="AB98" s="28">
        <v>0</v>
      </c>
      <c r="AC98" s="28">
        <v>0</v>
      </c>
      <c r="AD98" s="28">
        <v>0</v>
      </c>
      <c r="AE98" s="25">
        <v>0.09</v>
      </c>
      <c r="AF98" s="26">
        <v>0.09</v>
      </c>
      <c r="AG98" s="29" t="s">
        <v>729</v>
      </c>
      <c r="AH98" s="30">
        <v>0.98333333333333339</v>
      </c>
      <c r="AI98" s="26">
        <v>0.1</v>
      </c>
      <c r="AJ98" s="21">
        <v>0</v>
      </c>
      <c r="AK98" s="21">
        <v>0</v>
      </c>
      <c r="AL98" s="26">
        <v>0.1</v>
      </c>
      <c r="AM98" s="24">
        <v>0.69</v>
      </c>
      <c r="AN98" s="24">
        <v>0.796875</v>
      </c>
      <c r="AO98" s="31">
        <v>0.08</v>
      </c>
      <c r="AP98" s="31">
        <v>0.03</v>
      </c>
      <c r="AQ98" s="24">
        <v>0.82</v>
      </c>
      <c r="AR98" s="27">
        <v>0.81300813008130079</v>
      </c>
      <c r="AS98" s="26">
        <v>0.125</v>
      </c>
      <c r="AT98" s="26">
        <v>0</v>
      </c>
      <c r="AU98" s="24">
        <v>0.98424068767908313</v>
      </c>
      <c r="AV98" s="32">
        <v>2</v>
      </c>
      <c r="AW98" s="26">
        <v>0.03</v>
      </c>
      <c r="AX98" s="26">
        <v>0</v>
      </c>
      <c r="AY98" s="24">
        <v>0.69545454545454555</v>
      </c>
      <c r="AZ98" s="24">
        <v>0.68831168831168832</v>
      </c>
      <c r="BA98" s="31">
        <v>0.05</v>
      </c>
      <c r="BB98" s="33">
        <v>0.48500000000000004</v>
      </c>
      <c r="BC98" s="21"/>
      <c r="BD98" s="26">
        <v>0.67500000000000004</v>
      </c>
      <c r="BE98" s="26">
        <v>0.08</v>
      </c>
      <c r="BF98" s="26" t="s">
        <v>729</v>
      </c>
      <c r="BG98" s="21"/>
      <c r="BH98" s="34">
        <v>0</v>
      </c>
      <c r="BI98" s="34">
        <v>0</v>
      </c>
      <c r="BJ98" s="34" t="s">
        <v>259</v>
      </c>
      <c r="BK98" s="34">
        <v>0</v>
      </c>
      <c r="BL98" s="21"/>
      <c r="BM98" s="35">
        <v>0.755</v>
      </c>
    </row>
    <row r="99" spans="1:65" x14ac:dyDescent="0.25">
      <c r="A99" s="4" t="s">
        <v>63</v>
      </c>
      <c r="B99" s="4">
        <v>73422</v>
      </c>
      <c r="C99" s="4" t="s">
        <v>159</v>
      </c>
      <c r="D99" s="19" t="s">
        <v>314</v>
      </c>
      <c r="E99" s="20">
        <v>48462</v>
      </c>
      <c r="F99" s="20" t="s">
        <v>458</v>
      </c>
      <c r="G99" s="20" t="s">
        <v>459</v>
      </c>
      <c r="H99" s="2">
        <v>45621</v>
      </c>
      <c r="I99" s="2" t="s">
        <v>263</v>
      </c>
      <c r="J99" s="2" t="s">
        <v>263</v>
      </c>
      <c r="K99" s="21">
        <v>20</v>
      </c>
      <c r="L99" s="21">
        <v>594000</v>
      </c>
      <c r="M99" s="21">
        <v>12000</v>
      </c>
      <c r="N99" s="21">
        <v>885</v>
      </c>
      <c r="O99" s="21">
        <v>179</v>
      </c>
      <c r="P99" s="21">
        <v>404596</v>
      </c>
      <c r="Q99" s="22">
        <v>247.64567669172934</v>
      </c>
      <c r="R99" s="22">
        <v>319.34680451127821</v>
      </c>
      <c r="S99" s="23">
        <v>0.1</v>
      </c>
      <c r="T99" s="23">
        <v>0.05</v>
      </c>
      <c r="U99" s="24">
        <v>0.69518213058419243</v>
      </c>
      <c r="V99" s="25">
        <v>0</v>
      </c>
      <c r="W99" s="26">
        <v>0.1</v>
      </c>
      <c r="X99" s="27">
        <v>0.1</v>
      </c>
      <c r="Y99" s="25">
        <v>0</v>
      </c>
      <c r="Z99" s="24">
        <v>0.25</v>
      </c>
      <c r="AA99" s="25">
        <v>0</v>
      </c>
      <c r="AB99" s="28">
        <v>0</v>
      </c>
      <c r="AC99" s="28">
        <v>0</v>
      </c>
      <c r="AD99" s="28">
        <v>0</v>
      </c>
      <c r="AE99" s="25">
        <v>0.09</v>
      </c>
      <c r="AF99" s="26">
        <v>0.09</v>
      </c>
      <c r="AG99" s="29" t="s">
        <v>729</v>
      </c>
      <c r="AH99" s="30">
        <v>0.99</v>
      </c>
      <c r="AI99" s="26">
        <v>0.1</v>
      </c>
      <c r="AJ99" s="21">
        <v>0</v>
      </c>
      <c r="AK99" s="21">
        <v>0</v>
      </c>
      <c r="AL99" s="26">
        <v>0.1</v>
      </c>
      <c r="AM99" s="24">
        <v>0.68573170731707311</v>
      </c>
      <c r="AN99" s="24">
        <v>0.71951219512195119</v>
      </c>
      <c r="AO99" s="31">
        <v>0.08</v>
      </c>
      <c r="AP99" s="31">
        <v>0.03</v>
      </c>
      <c r="AQ99" s="24">
        <v>0.81563758389261742</v>
      </c>
      <c r="AR99" s="27">
        <v>0.80536912751677847</v>
      </c>
      <c r="AS99" s="26">
        <v>0.125</v>
      </c>
      <c r="AT99" s="26">
        <v>0</v>
      </c>
      <c r="AU99" s="24">
        <v>0.98751200768491831</v>
      </c>
      <c r="AV99" s="32">
        <v>5</v>
      </c>
      <c r="AW99" s="26">
        <v>0</v>
      </c>
      <c r="AX99" s="26">
        <v>0</v>
      </c>
      <c r="AY99" s="24">
        <v>0.72070405727923637</v>
      </c>
      <c r="AZ99" s="24">
        <v>0.74701670644391405</v>
      </c>
      <c r="BA99" s="31">
        <v>0.1</v>
      </c>
      <c r="BB99" s="33">
        <v>0.505</v>
      </c>
      <c r="BC99" s="21"/>
      <c r="BD99" s="26">
        <v>0.69499999999999995</v>
      </c>
      <c r="BE99" s="26">
        <v>0.08</v>
      </c>
      <c r="BF99" s="26" t="s">
        <v>729</v>
      </c>
      <c r="BG99" s="21"/>
      <c r="BH99" s="34">
        <v>0</v>
      </c>
      <c r="BI99" s="34">
        <v>0.01</v>
      </c>
      <c r="BJ99" s="34" t="s">
        <v>259</v>
      </c>
      <c r="BK99" s="34">
        <v>0.01</v>
      </c>
      <c r="BL99" s="21"/>
      <c r="BM99" s="35">
        <v>0.7649999999999999</v>
      </c>
    </row>
    <row r="100" spans="1:65" x14ac:dyDescent="0.25">
      <c r="A100" s="4" t="s">
        <v>63</v>
      </c>
      <c r="B100" s="4">
        <v>73183</v>
      </c>
      <c r="C100" s="4" t="s">
        <v>160</v>
      </c>
      <c r="D100" s="19" t="s">
        <v>264</v>
      </c>
      <c r="E100" s="20">
        <v>48422</v>
      </c>
      <c r="F100" s="20" t="s">
        <v>460</v>
      </c>
      <c r="G100" s="20" t="s">
        <v>461</v>
      </c>
      <c r="H100" s="2">
        <v>45621</v>
      </c>
      <c r="I100" s="2" t="s">
        <v>263</v>
      </c>
      <c r="J100" s="2" t="s">
        <v>263</v>
      </c>
      <c r="K100" s="21">
        <v>16</v>
      </c>
      <c r="L100" s="21">
        <v>475200</v>
      </c>
      <c r="M100" s="21">
        <v>11700</v>
      </c>
      <c r="N100" s="21">
        <v>565</v>
      </c>
      <c r="O100" s="21">
        <v>0</v>
      </c>
      <c r="P100" s="21">
        <v>266899</v>
      </c>
      <c r="Q100" s="22">
        <v>326.39999999999998</v>
      </c>
      <c r="R100" s="22">
        <v>300</v>
      </c>
      <c r="S100" s="23">
        <v>0</v>
      </c>
      <c r="T100" s="23">
        <v>0</v>
      </c>
      <c r="U100" s="24">
        <v>0.57583387270765907</v>
      </c>
      <c r="V100" s="25">
        <v>0</v>
      </c>
      <c r="W100" s="26">
        <v>0</v>
      </c>
      <c r="X100" s="27">
        <v>0.625</v>
      </c>
      <c r="Y100" s="25">
        <v>0</v>
      </c>
      <c r="Z100" s="24">
        <v>0.9375</v>
      </c>
      <c r="AA100" s="25">
        <v>0</v>
      </c>
      <c r="AB100" s="28">
        <v>0</v>
      </c>
      <c r="AC100" s="28">
        <v>0</v>
      </c>
      <c r="AD100" s="28">
        <v>0</v>
      </c>
      <c r="AE100" s="25">
        <v>0.09</v>
      </c>
      <c r="AF100" s="26">
        <v>0.09</v>
      </c>
      <c r="AG100" s="29" t="s">
        <v>729</v>
      </c>
      <c r="AH100" s="30">
        <v>1</v>
      </c>
      <c r="AI100" s="26">
        <v>0.1</v>
      </c>
      <c r="AJ100" s="21">
        <v>0</v>
      </c>
      <c r="AK100" s="21">
        <v>0</v>
      </c>
      <c r="AL100" s="26">
        <v>0.1</v>
      </c>
      <c r="AM100" s="24">
        <v>0.67384615384615387</v>
      </c>
      <c r="AN100" s="24">
        <v>0.67948717948717952</v>
      </c>
      <c r="AO100" s="31">
        <v>0.08</v>
      </c>
      <c r="AP100" s="31">
        <v>0.03</v>
      </c>
      <c r="AQ100" s="24">
        <v>0.80397260273972604</v>
      </c>
      <c r="AR100" s="27">
        <v>0.83561643835616439</v>
      </c>
      <c r="AS100" s="26">
        <v>0.2</v>
      </c>
      <c r="AT100" s="26">
        <v>0.06</v>
      </c>
      <c r="AU100" s="24">
        <v>0.96710526315789469</v>
      </c>
      <c r="AV100" s="32">
        <v>2</v>
      </c>
      <c r="AW100" s="26">
        <v>0.03</v>
      </c>
      <c r="AX100" s="26">
        <v>0</v>
      </c>
      <c r="AY100" s="24">
        <v>0.69066810344827578</v>
      </c>
      <c r="AZ100" s="24">
        <v>0.7068965517241379</v>
      </c>
      <c r="BA100" s="31">
        <v>0.1</v>
      </c>
      <c r="BB100" s="33">
        <v>0.61</v>
      </c>
      <c r="BC100" s="21"/>
      <c r="BD100" s="26">
        <v>0.7</v>
      </c>
      <c r="BE100" s="26">
        <v>0.09</v>
      </c>
      <c r="BF100" s="26" t="s">
        <v>729</v>
      </c>
      <c r="BG100" s="21"/>
      <c r="BH100" s="34">
        <v>0</v>
      </c>
      <c r="BI100" s="34">
        <v>0</v>
      </c>
      <c r="BJ100" s="34" t="s">
        <v>259</v>
      </c>
      <c r="BK100" s="34">
        <v>0</v>
      </c>
      <c r="BL100" s="21"/>
      <c r="BM100" s="35">
        <v>0.78999999999999992</v>
      </c>
    </row>
    <row r="101" spans="1:65" x14ac:dyDescent="0.25">
      <c r="A101" s="4" t="s">
        <v>63</v>
      </c>
      <c r="B101" s="4">
        <v>73601</v>
      </c>
      <c r="C101" s="4" t="s">
        <v>161</v>
      </c>
      <c r="D101" s="19" t="s">
        <v>255</v>
      </c>
      <c r="E101" s="20">
        <v>400246</v>
      </c>
      <c r="F101" s="20" t="s">
        <v>462</v>
      </c>
      <c r="G101" s="20" t="s">
        <v>463</v>
      </c>
      <c r="H101" s="2">
        <v>45786</v>
      </c>
      <c r="I101" s="2" t="s">
        <v>258</v>
      </c>
      <c r="J101" s="2" t="s">
        <v>258</v>
      </c>
      <c r="K101" s="21">
        <v>22</v>
      </c>
      <c r="L101" s="21">
        <v>653400</v>
      </c>
      <c r="M101" s="21">
        <v>0</v>
      </c>
      <c r="N101" s="21">
        <v>803</v>
      </c>
      <c r="O101" s="21">
        <v>0</v>
      </c>
      <c r="P101" s="21">
        <v>577655</v>
      </c>
      <c r="Q101" s="22">
        <v>433.76836861768368</v>
      </c>
      <c r="R101" s="22">
        <v>300</v>
      </c>
      <c r="S101" s="23">
        <v>0</v>
      </c>
      <c r="T101" s="23">
        <v>0</v>
      </c>
      <c r="U101" s="24">
        <v>0.88407560453014999</v>
      </c>
      <c r="V101" s="25">
        <v>0.1</v>
      </c>
      <c r="W101" s="26">
        <v>0.1</v>
      </c>
      <c r="X101" s="27">
        <v>0.72727272727272729</v>
      </c>
      <c r="Y101" s="25">
        <v>0</v>
      </c>
      <c r="Z101" s="24">
        <v>0.86363636363636365</v>
      </c>
      <c r="AA101" s="25">
        <v>0</v>
      </c>
      <c r="AB101" s="28">
        <v>0</v>
      </c>
      <c r="AC101" s="28">
        <v>0</v>
      </c>
      <c r="AD101" s="28">
        <v>0</v>
      </c>
      <c r="AE101" s="25">
        <v>0.09</v>
      </c>
      <c r="AF101" s="26">
        <v>0.09</v>
      </c>
      <c r="AG101" s="29" t="s">
        <v>729</v>
      </c>
      <c r="AH101" s="30">
        <v>0.96500000000000008</v>
      </c>
      <c r="AI101" s="26">
        <v>0.1</v>
      </c>
      <c r="AJ101" s="21">
        <v>0</v>
      </c>
      <c r="AK101" s="21">
        <v>0</v>
      </c>
      <c r="AL101" s="26">
        <v>0.1</v>
      </c>
      <c r="AM101" s="24">
        <v>0.69</v>
      </c>
      <c r="AN101" s="24">
        <v>0.71276595744680848</v>
      </c>
      <c r="AO101" s="31">
        <v>0.08</v>
      </c>
      <c r="AP101" s="31">
        <v>0.03</v>
      </c>
      <c r="AQ101" s="24">
        <v>0.82</v>
      </c>
      <c r="AR101" s="27">
        <v>0.78494623655913975</v>
      </c>
      <c r="AS101" s="26">
        <v>0</v>
      </c>
      <c r="AT101" s="26">
        <v>0</v>
      </c>
      <c r="AU101" s="24">
        <v>0.92125984251968507</v>
      </c>
      <c r="AV101" s="32">
        <v>10</v>
      </c>
      <c r="AW101" s="26">
        <v>0</v>
      </c>
      <c r="AX101" s="26">
        <v>0</v>
      </c>
      <c r="AY101" s="24">
        <v>0.74</v>
      </c>
      <c r="AZ101" s="24">
        <v>0.75487012987012991</v>
      </c>
      <c r="BA101" s="31">
        <v>0.1</v>
      </c>
      <c r="BB101" s="33">
        <v>0.38</v>
      </c>
      <c r="BC101" s="21"/>
      <c r="BD101" s="26">
        <v>0.56999999999999995</v>
      </c>
      <c r="BE101" s="26">
        <v>0.03</v>
      </c>
      <c r="BF101" s="26" t="s">
        <v>729</v>
      </c>
      <c r="BG101" s="21"/>
      <c r="BH101" s="34">
        <v>0</v>
      </c>
      <c r="BI101" s="34">
        <v>0.06</v>
      </c>
      <c r="BJ101" s="34" t="s">
        <v>259</v>
      </c>
      <c r="BK101" s="34">
        <v>0.06</v>
      </c>
      <c r="BL101" s="21"/>
      <c r="BM101" s="35">
        <v>0.54</v>
      </c>
    </row>
    <row r="102" spans="1:65" x14ac:dyDescent="0.25">
      <c r="A102" s="4" t="s">
        <v>63</v>
      </c>
      <c r="B102" s="4">
        <v>71269</v>
      </c>
      <c r="C102" s="4" t="s">
        <v>162</v>
      </c>
      <c r="D102" s="19" t="s">
        <v>264</v>
      </c>
      <c r="E102" s="20">
        <v>48293</v>
      </c>
      <c r="F102" s="20" t="s">
        <v>464</v>
      </c>
      <c r="G102" s="20" t="s">
        <v>465</v>
      </c>
      <c r="H102" s="2">
        <v>45602</v>
      </c>
      <c r="I102" s="2" t="s">
        <v>263</v>
      </c>
      <c r="J102" s="2" t="s">
        <v>263</v>
      </c>
      <c r="K102" s="21">
        <v>17</v>
      </c>
      <c r="L102" s="21">
        <v>512100</v>
      </c>
      <c r="M102" s="21">
        <v>7200</v>
      </c>
      <c r="N102" s="21">
        <v>763</v>
      </c>
      <c r="O102" s="21">
        <v>22</v>
      </c>
      <c r="P102" s="21">
        <v>344984</v>
      </c>
      <c r="Q102" s="22">
        <v>297.86114649681531</v>
      </c>
      <c r="R102" s="22">
        <v>300</v>
      </c>
      <c r="S102" s="23">
        <v>0.1</v>
      </c>
      <c r="T102" s="23">
        <v>0.02</v>
      </c>
      <c r="U102" s="24">
        <v>0.68327193503664096</v>
      </c>
      <c r="V102" s="25">
        <v>0</v>
      </c>
      <c r="W102" s="26">
        <v>0.1</v>
      </c>
      <c r="X102" s="27">
        <v>0.11764705882352941</v>
      </c>
      <c r="Y102" s="25">
        <v>0</v>
      </c>
      <c r="Z102" s="24">
        <v>0.94117647058823528</v>
      </c>
      <c r="AA102" s="25">
        <v>0</v>
      </c>
      <c r="AB102" s="28">
        <v>2</v>
      </c>
      <c r="AC102" s="28">
        <v>0</v>
      </c>
      <c r="AD102" s="28">
        <v>0</v>
      </c>
      <c r="AE102" s="25">
        <v>0</v>
      </c>
      <c r="AF102" s="26">
        <v>0</v>
      </c>
      <c r="AG102" s="29" t="s">
        <v>729</v>
      </c>
      <c r="AH102" s="30">
        <v>1</v>
      </c>
      <c r="AI102" s="26">
        <v>0.1</v>
      </c>
      <c r="AJ102" s="21">
        <v>0</v>
      </c>
      <c r="AK102" s="21">
        <v>0</v>
      </c>
      <c r="AL102" s="26">
        <v>0.1</v>
      </c>
      <c r="AM102" s="24">
        <v>0.68625000000000003</v>
      </c>
      <c r="AN102" s="24">
        <v>0.7321428571428571</v>
      </c>
      <c r="AO102" s="31">
        <v>0.08</v>
      </c>
      <c r="AP102" s="31">
        <v>0.03</v>
      </c>
      <c r="AQ102" s="24">
        <v>0.81624999999999992</v>
      </c>
      <c r="AR102" s="27">
        <v>0.81730769230769229</v>
      </c>
      <c r="AS102" s="26">
        <v>0.2</v>
      </c>
      <c r="AT102" s="26">
        <v>0</v>
      </c>
      <c r="AU102" s="24">
        <v>0.97414965986394553</v>
      </c>
      <c r="AV102" s="32">
        <v>1</v>
      </c>
      <c r="AW102" s="26">
        <v>0.05</v>
      </c>
      <c r="AX102" s="26">
        <v>0</v>
      </c>
      <c r="AY102" s="24">
        <v>0.70596952908587252</v>
      </c>
      <c r="AZ102" s="24">
        <v>0.70083102493074789</v>
      </c>
      <c r="BA102" s="31">
        <v>0.05</v>
      </c>
      <c r="BB102" s="33">
        <v>0.58000000000000007</v>
      </c>
      <c r="BC102" s="21"/>
      <c r="BD102" s="26">
        <v>0.68</v>
      </c>
      <c r="BE102" s="26">
        <v>0.05</v>
      </c>
      <c r="BF102" s="26" t="s">
        <v>729</v>
      </c>
      <c r="BG102" s="21"/>
      <c r="BH102" s="34">
        <v>0.05</v>
      </c>
      <c r="BI102" s="34">
        <v>0</v>
      </c>
      <c r="BJ102" s="34" t="s">
        <v>259</v>
      </c>
      <c r="BK102" s="34">
        <v>0.05</v>
      </c>
      <c r="BL102" s="21"/>
      <c r="BM102" s="35">
        <v>0.68</v>
      </c>
    </row>
    <row r="103" spans="1:65" x14ac:dyDescent="0.25">
      <c r="A103" s="4" t="s">
        <v>63</v>
      </c>
      <c r="B103" s="4">
        <v>72664</v>
      </c>
      <c r="C103" s="4" t="s">
        <v>163</v>
      </c>
      <c r="D103" s="19" t="s">
        <v>267</v>
      </c>
      <c r="E103" s="20">
        <v>48416</v>
      </c>
      <c r="F103" s="20" t="s">
        <v>466</v>
      </c>
      <c r="G103" s="20" t="s">
        <v>467</v>
      </c>
      <c r="H103" s="2">
        <v>45621</v>
      </c>
      <c r="I103" s="2" t="s">
        <v>263</v>
      </c>
      <c r="J103" s="2" t="s">
        <v>263</v>
      </c>
      <c r="K103" s="21">
        <v>18</v>
      </c>
      <c r="L103" s="21">
        <v>534600</v>
      </c>
      <c r="M103" s="21">
        <v>7200</v>
      </c>
      <c r="N103" s="21">
        <v>825</v>
      </c>
      <c r="O103" s="21">
        <v>0</v>
      </c>
      <c r="P103" s="21">
        <v>418620</v>
      </c>
      <c r="Q103" s="22">
        <v>385.4521212121212</v>
      </c>
      <c r="R103" s="22">
        <v>300</v>
      </c>
      <c r="S103" s="23">
        <v>0</v>
      </c>
      <c r="T103" s="23">
        <v>0</v>
      </c>
      <c r="U103" s="24">
        <v>0.79374288964732653</v>
      </c>
      <c r="V103" s="25">
        <v>0.05</v>
      </c>
      <c r="W103" s="26">
        <v>0.05</v>
      </c>
      <c r="X103" s="27">
        <v>0.1111111111111111</v>
      </c>
      <c r="Y103" s="25">
        <v>0</v>
      </c>
      <c r="Z103" s="24">
        <v>0.5</v>
      </c>
      <c r="AA103" s="25">
        <v>0</v>
      </c>
      <c r="AB103" s="28">
        <v>0</v>
      </c>
      <c r="AC103" s="28">
        <v>0</v>
      </c>
      <c r="AD103" s="28">
        <v>0</v>
      </c>
      <c r="AE103" s="25">
        <v>0.09</v>
      </c>
      <c r="AF103" s="26">
        <v>0.09</v>
      </c>
      <c r="AG103" s="29" t="s">
        <v>729</v>
      </c>
      <c r="AH103" s="30">
        <v>0.91500000000000004</v>
      </c>
      <c r="AI103" s="26">
        <v>0.1</v>
      </c>
      <c r="AJ103" s="21">
        <v>0</v>
      </c>
      <c r="AK103" s="21">
        <v>0</v>
      </c>
      <c r="AL103" s="26">
        <v>0.1</v>
      </c>
      <c r="AM103" s="24">
        <v>0.6883529411764705</v>
      </c>
      <c r="AN103" s="24">
        <v>0.78823529411764703</v>
      </c>
      <c r="AO103" s="31">
        <v>0.08</v>
      </c>
      <c r="AP103" s="31">
        <v>0.03</v>
      </c>
      <c r="AQ103" s="24">
        <v>0.81828947368421046</v>
      </c>
      <c r="AR103" s="27">
        <v>0.88157894736842102</v>
      </c>
      <c r="AS103" s="26">
        <v>0.2</v>
      </c>
      <c r="AT103" s="26">
        <v>0.1</v>
      </c>
      <c r="AU103" s="24">
        <v>0.9732620320855615</v>
      </c>
      <c r="AV103" s="32">
        <v>0</v>
      </c>
      <c r="AW103" s="26">
        <v>0.05</v>
      </c>
      <c r="AX103" s="26">
        <v>0.02</v>
      </c>
      <c r="AY103" s="24">
        <v>0.70133064516129029</v>
      </c>
      <c r="AZ103" s="24">
        <v>0.74865591397849462</v>
      </c>
      <c r="BA103" s="31">
        <v>0.1</v>
      </c>
      <c r="BB103" s="33">
        <v>0.63</v>
      </c>
      <c r="BC103" s="21"/>
      <c r="BD103" s="26">
        <v>0.77</v>
      </c>
      <c r="BE103" s="26">
        <v>0.15000000000000002</v>
      </c>
      <c r="BF103" s="26" t="s">
        <v>729</v>
      </c>
      <c r="BG103" s="21"/>
      <c r="BH103" s="34">
        <v>0</v>
      </c>
      <c r="BI103" s="34">
        <v>0</v>
      </c>
      <c r="BJ103" s="34" t="s">
        <v>259</v>
      </c>
      <c r="BK103" s="34">
        <v>0</v>
      </c>
      <c r="BL103" s="21"/>
      <c r="BM103" s="35">
        <v>0.92</v>
      </c>
    </row>
    <row r="104" spans="1:65" x14ac:dyDescent="0.25">
      <c r="A104" s="4" t="s">
        <v>63</v>
      </c>
      <c r="B104" s="4">
        <v>73841</v>
      </c>
      <c r="C104" s="4" t="s">
        <v>164</v>
      </c>
      <c r="D104" s="19" t="s">
        <v>267</v>
      </c>
      <c r="E104" s="20">
        <v>48282</v>
      </c>
      <c r="F104" s="20" t="s">
        <v>468</v>
      </c>
      <c r="G104" s="20" t="s">
        <v>469</v>
      </c>
      <c r="H104" s="2">
        <v>45602</v>
      </c>
      <c r="I104" s="2" t="s">
        <v>263</v>
      </c>
      <c r="J104" s="2" t="s">
        <v>263</v>
      </c>
      <c r="K104" s="21">
        <v>19</v>
      </c>
      <c r="L104" s="21">
        <v>564300</v>
      </c>
      <c r="M104" s="21">
        <v>7200</v>
      </c>
      <c r="N104" s="21">
        <v>932</v>
      </c>
      <c r="O104" s="21">
        <v>0</v>
      </c>
      <c r="P104" s="21">
        <v>395902</v>
      </c>
      <c r="Q104" s="22">
        <v>301.48927038626607</v>
      </c>
      <c r="R104" s="22">
        <v>300</v>
      </c>
      <c r="S104" s="23">
        <v>0.05</v>
      </c>
      <c r="T104" s="23">
        <v>0</v>
      </c>
      <c r="U104" s="24">
        <v>0.71064799856399208</v>
      </c>
      <c r="V104" s="25">
        <v>0</v>
      </c>
      <c r="W104" s="26">
        <v>0.05</v>
      </c>
      <c r="X104" s="27">
        <v>0.31578947368421051</v>
      </c>
      <c r="Y104" s="25">
        <v>0</v>
      </c>
      <c r="Z104" s="24">
        <v>0.94736842105263153</v>
      </c>
      <c r="AA104" s="25">
        <v>0</v>
      </c>
      <c r="AB104" s="28">
        <v>0</v>
      </c>
      <c r="AC104" s="28">
        <v>0</v>
      </c>
      <c r="AD104" s="28">
        <v>0</v>
      </c>
      <c r="AE104" s="25">
        <v>0.09</v>
      </c>
      <c r="AF104" s="26">
        <v>0.09</v>
      </c>
      <c r="AG104" s="29" t="s">
        <v>729</v>
      </c>
      <c r="AH104" s="30">
        <v>0.98</v>
      </c>
      <c r="AI104" s="26">
        <v>0.1</v>
      </c>
      <c r="AJ104" s="21">
        <v>0</v>
      </c>
      <c r="AK104" s="21">
        <v>0</v>
      </c>
      <c r="AL104" s="26">
        <v>0.1</v>
      </c>
      <c r="AM104" s="24">
        <v>0.68214953271028034</v>
      </c>
      <c r="AN104" s="24">
        <v>0.71028037383177567</v>
      </c>
      <c r="AO104" s="31">
        <v>0.08</v>
      </c>
      <c r="AP104" s="31">
        <v>0.03</v>
      </c>
      <c r="AQ104" s="24">
        <v>0.81349999999999989</v>
      </c>
      <c r="AR104" s="27">
        <v>0.91</v>
      </c>
      <c r="AS104" s="26">
        <v>0.2</v>
      </c>
      <c r="AT104" s="26">
        <v>0.1</v>
      </c>
      <c r="AU104" s="24">
        <v>0.98109010011123465</v>
      </c>
      <c r="AV104" s="32">
        <v>2</v>
      </c>
      <c r="AW104" s="26">
        <v>0.03</v>
      </c>
      <c r="AX104" s="26">
        <v>0</v>
      </c>
      <c r="AY104" s="24">
        <v>0.71269999999999989</v>
      </c>
      <c r="AZ104" s="24">
        <v>0.71666666666666667</v>
      </c>
      <c r="BA104" s="31">
        <v>0.1</v>
      </c>
      <c r="BB104" s="33">
        <v>0.61</v>
      </c>
      <c r="BC104" s="21"/>
      <c r="BD104" s="26">
        <v>0.75</v>
      </c>
      <c r="BE104" s="26">
        <v>0.13</v>
      </c>
      <c r="BF104" s="26" t="s">
        <v>729</v>
      </c>
      <c r="BG104" s="21"/>
      <c r="BH104" s="34">
        <v>0</v>
      </c>
      <c r="BI104" s="34">
        <v>0</v>
      </c>
      <c r="BJ104" s="34" t="s">
        <v>259</v>
      </c>
      <c r="BK104" s="34">
        <v>0</v>
      </c>
      <c r="BL104" s="21"/>
      <c r="BM104" s="35">
        <v>0.88</v>
      </c>
    </row>
    <row r="105" spans="1:65" x14ac:dyDescent="0.25">
      <c r="A105" s="4" t="s">
        <v>63</v>
      </c>
      <c r="B105" s="4">
        <v>73812</v>
      </c>
      <c r="C105" s="4" t="s">
        <v>165</v>
      </c>
      <c r="D105" s="19" t="s">
        <v>267</v>
      </c>
      <c r="E105" s="20">
        <v>48388</v>
      </c>
      <c r="F105" s="20" t="s">
        <v>470</v>
      </c>
      <c r="G105" s="20" t="s">
        <v>471</v>
      </c>
      <c r="H105" s="2">
        <v>45621</v>
      </c>
      <c r="I105" s="2" t="s">
        <v>263</v>
      </c>
      <c r="J105" s="2" t="s">
        <v>263</v>
      </c>
      <c r="K105" s="21">
        <v>18</v>
      </c>
      <c r="L105" s="21">
        <v>557100</v>
      </c>
      <c r="M105" s="21">
        <v>29700</v>
      </c>
      <c r="N105" s="21">
        <v>969</v>
      </c>
      <c r="O105" s="21">
        <v>24</v>
      </c>
      <c r="P105" s="21">
        <v>378109</v>
      </c>
      <c r="Q105" s="22">
        <v>282.5287009063444</v>
      </c>
      <c r="R105" s="22">
        <v>300</v>
      </c>
      <c r="S105" s="23">
        <v>0.1</v>
      </c>
      <c r="T105" s="23">
        <v>0.05</v>
      </c>
      <c r="U105" s="24">
        <v>0.71693022373909743</v>
      </c>
      <c r="V105" s="25">
        <v>0</v>
      </c>
      <c r="W105" s="26">
        <v>0.1</v>
      </c>
      <c r="X105" s="27">
        <v>0.44444444444444442</v>
      </c>
      <c r="Y105" s="25">
        <v>0</v>
      </c>
      <c r="Z105" s="24">
        <v>0.72222222222222221</v>
      </c>
      <c r="AA105" s="25">
        <v>0</v>
      </c>
      <c r="AB105" s="28">
        <v>0</v>
      </c>
      <c r="AC105" s="28">
        <v>0</v>
      </c>
      <c r="AD105" s="28">
        <v>0</v>
      </c>
      <c r="AE105" s="25">
        <v>0.09</v>
      </c>
      <c r="AF105" s="26">
        <v>0.09</v>
      </c>
      <c r="AG105" s="29" t="s">
        <v>729</v>
      </c>
      <c r="AH105" s="30">
        <v>0.97499999999999998</v>
      </c>
      <c r="AI105" s="26">
        <v>0.1</v>
      </c>
      <c r="AJ105" s="21">
        <v>0</v>
      </c>
      <c r="AK105" s="21">
        <v>0</v>
      </c>
      <c r="AL105" s="26">
        <v>0.1</v>
      </c>
      <c r="AM105" s="24">
        <v>0.69</v>
      </c>
      <c r="AN105" s="24">
        <v>0.70422535211267601</v>
      </c>
      <c r="AO105" s="31">
        <v>0.08</v>
      </c>
      <c r="AP105" s="31">
        <v>0.03</v>
      </c>
      <c r="AQ105" s="24">
        <v>0.82</v>
      </c>
      <c r="AR105" s="27">
        <v>0.79699248120300747</v>
      </c>
      <c r="AS105" s="26">
        <v>7.4999999999999997E-2</v>
      </c>
      <c r="AT105" s="26">
        <v>0</v>
      </c>
      <c r="AU105" s="24">
        <v>0.98063781321184507</v>
      </c>
      <c r="AV105" s="32">
        <v>3</v>
      </c>
      <c r="AW105" s="26">
        <v>0.01</v>
      </c>
      <c r="AX105" s="26">
        <v>0</v>
      </c>
      <c r="AY105" s="24">
        <v>0.7060404280618312</v>
      </c>
      <c r="AZ105" s="24">
        <v>0.77526753864447084</v>
      </c>
      <c r="BA105" s="31">
        <v>0.1</v>
      </c>
      <c r="BB105" s="33">
        <v>0.46499999999999997</v>
      </c>
      <c r="BC105" s="21"/>
      <c r="BD105" s="26">
        <v>0.65499999999999992</v>
      </c>
      <c r="BE105" s="26">
        <v>0.08</v>
      </c>
      <c r="BF105" s="26" t="s">
        <v>729</v>
      </c>
      <c r="BG105" s="21"/>
      <c r="BH105" s="34">
        <v>0</v>
      </c>
      <c r="BI105" s="34">
        <v>0</v>
      </c>
      <c r="BJ105" s="34" t="s">
        <v>259</v>
      </c>
      <c r="BK105" s="34">
        <v>0</v>
      </c>
      <c r="BL105" s="21"/>
      <c r="BM105" s="35">
        <v>0.73499999999999988</v>
      </c>
    </row>
    <row r="106" spans="1:65" x14ac:dyDescent="0.25">
      <c r="A106" s="4" t="s">
        <v>63</v>
      </c>
      <c r="B106" s="4">
        <v>73684</v>
      </c>
      <c r="C106" s="4" t="s">
        <v>166</v>
      </c>
      <c r="D106" s="19" t="s">
        <v>270</v>
      </c>
      <c r="E106" s="20">
        <v>48107</v>
      </c>
      <c r="F106" s="20" t="s">
        <v>472</v>
      </c>
      <c r="G106" s="20" t="s">
        <v>473</v>
      </c>
      <c r="H106" s="2">
        <v>45602</v>
      </c>
      <c r="I106" s="2" t="s">
        <v>263</v>
      </c>
      <c r="J106" s="2" t="s">
        <v>263</v>
      </c>
      <c r="K106" s="21">
        <v>21</v>
      </c>
      <c r="L106" s="21">
        <v>623700</v>
      </c>
      <c r="M106" s="21">
        <v>0</v>
      </c>
      <c r="N106" s="21">
        <v>1153</v>
      </c>
      <c r="O106" s="21">
        <v>0</v>
      </c>
      <c r="P106" s="21">
        <v>578060</v>
      </c>
      <c r="Q106" s="22">
        <v>328.26192541196878</v>
      </c>
      <c r="R106" s="22">
        <v>300</v>
      </c>
      <c r="S106" s="23">
        <v>0</v>
      </c>
      <c r="T106" s="23">
        <v>0</v>
      </c>
      <c r="U106" s="24">
        <v>0.92682379349046018</v>
      </c>
      <c r="V106" s="25">
        <v>0.1</v>
      </c>
      <c r="W106" s="26">
        <v>0.1</v>
      </c>
      <c r="X106" s="27">
        <v>0.52380952380952384</v>
      </c>
      <c r="Y106" s="25">
        <v>0</v>
      </c>
      <c r="Z106" s="24">
        <v>0.76190476190476186</v>
      </c>
      <c r="AA106" s="25">
        <v>0</v>
      </c>
      <c r="AB106" s="28">
        <v>0</v>
      </c>
      <c r="AC106" s="28">
        <v>0</v>
      </c>
      <c r="AD106" s="28">
        <v>0</v>
      </c>
      <c r="AE106" s="25">
        <v>0.09</v>
      </c>
      <c r="AF106" s="26">
        <v>0.09</v>
      </c>
      <c r="AG106" s="29" t="s">
        <v>729</v>
      </c>
      <c r="AH106" s="30">
        <v>0.89</v>
      </c>
      <c r="AI106" s="26">
        <v>0.05</v>
      </c>
      <c r="AJ106" s="21">
        <v>0</v>
      </c>
      <c r="AK106" s="21">
        <v>0</v>
      </c>
      <c r="AL106" s="26">
        <v>0.1</v>
      </c>
      <c r="AM106" s="24">
        <v>0.69</v>
      </c>
      <c r="AN106" s="24">
        <v>0.68644067796610164</v>
      </c>
      <c r="AO106" s="31">
        <v>0.06</v>
      </c>
      <c r="AP106" s="31">
        <v>0</v>
      </c>
      <c r="AQ106" s="24">
        <v>0.81999999999999984</v>
      </c>
      <c r="AR106" s="27">
        <v>0.81481481481481477</v>
      </c>
      <c r="AS106" s="26">
        <v>0</v>
      </c>
      <c r="AT106" s="26">
        <v>0</v>
      </c>
      <c r="AU106" s="24">
        <v>0.94347379239465567</v>
      </c>
      <c r="AV106" s="32">
        <v>15</v>
      </c>
      <c r="AW106" s="26">
        <v>0</v>
      </c>
      <c r="AX106" s="26">
        <v>0</v>
      </c>
      <c r="AY106" s="24">
        <v>0.70899185336048887</v>
      </c>
      <c r="AZ106" s="24">
        <v>0.6985743380855397</v>
      </c>
      <c r="BA106" s="31">
        <v>0.05</v>
      </c>
      <c r="BB106" s="33">
        <v>0.26</v>
      </c>
      <c r="BC106" s="21"/>
      <c r="BD106" s="26">
        <v>0.44999999999999996</v>
      </c>
      <c r="BE106" s="26">
        <v>0</v>
      </c>
      <c r="BF106" s="26" t="s">
        <v>729</v>
      </c>
      <c r="BG106" s="21"/>
      <c r="BH106" s="34">
        <v>0</v>
      </c>
      <c r="BI106" s="34">
        <v>0.11</v>
      </c>
      <c r="BJ106" s="34" t="s">
        <v>259</v>
      </c>
      <c r="BK106" s="34">
        <v>0.11</v>
      </c>
      <c r="BL106" s="21"/>
      <c r="BM106" s="35">
        <v>0.33999999999999997</v>
      </c>
    </row>
    <row r="107" spans="1:65" x14ac:dyDescent="0.25">
      <c r="A107" s="4" t="s">
        <v>63</v>
      </c>
      <c r="B107" s="4">
        <v>71774</v>
      </c>
      <c r="C107" s="4" t="s">
        <v>167</v>
      </c>
      <c r="D107" s="19" t="s">
        <v>270</v>
      </c>
      <c r="E107" s="20">
        <v>48286</v>
      </c>
      <c r="F107" s="20" t="s">
        <v>474</v>
      </c>
      <c r="G107" s="20" t="s">
        <v>475</v>
      </c>
      <c r="H107" s="2">
        <v>45602</v>
      </c>
      <c r="I107" s="2" t="s">
        <v>263</v>
      </c>
      <c r="J107" s="2" t="s">
        <v>263</v>
      </c>
      <c r="K107" s="21">
        <v>19</v>
      </c>
      <c r="L107" s="21">
        <v>564300</v>
      </c>
      <c r="M107" s="21">
        <v>0</v>
      </c>
      <c r="N107" s="21">
        <v>1004</v>
      </c>
      <c r="O107" s="21">
        <v>55</v>
      </c>
      <c r="P107" s="21">
        <v>409186</v>
      </c>
      <c r="Q107" s="22">
        <v>291.51085930122758</v>
      </c>
      <c r="R107" s="22">
        <v>305.97261567516523</v>
      </c>
      <c r="S107" s="23">
        <v>0.1</v>
      </c>
      <c r="T107" s="23">
        <v>0.05</v>
      </c>
      <c r="U107" s="24">
        <v>0.72512138933191561</v>
      </c>
      <c r="V107" s="25">
        <v>0</v>
      </c>
      <c r="W107" s="26">
        <v>0.1</v>
      </c>
      <c r="X107" s="27">
        <v>0.15789473684210525</v>
      </c>
      <c r="Y107" s="25">
        <v>0</v>
      </c>
      <c r="Z107" s="24">
        <v>0.36842105263157893</v>
      </c>
      <c r="AA107" s="25">
        <v>0</v>
      </c>
      <c r="AB107" s="28">
        <v>0</v>
      </c>
      <c r="AC107" s="28">
        <v>0</v>
      </c>
      <c r="AD107" s="28">
        <v>0</v>
      </c>
      <c r="AE107" s="25">
        <v>0.09</v>
      </c>
      <c r="AF107" s="26">
        <v>0.09</v>
      </c>
      <c r="AG107" s="29" t="s">
        <v>729</v>
      </c>
      <c r="AH107" s="30">
        <v>0.95499999999999996</v>
      </c>
      <c r="AI107" s="26">
        <v>0.1</v>
      </c>
      <c r="AJ107" s="21">
        <v>0</v>
      </c>
      <c r="AK107" s="21">
        <v>0</v>
      </c>
      <c r="AL107" s="26">
        <v>0.1</v>
      </c>
      <c r="AM107" s="24">
        <v>0.68794117647058817</v>
      </c>
      <c r="AN107" s="24">
        <v>0.6470588235294118</v>
      </c>
      <c r="AO107" s="31">
        <v>0.04</v>
      </c>
      <c r="AP107" s="31">
        <v>0</v>
      </c>
      <c r="AQ107" s="24">
        <v>0.8180451127819548</v>
      </c>
      <c r="AR107" s="27">
        <v>0.74436090225563911</v>
      </c>
      <c r="AS107" s="26">
        <v>0</v>
      </c>
      <c r="AT107" s="26">
        <v>0</v>
      </c>
      <c r="AU107" s="24">
        <v>0.96686159844054576</v>
      </c>
      <c r="AV107" s="32">
        <v>13</v>
      </c>
      <c r="AW107" s="26">
        <v>0</v>
      </c>
      <c r="AX107" s="26">
        <v>0</v>
      </c>
      <c r="AY107" s="24">
        <v>0.723744769874477</v>
      </c>
      <c r="AZ107" s="24">
        <v>0.71338912133891208</v>
      </c>
      <c r="BA107" s="31">
        <v>0.05</v>
      </c>
      <c r="BB107" s="33">
        <v>0.29000000000000004</v>
      </c>
      <c r="BC107" s="21"/>
      <c r="BD107" s="26">
        <v>0.48</v>
      </c>
      <c r="BE107" s="26">
        <v>0.05</v>
      </c>
      <c r="BF107" s="26" t="s">
        <v>729</v>
      </c>
      <c r="BG107" s="21"/>
      <c r="BH107" s="34">
        <v>0</v>
      </c>
      <c r="BI107" s="34">
        <v>0.09</v>
      </c>
      <c r="BJ107" s="34" t="s">
        <v>259</v>
      </c>
      <c r="BK107" s="34">
        <v>0.09</v>
      </c>
      <c r="BL107" s="21"/>
      <c r="BM107" s="35">
        <v>0.44000000000000006</v>
      </c>
    </row>
    <row r="108" spans="1:65" x14ac:dyDescent="0.25">
      <c r="A108" s="4" t="s">
        <v>63</v>
      </c>
      <c r="B108" s="4">
        <v>73196</v>
      </c>
      <c r="C108" s="4" t="s">
        <v>168</v>
      </c>
      <c r="D108" s="19" t="s">
        <v>270</v>
      </c>
      <c r="E108" s="20">
        <v>48356</v>
      </c>
      <c r="F108" s="20" t="s">
        <v>476</v>
      </c>
      <c r="G108" s="20" t="s">
        <v>477</v>
      </c>
      <c r="H108" s="2">
        <v>45621</v>
      </c>
      <c r="I108" s="2" t="s">
        <v>263</v>
      </c>
      <c r="J108" s="2" t="s">
        <v>263</v>
      </c>
      <c r="K108" s="21">
        <v>7</v>
      </c>
      <c r="L108" s="21">
        <v>207900</v>
      </c>
      <c r="M108" s="21">
        <v>0</v>
      </c>
      <c r="N108" s="21">
        <v>320</v>
      </c>
      <c r="O108" s="21">
        <v>0</v>
      </c>
      <c r="P108" s="21">
        <v>159054</v>
      </c>
      <c r="Q108" s="22">
        <v>380.53125</v>
      </c>
      <c r="R108" s="22">
        <v>300</v>
      </c>
      <c r="S108" s="23">
        <v>0</v>
      </c>
      <c r="T108" s="23">
        <v>0</v>
      </c>
      <c r="U108" s="24">
        <v>0.76505050505050509</v>
      </c>
      <c r="V108" s="25">
        <v>0</v>
      </c>
      <c r="W108" s="26">
        <v>0</v>
      </c>
      <c r="X108" s="27">
        <v>0</v>
      </c>
      <c r="Y108" s="25">
        <v>0</v>
      </c>
      <c r="Z108" s="24">
        <v>1</v>
      </c>
      <c r="AA108" s="25">
        <v>0.04</v>
      </c>
      <c r="AB108" s="28">
        <v>0</v>
      </c>
      <c r="AC108" s="28">
        <v>7</v>
      </c>
      <c r="AD108" s="28">
        <v>2</v>
      </c>
      <c r="AE108" s="25">
        <v>0</v>
      </c>
      <c r="AF108" s="26">
        <v>0.04</v>
      </c>
      <c r="AG108" s="29" t="s">
        <v>729</v>
      </c>
      <c r="AH108" s="30">
        <v>1</v>
      </c>
      <c r="AI108" s="26">
        <v>0.1</v>
      </c>
      <c r="AJ108" s="21">
        <v>0</v>
      </c>
      <c r="AK108" s="21">
        <v>0</v>
      </c>
      <c r="AL108" s="26">
        <v>0.1</v>
      </c>
      <c r="AM108" s="24">
        <v>0.6627777777777778</v>
      </c>
      <c r="AN108" s="24">
        <v>0.69444444444444442</v>
      </c>
      <c r="AO108" s="31">
        <v>0.08</v>
      </c>
      <c r="AP108" s="31">
        <v>0.03</v>
      </c>
      <c r="AQ108" s="24">
        <v>0.79323529411764704</v>
      </c>
      <c r="AR108" s="27">
        <v>0.8529411764705882</v>
      </c>
      <c r="AS108" s="26">
        <v>0.2</v>
      </c>
      <c r="AT108" s="26">
        <v>0.1</v>
      </c>
      <c r="AU108" s="24">
        <v>0.95970695970695974</v>
      </c>
      <c r="AV108" s="32">
        <v>1</v>
      </c>
      <c r="AW108" s="26">
        <v>0.05</v>
      </c>
      <c r="AX108" s="26">
        <v>0</v>
      </c>
      <c r="AY108" s="24">
        <v>0.67077777777777781</v>
      </c>
      <c r="AZ108" s="24">
        <v>0.68518518518518523</v>
      </c>
      <c r="BA108" s="31">
        <v>0.1</v>
      </c>
      <c r="BB108" s="33">
        <v>0.63</v>
      </c>
      <c r="BC108" s="21"/>
      <c r="BD108" s="26">
        <v>0.67</v>
      </c>
      <c r="BE108" s="26">
        <v>0.13</v>
      </c>
      <c r="BF108" s="26" t="s">
        <v>729</v>
      </c>
      <c r="BG108" s="21"/>
      <c r="BH108" s="34">
        <v>0.35000000000000003</v>
      </c>
      <c r="BI108" s="34">
        <v>0</v>
      </c>
      <c r="BJ108" s="34" t="s">
        <v>259</v>
      </c>
      <c r="BK108" s="34">
        <v>0.2</v>
      </c>
      <c r="BL108" s="21"/>
      <c r="BM108" s="35">
        <v>0.60000000000000009</v>
      </c>
    </row>
    <row r="109" spans="1:65" x14ac:dyDescent="0.25">
      <c r="A109" s="4" t="s">
        <v>63</v>
      </c>
      <c r="B109" s="4">
        <v>71058</v>
      </c>
      <c r="C109" s="4" t="s">
        <v>169</v>
      </c>
      <c r="D109" s="19" t="s">
        <v>282</v>
      </c>
      <c r="E109" s="20">
        <v>48423</v>
      </c>
      <c r="F109" s="20" t="s">
        <v>478</v>
      </c>
      <c r="G109" s="20" t="s">
        <v>479</v>
      </c>
      <c r="H109" s="2">
        <v>45635</v>
      </c>
      <c r="I109" s="2" t="s">
        <v>263</v>
      </c>
      <c r="J109" s="2" t="s">
        <v>263</v>
      </c>
      <c r="K109" s="21">
        <v>15</v>
      </c>
      <c r="L109" s="21">
        <v>445500</v>
      </c>
      <c r="M109" s="21">
        <v>0</v>
      </c>
      <c r="N109" s="21">
        <v>619</v>
      </c>
      <c r="O109" s="21">
        <v>84</v>
      </c>
      <c r="P109" s="21">
        <v>406097</v>
      </c>
      <c r="Q109" s="22">
        <v>421.65576102418208</v>
      </c>
      <c r="R109" s="22">
        <v>313.74110953058323</v>
      </c>
      <c r="S109" s="23">
        <v>0</v>
      </c>
      <c r="T109" s="23">
        <v>0</v>
      </c>
      <c r="U109" s="24">
        <v>0.91155331088664426</v>
      </c>
      <c r="V109" s="25">
        <v>0.1</v>
      </c>
      <c r="W109" s="26">
        <v>0.1</v>
      </c>
      <c r="X109" s="27">
        <v>1</v>
      </c>
      <c r="Y109" s="25">
        <v>0.04</v>
      </c>
      <c r="Z109" s="24">
        <v>0.8666666666666667</v>
      </c>
      <c r="AA109" s="25">
        <v>0</v>
      </c>
      <c r="AB109" s="28">
        <v>0</v>
      </c>
      <c r="AC109" s="28">
        <v>3</v>
      </c>
      <c r="AD109" s="28">
        <v>0</v>
      </c>
      <c r="AE109" s="25">
        <v>0</v>
      </c>
      <c r="AF109" s="26">
        <v>0.04</v>
      </c>
      <c r="AG109" s="29" t="s">
        <v>729</v>
      </c>
      <c r="AH109" s="30">
        <v>0.875</v>
      </c>
      <c r="AI109" s="26">
        <v>0.05</v>
      </c>
      <c r="AJ109" s="21">
        <v>0</v>
      </c>
      <c r="AK109" s="21">
        <v>0</v>
      </c>
      <c r="AL109" s="26">
        <v>0.1</v>
      </c>
      <c r="AM109" s="24">
        <v>0.69</v>
      </c>
      <c r="AN109" s="24">
        <v>0.80208333333333337</v>
      </c>
      <c r="AO109" s="31">
        <v>0.08</v>
      </c>
      <c r="AP109" s="31">
        <v>0.03</v>
      </c>
      <c r="AQ109" s="24">
        <v>0.82</v>
      </c>
      <c r="AR109" s="27">
        <v>0.8666666666666667</v>
      </c>
      <c r="AS109" s="26">
        <v>0</v>
      </c>
      <c r="AT109" s="26">
        <v>0</v>
      </c>
      <c r="AU109" s="24">
        <v>0.90652818991097928</v>
      </c>
      <c r="AV109" s="32">
        <v>6</v>
      </c>
      <c r="AW109" s="26">
        <v>0</v>
      </c>
      <c r="AX109" s="26">
        <v>0</v>
      </c>
      <c r="AY109" s="24">
        <v>0.72533219761499157</v>
      </c>
      <c r="AZ109" s="24">
        <v>0.73083475298126066</v>
      </c>
      <c r="BA109" s="31">
        <v>0.1</v>
      </c>
      <c r="BB109" s="33">
        <v>0.32999999999999996</v>
      </c>
      <c r="BC109" s="21"/>
      <c r="BD109" s="26">
        <v>0.47</v>
      </c>
      <c r="BE109" s="26">
        <v>0.03</v>
      </c>
      <c r="BF109" s="26" t="s">
        <v>729</v>
      </c>
      <c r="BG109" s="21"/>
      <c r="BH109" s="34">
        <v>0.05</v>
      </c>
      <c r="BI109" s="34">
        <v>0.02</v>
      </c>
      <c r="BJ109" s="34" t="s">
        <v>259</v>
      </c>
      <c r="BK109" s="34">
        <v>7.0000000000000007E-2</v>
      </c>
      <c r="BL109" s="21"/>
      <c r="BM109" s="35">
        <v>0.43</v>
      </c>
    </row>
    <row r="110" spans="1:65" x14ac:dyDescent="0.25">
      <c r="A110" s="4" t="s">
        <v>63</v>
      </c>
      <c r="B110" s="4">
        <v>71657</v>
      </c>
      <c r="C110" s="4" t="s">
        <v>170</v>
      </c>
      <c r="D110" s="19" t="s">
        <v>282</v>
      </c>
      <c r="E110" s="20">
        <v>48417</v>
      </c>
      <c r="F110" s="20" t="s">
        <v>480</v>
      </c>
      <c r="G110" s="20" t="s">
        <v>481</v>
      </c>
      <c r="H110" s="2">
        <v>45628</v>
      </c>
      <c r="I110" s="2" t="s">
        <v>253</v>
      </c>
      <c r="J110" s="2" t="s">
        <v>253</v>
      </c>
      <c r="K110" s="21">
        <v>2</v>
      </c>
      <c r="L110" s="21">
        <v>59400</v>
      </c>
      <c r="M110" s="21">
        <v>0</v>
      </c>
      <c r="N110" s="21">
        <v>141</v>
      </c>
      <c r="O110" s="21">
        <v>0</v>
      </c>
      <c r="P110" s="21">
        <v>55216</v>
      </c>
      <c r="Q110" s="22">
        <v>324.09929078014187</v>
      </c>
      <c r="R110" s="22">
        <v>300</v>
      </c>
      <c r="S110" s="23">
        <v>0</v>
      </c>
      <c r="T110" s="23">
        <v>0</v>
      </c>
      <c r="U110" s="24">
        <v>0.92956228956228959</v>
      </c>
      <c r="V110" s="25">
        <v>0.1</v>
      </c>
      <c r="W110" s="26">
        <v>0.1</v>
      </c>
      <c r="X110" s="27">
        <v>0.5</v>
      </c>
      <c r="Y110" s="25">
        <v>0</v>
      </c>
      <c r="Z110" s="24">
        <v>1</v>
      </c>
      <c r="AA110" s="25">
        <v>0.04</v>
      </c>
      <c r="AB110" s="28">
        <v>0</v>
      </c>
      <c r="AC110" s="28">
        <v>0</v>
      </c>
      <c r="AD110" s="28">
        <v>0</v>
      </c>
      <c r="AE110" s="25">
        <v>0.09</v>
      </c>
      <c r="AF110" s="26">
        <v>0.13</v>
      </c>
      <c r="AG110" s="29" t="s">
        <v>729</v>
      </c>
      <c r="AH110" s="30">
        <v>0.90500000000000003</v>
      </c>
      <c r="AI110" s="26">
        <v>0.1</v>
      </c>
      <c r="AJ110" s="21">
        <v>0</v>
      </c>
      <c r="AK110" s="21">
        <v>0</v>
      </c>
      <c r="AL110" s="26">
        <v>0.1</v>
      </c>
      <c r="AM110" s="24">
        <v>0.68066666666666675</v>
      </c>
      <c r="AN110" s="24">
        <v>0.8</v>
      </c>
      <c r="AO110" s="31">
        <v>0.08</v>
      </c>
      <c r="AP110" s="31">
        <v>0.03</v>
      </c>
      <c r="AQ110" s="24">
        <v>0.81071428571428572</v>
      </c>
      <c r="AR110" s="27">
        <v>0.8571428571428571</v>
      </c>
      <c r="AS110" s="26">
        <v>0.2</v>
      </c>
      <c r="AT110" s="26">
        <v>0.08</v>
      </c>
      <c r="AU110" s="24">
        <v>0.9453125</v>
      </c>
      <c r="AV110" s="32">
        <v>2</v>
      </c>
      <c r="AW110" s="26">
        <v>0.03</v>
      </c>
      <c r="AX110" s="26">
        <v>0</v>
      </c>
      <c r="AY110" s="24">
        <v>0.68914062500000006</v>
      </c>
      <c r="AZ110" s="24">
        <v>0.6640625</v>
      </c>
      <c r="BA110" s="31">
        <v>0</v>
      </c>
      <c r="BB110" s="33">
        <v>0.51</v>
      </c>
      <c r="BC110" s="21"/>
      <c r="BD110" s="26">
        <v>0.74</v>
      </c>
      <c r="BE110" s="26">
        <v>0.11</v>
      </c>
      <c r="BF110" s="26" t="s">
        <v>729</v>
      </c>
      <c r="BG110" s="21"/>
      <c r="BH110" s="34">
        <v>0</v>
      </c>
      <c r="BI110" s="34">
        <v>0</v>
      </c>
      <c r="BJ110" s="34" t="s">
        <v>259</v>
      </c>
      <c r="BK110" s="34">
        <v>0</v>
      </c>
      <c r="BL110" s="21"/>
      <c r="BM110" s="35">
        <v>0.85</v>
      </c>
    </row>
    <row r="111" spans="1:65" x14ac:dyDescent="0.25">
      <c r="A111" s="4" t="s">
        <v>63</v>
      </c>
      <c r="B111" s="4">
        <v>72927</v>
      </c>
      <c r="C111" s="4" t="s">
        <v>171</v>
      </c>
      <c r="D111" s="19" t="s">
        <v>314</v>
      </c>
      <c r="E111" s="20">
        <v>40740</v>
      </c>
      <c r="F111" s="20" t="s">
        <v>482</v>
      </c>
      <c r="G111" s="20" t="s">
        <v>483</v>
      </c>
      <c r="H111" s="2">
        <v>45641</v>
      </c>
      <c r="I111" s="2" t="s">
        <v>263</v>
      </c>
      <c r="J111" s="2" t="s">
        <v>263</v>
      </c>
      <c r="K111" s="21">
        <v>17</v>
      </c>
      <c r="L111" s="21">
        <v>504900</v>
      </c>
      <c r="M111" s="21">
        <v>0</v>
      </c>
      <c r="N111" s="21">
        <v>450</v>
      </c>
      <c r="O111" s="21">
        <v>231</v>
      </c>
      <c r="P111" s="21">
        <v>419157</v>
      </c>
      <c r="Q111" s="22">
        <v>485.96916299559473</v>
      </c>
      <c r="R111" s="22">
        <v>320.35242290748897</v>
      </c>
      <c r="S111" s="23">
        <v>0</v>
      </c>
      <c r="T111" s="23">
        <v>0</v>
      </c>
      <c r="U111" s="24">
        <v>0.83017825311942961</v>
      </c>
      <c r="V111" s="25">
        <v>0.1</v>
      </c>
      <c r="W111" s="26">
        <v>0.1</v>
      </c>
      <c r="X111" s="27">
        <v>0.70588235294117652</v>
      </c>
      <c r="Y111" s="25">
        <v>0</v>
      </c>
      <c r="Z111" s="24">
        <v>0.88235294117647056</v>
      </c>
      <c r="AA111" s="25">
        <v>0</v>
      </c>
      <c r="AB111" s="28">
        <v>0</v>
      </c>
      <c r="AC111" s="28">
        <v>0</v>
      </c>
      <c r="AD111" s="28">
        <v>0</v>
      </c>
      <c r="AE111" s="25">
        <v>0.09</v>
      </c>
      <c r="AF111" s="26">
        <v>0.09</v>
      </c>
      <c r="AG111" s="29" t="s">
        <v>729</v>
      </c>
      <c r="AH111" s="30">
        <v>0.85</v>
      </c>
      <c r="AI111" s="26">
        <v>0.05</v>
      </c>
      <c r="AJ111" s="21">
        <v>0</v>
      </c>
      <c r="AK111" s="21">
        <v>0</v>
      </c>
      <c r="AL111" s="26">
        <v>0.1</v>
      </c>
      <c r="AM111" s="24">
        <v>0.68333333333333335</v>
      </c>
      <c r="AN111" s="24">
        <v>0.6071428571428571</v>
      </c>
      <c r="AO111" s="31">
        <v>0</v>
      </c>
      <c r="AP111" s="31">
        <v>0</v>
      </c>
      <c r="AQ111" s="24">
        <v>0.81315789473684208</v>
      </c>
      <c r="AR111" s="27">
        <v>0.69736842105263153</v>
      </c>
      <c r="AS111" s="26">
        <v>0</v>
      </c>
      <c r="AT111" s="26">
        <v>0</v>
      </c>
      <c r="AU111" s="24">
        <v>0.95446584938704027</v>
      </c>
      <c r="AV111" s="32">
        <v>4</v>
      </c>
      <c r="AW111" s="26">
        <v>0</v>
      </c>
      <c r="AX111" s="26">
        <v>0</v>
      </c>
      <c r="AY111" s="24">
        <v>0.71120967741935481</v>
      </c>
      <c r="AZ111" s="24">
        <v>0.7661290322580645</v>
      </c>
      <c r="BA111" s="31">
        <v>0.1</v>
      </c>
      <c r="BB111" s="33">
        <v>0.25</v>
      </c>
      <c r="BC111" s="21"/>
      <c r="BD111" s="26">
        <v>0.43999999999999995</v>
      </c>
      <c r="BE111" s="26">
        <v>0</v>
      </c>
      <c r="BF111" s="26" t="s">
        <v>729</v>
      </c>
      <c r="BG111" s="21"/>
      <c r="BH111" s="34">
        <v>0</v>
      </c>
      <c r="BI111" s="34">
        <v>0</v>
      </c>
      <c r="BJ111" s="34" t="s">
        <v>259</v>
      </c>
      <c r="BK111" s="34">
        <v>0</v>
      </c>
      <c r="BL111" s="21"/>
      <c r="BM111" s="35">
        <v>0.43999999999999995</v>
      </c>
    </row>
    <row r="112" spans="1:65" x14ac:dyDescent="0.25">
      <c r="A112" s="4" t="s">
        <v>63</v>
      </c>
      <c r="B112" s="4">
        <v>72980</v>
      </c>
      <c r="C112" s="4" t="s">
        <v>172</v>
      </c>
      <c r="D112" s="19" t="s">
        <v>264</v>
      </c>
      <c r="E112" s="20">
        <v>40763</v>
      </c>
      <c r="F112" s="20" t="s">
        <v>484</v>
      </c>
      <c r="G112" s="20" t="s">
        <v>485</v>
      </c>
      <c r="H112" s="2">
        <v>45641</v>
      </c>
      <c r="I112" s="2" t="s">
        <v>263</v>
      </c>
      <c r="J112" s="2" t="s">
        <v>263</v>
      </c>
      <c r="K112" s="21">
        <v>13</v>
      </c>
      <c r="L112" s="21">
        <v>386100</v>
      </c>
      <c r="M112" s="21">
        <v>3600</v>
      </c>
      <c r="N112" s="21">
        <v>290</v>
      </c>
      <c r="O112" s="21">
        <v>27</v>
      </c>
      <c r="P112" s="21">
        <v>295323</v>
      </c>
      <c r="Q112" s="22">
        <v>358.52050473186119</v>
      </c>
      <c r="R112" s="22">
        <v>300</v>
      </c>
      <c r="S112" s="23">
        <v>0</v>
      </c>
      <c r="T112" s="23">
        <v>0</v>
      </c>
      <c r="U112" s="24">
        <v>0.77208627450980394</v>
      </c>
      <c r="V112" s="25">
        <v>0</v>
      </c>
      <c r="W112" s="26">
        <v>0</v>
      </c>
      <c r="X112" s="27">
        <v>7.6923076923076927E-2</v>
      </c>
      <c r="Y112" s="25">
        <v>0</v>
      </c>
      <c r="Z112" s="24">
        <v>0.76923076923076927</v>
      </c>
      <c r="AA112" s="25">
        <v>0</v>
      </c>
      <c r="AB112" s="28">
        <v>0</v>
      </c>
      <c r="AC112" s="28">
        <v>0</v>
      </c>
      <c r="AD112" s="28">
        <v>0</v>
      </c>
      <c r="AE112" s="25">
        <v>0.09</v>
      </c>
      <c r="AF112" s="26">
        <v>0.09</v>
      </c>
      <c r="AG112" s="29" t="s">
        <v>729</v>
      </c>
      <c r="AH112" s="30">
        <v>0.85499999999999998</v>
      </c>
      <c r="AI112" s="26">
        <v>0.05</v>
      </c>
      <c r="AJ112" s="21">
        <v>0</v>
      </c>
      <c r="AK112" s="21">
        <v>0</v>
      </c>
      <c r="AL112" s="26">
        <v>0.1</v>
      </c>
      <c r="AM112" s="24">
        <v>0.69</v>
      </c>
      <c r="AN112" s="24">
        <v>0.6875</v>
      </c>
      <c r="AO112" s="31">
        <v>0.06</v>
      </c>
      <c r="AP112" s="31">
        <v>0</v>
      </c>
      <c r="AQ112" s="24">
        <v>0.81999999999999984</v>
      </c>
      <c r="AR112" s="27">
        <v>0.8571428571428571</v>
      </c>
      <c r="AS112" s="26">
        <v>0.2</v>
      </c>
      <c r="AT112" s="26">
        <v>0.06</v>
      </c>
      <c r="AU112" s="24">
        <v>0.97916666666666663</v>
      </c>
      <c r="AV112" s="32">
        <v>1</v>
      </c>
      <c r="AW112" s="26">
        <v>0.05</v>
      </c>
      <c r="AX112" s="26">
        <v>0</v>
      </c>
      <c r="AY112" s="24">
        <v>0.72441406249999996</v>
      </c>
      <c r="AZ112" s="24">
        <v>0.70703125</v>
      </c>
      <c r="BA112" s="31">
        <v>0.05</v>
      </c>
      <c r="BB112" s="33">
        <v>0.51</v>
      </c>
      <c r="BC112" s="21"/>
      <c r="BD112" s="26">
        <v>0.6</v>
      </c>
      <c r="BE112" s="26">
        <v>0.06</v>
      </c>
      <c r="BF112" s="26" t="s">
        <v>729</v>
      </c>
      <c r="BG112" s="21"/>
      <c r="BH112" s="34">
        <v>0</v>
      </c>
      <c r="BI112" s="34">
        <v>0</v>
      </c>
      <c r="BJ112" s="34" t="s">
        <v>259</v>
      </c>
      <c r="BK112" s="34">
        <v>0</v>
      </c>
      <c r="BL112" s="21"/>
      <c r="BM112" s="35">
        <v>0.65999999999999992</v>
      </c>
    </row>
    <row r="113" spans="1:65" x14ac:dyDescent="0.25">
      <c r="A113" s="4" t="s">
        <v>63</v>
      </c>
      <c r="B113" s="4">
        <v>73738</v>
      </c>
      <c r="C113" s="4" t="s">
        <v>173</v>
      </c>
      <c r="D113" s="19" t="s">
        <v>264</v>
      </c>
      <c r="E113" s="20">
        <v>48545</v>
      </c>
      <c r="F113" s="20" t="s">
        <v>486</v>
      </c>
      <c r="G113" s="20" t="s">
        <v>487</v>
      </c>
      <c r="H113" s="2">
        <v>45635</v>
      </c>
      <c r="I113" s="2" t="s">
        <v>263</v>
      </c>
      <c r="J113" s="2" t="s">
        <v>263</v>
      </c>
      <c r="K113" s="21">
        <v>16</v>
      </c>
      <c r="L113" s="21">
        <v>475200</v>
      </c>
      <c r="M113" s="21">
        <v>0</v>
      </c>
      <c r="N113" s="21">
        <v>659</v>
      </c>
      <c r="O113" s="21">
        <v>27</v>
      </c>
      <c r="P113" s="21">
        <v>320024</v>
      </c>
      <c r="Q113" s="22">
        <v>307.9387755102041</v>
      </c>
      <c r="R113" s="22">
        <v>300</v>
      </c>
      <c r="S113" s="23">
        <v>0</v>
      </c>
      <c r="T113" s="23">
        <v>0</v>
      </c>
      <c r="U113" s="24">
        <v>0.67345117845117841</v>
      </c>
      <c r="V113" s="25">
        <v>0</v>
      </c>
      <c r="W113" s="26">
        <v>0</v>
      </c>
      <c r="X113" s="27">
        <v>0</v>
      </c>
      <c r="Y113" s="25">
        <v>0</v>
      </c>
      <c r="Z113" s="24">
        <v>1</v>
      </c>
      <c r="AA113" s="25">
        <v>0.04</v>
      </c>
      <c r="AB113" s="28">
        <v>0</v>
      </c>
      <c r="AC113" s="28">
        <v>0</v>
      </c>
      <c r="AD113" s="28">
        <v>0</v>
      </c>
      <c r="AE113" s="25">
        <v>0.09</v>
      </c>
      <c r="AF113" s="26">
        <v>0.13</v>
      </c>
      <c r="AG113" s="29" t="s">
        <v>729</v>
      </c>
      <c r="AH113" s="30">
        <v>1</v>
      </c>
      <c r="AI113" s="26">
        <v>0.1</v>
      </c>
      <c r="AJ113" s="21">
        <v>0</v>
      </c>
      <c r="AK113" s="21">
        <v>0</v>
      </c>
      <c r="AL113" s="26">
        <v>0.1</v>
      </c>
      <c r="AM113" s="24">
        <v>0.67788461538461542</v>
      </c>
      <c r="AN113" s="24">
        <v>0.78846153846153844</v>
      </c>
      <c r="AO113" s="31">
        <v>0.08</v>
      </c>
      <c r="AP113" s="31">
        <v>0.03</v>
      </c>
      <c r="AQ113" s="24">
        <v>0.80938775510204075</v>
      </c>
      <c r="AR113" s="27">
        <v>0.86734693877551017</v>
      </c>
      <c r="AS113" s="26">
        <v>0.2</v>
      </c>
      <c r="AT113" s="26">
        <v>0.1</v>
      </c>
      <c r="AU113" s="24">
        <v>0.96188747731397461</v>
      </c>
      <c r="AV113" s="32">
        <v>6</v>
      </c>
      <c r="AW113" s="26">
        <v>0</v>
      </c>
      <c r="AX113" s="26">
        <v>0</v>
      </c>
      <c r="AY113" s="24">
        <v>0.69744318181818177</v>
      </c>
      <c r="AZ113" s="24">
        <v>0.69886363636363635</v>
      </c>
      <c r="BA113" s="31">
        <v>0.1</v>
      </c>
      <c r="BB113" s="33">
        <v>0.57999999999999996</v>
      </c>
      <c r="BC113" s="21"/>
      <c r="BD113" s="26">
        <v>0.71</v>
      </c>
      <c r="BE113" s="26">
        <v>0.13</v>
      </c>
      <c r="BF113" s="26" t="s">
        <v>729</v>
      </c>
      <c r="BG113" s="21"/>
      <c r="BH113" s="34">
        <v>0</v>
      </c>
      <c r="BI113" s="34">
        <v>0.02</v>
      </c>
      <c r="BJ113" s="34" t="s">
        <v>259</v>
      </c>
      <c r="BK113" s="34">
        <v>0.02</v>
      </c>
      <c r="BL113" s="21"/>
      <c r="BM113" s="35">
        <v>0.82</v>
      </c>
    </row>
    <row r="114" spans="1:65" x14ac:dyDescent="0.25">
      <c r="A114" s="4" t="s">
        <v>63</v>
      </c>
      <c r="B114" s="4">
        <v>72597</v>
      </c>
      <c r="C114" s="4" t="s">
        <v>174</v>
      </c>
      <c r="D114" s="19" t="s">
        <v>264</v>
      </c>
      <c r="E114" s="20">
        <v>48470</v>
      </c>
      <c r="F114" s="20" t="s">
        <v>488</v>
      </c>
      <c r="G114" s="20" t="s">
        <v>489</v>
      </c>
      <c r="H114" s="2">
        <v>45635</v>
      </c>
      <c r="I114" s="2" t="s">
        <v>263</v>
      </c>
      <c r="J114" s="2" t="s">
        <v>263</v>
      </c>
      <c r="K114" s="21">
        <v>15</v>
      </c>
      <c r="L114" s="21">
        <v>449100</v>
      </c>
      <c r="M114" s="21">
        <v>3600</v>
      </c>
      <c r="N114" s="21">
        <v>672</v>
      </c>
      <c r="O114" s="21">
        <v>0</v>
      </c>
      <c r="P114" s="21">
        <v>296847</v>
      </c>
      <c r="Q114" s="22">
        <v>318.56101190476193</v>
      </c>
      <c r="R114" s="22">
        <v>300</v>
      </c>
      <c r="S114" s="23">
        <v>0</v>
      </c>
      <c r="T114" s="23">
        <v>0</v>
      </c>
      <c r="U114" s="24">
        <v>0.66632323232323232</v>
      </c>
      <c r="V114" s="25">
        <v>0</v>
      </c>
      <c r="W114" s="26">
        <v>0</v>
      </c>
      <c r="X114" s="27">
        <v>0.13333333333333333</v>
      </c>
      <c r="Y114" s="25">
        <v>0</v>
      </c>
      <c r="Z114" s="24">
        <v>0.73333333333333328</v>
      </c>
      <c r="AA114" s="25">
        <v>0</v>
      </c>
      <c r="AB114" s="28">
        <v>0</v>
      </c>
      <c r="AC114" s="28">
        <v>0</v>
      </c>
      <c r="AD114" s="28">
        <v>0</v>
      </c>
      <c r="AE114" s="25">
        <v>0.09</v>
      </c>
      <c r="AF114" s="26">
        <v>0.09</v>
      </c>
      <c r="AG114" s="29" t="s">
        <v>729</v>
      </c>
      <c r="AH114" s="30">
        <v>0.89999999999999991</v>
      </c>
      <c r="AI114" s="26">
        <v>0.1</v>
      </c>
      <c r="AJ114" s="21">
        <v>0</v>
      </c>
      <c r="AK114" s="21">
        <v>0</v>
      </c>
      <c r="AL114" s="26">
        <v>0.1</v>
      </c>
      <c r="AM114" s="24">
        <v>0.67694915254237287</v>
      </c>
      <c r="AN114" s="24">
        <v>0.69491525423728817</v>
      </c>
      <c r="AO114" s="31">
        <v>0.08</v>
      </c>
      <c r="AP114" s="31">
        <v>0.03</v>
      </c>
      <c r="AQ114" s="24">
        <v>0.80839285714285725</v>
      </c>
      <c r="AR114" s="27">
        <v>0.8303571428571429</v>
      </c>
      <c r="AS114" s="26">
        <v>0.2</v>
      </c>
      <c r="AT114" s="26">
        <v>0.04</v>
      </c>
      <c r="AU114" s="24">
        <v>0.97445255474452552</v>
      </c>
      <c r="AV114" s="32">
        <v>6</v>
      </c>
      <c r="AW114" s="26">
        <v>0</v>
      </c>
      <c r="AX114" s="26">
        <v>0</v>
      </c>
      <c r="AY114" s="24">
        <v>0.68872531418312388</v>
      </c>
      <c r="AZ114" s="24">
        <v>0.61041292639138245</v>
      </c>
      <c r="BA114" s="31">
        <v>0</v>
      </c>
      <c r="BB114" s="33">
        <v>0.48</v>
      </c>
      <c r="BC114" s="21"/>
      <c r="BD114" s="26">
        <v>0.56999999999999995</v>
      </c>
      <c r="BE114" s="26">
        <v>7.0000000000000007E-2</v>
      </c>
      <c r="BF114" s="26" t="s">
        <v>729</v>
      </c>
      <c r="BG114" s="21"/>
      <c r="BH114" s="34">
        <v>0</v>
      </c>
      <c r="BI114" s="34">
        <v>0.02</v>
      </c>
      <c r="BJ114" s="34" t="s">
        <v>259</v>
      </c>
      <c r="BK114" s="34">
        <v>0.02</v>
      </c>
      <c r="BL114" s="21"/>
      <c r="BM114" s="35">
        <v>0.61999999999999988</v>
      </c>
    </row>
    <row r="115" spans="1:65" x14ac:dyDescent="0.25">
      <c r="A115" s="4" t="s">
        <v>63</v>
      </c>
      <c r="B115" s="4">
        <v>71547</v>
      </c>
      <c r="C115" s="4" t="s">
        <v>175</v>
      </c>
      <c r="D115" s="19" t="s">
        <v>255</v>
      </c>
      <c r="E115" s="20">
        <v>400210</v>
      </c>
      <c r="F115" s="20" t="s">
        <v>490</v>
      </c>
      <c r="G115" s="20" t="s">
        <v>491</v>
      </c>
      <c r="H115" s="2">
        <v>45789</v>
      </c>
      <c r="I115" s="2" t="s">
        <v>258</v>
      </c>
      <c r="J115" s="2" t="s">
        <v>258</v>
      </c>
      <c r="K115" s="21">
        <v>21</v>
      </c>
      <c r="L115" s="21">
        <v>623700</v>
      </c>
      <c r="M115" s="21">
        <v>0</v>
      </c>
      <c r="N115" s="21">
        <v>598</v>
      </c>
      <c r="O115" s="21">
        <v>26</v>
      </c>
      <c r="P115" s="21">
        <v>592343</v>
      </c>
      <c r="Q115" s="22">
        <v>420.63301282051282</v>
      </c>
      <c r="R115" s="22">
        <v>300</v>
      </c>
      <c r="S115" s="23">
        <v>0</v>
      </c>
      <c r="T115" s="23">
        <v>0</v>
      </c>
      <c r="U115" s="24">
        <v>0.94972422639089304</v>
      </c>
      <c r="V115" s="25">
        <v>0.1</v>
      </c>
      <c r="W115" s="26">
        <v>0.1</v>
      </c>
      <c r="X115" s="27">
        <v>0.95238095238095233</v>
      </c>
      <c r="Y115" s="25">
        <v>0.04</v>
      </c>
      <c r="Z115" s="24">
        <v>0.90476190476190477</v>
      </c>
      <c r="AA115" s="25">
        <v>0</v>
      </c>
      <c r="AB115" s="28">
        <v>0</v>
      </c>
      <c r="AC115" s="28">
        <v>0</v>
      </c>
      <c r="AD115" s="28">
        <v>1</v>
      </c>
      <c r="AE115" s="25">
        <v>0.04</v>
      </c>
      <c r="AF115" s="26">
        <v>0.08</v>
      </c>
      <c r="AG115" s="29" t="s">
        <v>729</v>
      </c>
      <c r="AH115" s="30">
        <v>1</v>
      </c>
      <c r="AI115" s="26">
        <v>0.1</v>
      </c>
      <c r="AJ115" s="21">
        <v>0</v>
      </c>
      <c r="AK115" s="21">
        <v>0</v>
      </c>
      <c r="AL115" s="26">
        <v>0.1</v>
      </c>
      <c r="AM115" s="24">
        <v>0.69</v>
      </c>
      <c r="AN115" s="24">
        <v>0.76363636363636367</v>
      </c>
      <c r="AO115" s="31">
        <v>0.08</v>
      </c>
      <c r="AP115" s="31">
        <v>0.03</v>
      </c>
      <c r="AQ115" s="24">
        <v>0.82</v>
      </c>
      <c r="AR115" s="27">
        <v>0.8571428571428571</v>
      </c>
      <c r="AS115" s="26">
        <v>0.2</v>
      </c>
      <c r="AT115" s="26">
        <v>0.06</v>
      </c>
      <c r="AU115" s="24">
        <v>0.99407114624505932</v>
      </c>
      <c r="AV115" s="32">
        <v>11</v>
      </c>
      <c r="AW115" s="26">
        <v>0</v>
      </c>
      <c r="AX115" s="26">
        <v>0</v>
      </c>
      <c r="AY115" s="24">
        <v>0.74</v>
      </c>
      <c r="AZ115" s="24">
        <v>0.74691358024691357</v>
      </c>
      <c r="BA115" s="31">
        <v>0.1</v>
      </c>
      <c r="BB115" s="33">
        <v>0.57999999999999996</v>
      </c>
      <c r="BC115" s="21"/>
      <c r="BD115" s="26">
        <v>0.7599999999999999</v>
      </c>
      <c r="BE115" s="26">
        <v>0.09</v>
      </c>
      <c r="BF115" s="26" t="s">
        <v>729</v>
      </c>
      <c r="BG115" s="21"/>
      <c r="BH115" s="34">
        <v>0</v>
      </c>
      <c r="BI115" s="34">
        <v>7.0000000000000007E-2</v>
      </c>
      <c r="BJ115" s="34" t="s">
        <v>259</v>
      </c>
      <c r="BK115" s="34">
        <v>7.0000000000000007E-2</v>
      </c>
      <c r="BL115" s="21"/>
      <c r="BM115" s="35">
        <v>0.7799999999999998</v>
      </c>
    </row>
    <row r="116" spans="1:65" x14ac:dyDescent="0.25">
      <c r="A116" s="4" t="s">
        <v>63</v>
      </c>
      <c r="B116" s="4">
        <v>73220</v>
      </c>
      <c r="C116" s="4" t="s">
        <v>176</v>
      </c>
      <c r="D116" s="19" t="s">
        <v>273</v>
      </c>
      <c r="E116" s="20">
        <v>41532</v>
      </c>
      <c r="F116" s="20" t="s">
        <v>492</v>
      </c>
      <c r="G116" s="20" t="s">
        <v>493</v>
      </c>
      <c r="H116" s="2">
        <v>44789</v>
      </c>
      <c r="I116" s="2" t="s">
        <v>263</v>
      </c>
      <c r="J116" s="2" t="s">
        <v>263</v>
      </c>
      <c r="K116" s="21">
        <v>17</v>
      </c>
      <c r="L116" s="21">
        <v>465300</v>
      </c>
      <c r="M116" s="21">
        <v>22500</v>
      </c>
      <c r="N116" s="21">
        <v>615</v>
      </c>
      <c r="O116" s="21">
        <v>285</v>
      </c>
      <c r="P116" s="21">
        <v>353514</v>
      </c>
      <c r="Q116" s="22">
        <v>264.39888888888891</v>
      </c>
      <c r="R116" s="22">
        <v>336.41666666666669</v>
      </c>
      <c r="S116" s="23">
        <v>0.1</v>
      </c>
      <c r="T116" s="23">
        <v>0.05</v>
      </c>
      <c r="U116" s="24">
        <v>0.79836043360433606</v>
      </c>
      <c r="V116" s="25">
        <v>0.05</v>
      </c>
      <c r="W116" s="26">
        <v>0.15000000000000002</v>
      </c>
      <c r="X116" s="27">
        <v>0.11764705882352941</v>
      </c>
      <c r="Y116" s="25">
        <v>0</v>
      </c>
      <c r="Z116" s="24">
        <v>0.47058823529411764</v>
      </c>
      <c r="AA116" s="25">
        <v>0</v>
      </c>
      <c r="AB116" s="28">
        <v>0</v>
      </c>
      <c r="AC116" s="28">
        <v>0</v>
      </c>
      <c r="AD116" s="28">
        <v>0</v>
      </c>
      <c r="AE116" s="25">
        <v>0.09</v>
      </c>
      <c r="AF116" s="26">
        <v>0.09</v>
      </c>
      <c r="AG116" s="29" t="s">
        <v>729</v>
      </c>
      <c r="AH116" s="30">
        <v>0.375</v>
      </c>
      <c r="AI116" s="26">
        <v>0</v>
      </c>
      <c r="AJ116" s="21">
        <v>0</v>
      </c>
      <c r="AK116" s="21">
        <v>0</v>
      </c>
      <c r="AL116" s="26">
        <v>0.1</v>
      </c>
      <c r="AM116" s="24">
        <v>0.68443708609271514</v>
      </c>
      <c r="AN116" s="24">
        <v>0.71523178807947019</v>
      </c>
      <c r="AO116" s="31">
        <v>0.08</v>
      </c>
      <c r="AP116" s="31">
        <v>0.03</v>
      </c>
      <c r="AQ116" s="24">
        <v>0.8146938775510203</v>
      </c>
      <c r="AR116" s="27">
        <v>0.80272108843537415</v>
      </c>
      <c r="AS116" s="26">
        <v>0.125</v>
      </c>
      <c r="AT116" s="26">
        <v>0</v>
      </c>
      <c r="AU116" s="24">
        <v>0.95907928388746799</v>
      </c>
      <c r="AV116" s="32">
        <v>3</v>
      </c>
      <c r="AW116" s="26">
        <v>0.01</v>
      </c>
      <c r="AX116" s="26">
        <v>0</v>
      </c>
      <c r="AY116" s="24">
        <v>0.70307692307692304</v>
      </c>
      <c r="AZ116" s="24">
        <v>0.66849816849816845</v>
      </c>
      <c r="BA116" s="31">
        <v>0</v>
      </c>
      <c r="BB116" s="33">
        <v>0.31500000000000006</v>
      </c>
      <c r="BC116" s="21"/>
      <c r="BD116" s="26">
        <v>0.55500000000000005</v>
      </c>
      <c r="BE116" s="26">
        <v>0.08</v>
      </c>
      <c r="BF116" s="26" t="s">
        <v>729</v>
      </c>
      <c r="BG116" s="21"/>
      <c r="BH116" s="34">
        <v>0</v>
      </c>
      <c r="BI116" s="34">
        <v>0</v>
      </c>
      <c r="BJ116" s="34" t="s">
        <v>259</v>
      </c>
      <c r="BK116" s="34">
        <v>0</v>
      </c>
      <c r="BL116" s="21"/>
      <c r="BM116" s="35">
        <v>0.63500000000000001</v>
      </c>
    </row>
    <row r="117" spans="1:65" x14ac:dyDescent="0.25">
      <c r="A117" s="4" t="s">
        <v>63</v>
      </c>
      <c r="B117" s="4">
        <v>72531</v>
      </c>
      <c r="C117" s="4" t="s">
        <v>177</v>
      </c>
      <c r="D117" s="19" t="s">
        <v>270</v>
      </c>
      <c r="E117" s="20">
        <v>48542</v>
      </c>
      <c r="F117" s="20" t="s">
        <v>494</v>
      </c>
      <c r="G117" s="20" t="s">
        <v>495</v>
      </c>
      <c r="H117" s="2">
        <v>45635</v>
      </c>
      <c r="I117" s="2" t="s">
        <v>263</v>
      </c>
      <c r="J117" s="2" t="s">
        <v>263</v>
      </c>
      <c r="K117" s="21">
        <v>20</v>
      </c>
      <c r="L117" s="21">
        <v>594000</v>
      </c>
      <c r="M117" s="21">
        <v>0</v>
      </c>
      <c r="N117" s="21">
        <v>1150</v>
      </c>
      <c r="O117" s="21">
        <v>0</v>
      </c>
      <c r="P117" s="21">
        <v>523474</v>
      </c>
      <c r="Q117" s="22">
        <v>357.45565217391305</v>
      </c>
      <c r="R117" s="22">
        <v>300</v>
      </c>
      <c r="S117" s="23">
        <v>0</v>
      </c>
      <c r="T117" s="23">
        <v>0</v>
      </c>
      <c r="U117" s="24">
        <v>0.88126936026936031</v>
      </c>
      <c r="V117" s="25">
        <v>0.1</v>
      </c>
      <c r="W117" s="26">
        <v>0.1</v>
      </c>
      <c r="X117" s="27">
        <v>0.45</v>
      </c>
      <c r="Y117" s="25">
        <v>0</v>
      </c>
      <c r="Z117" s="24">
        <v>0.75</v>
      </c>
      <c r="AA117" s="25">
        <v>0</v>
      </c>
      <c r="AB117" s="28">
        <v>1</v>
      </c>
      <c r="AC117" s="28">
        <v>0</v>
      </c>
      <c r="AD117" s="28">
        <v>0</v>
      </c>
      <c r="AE117" s="25">
        <v>0</v>
      </c>
      <c r="AF117" s="26">
        <v>0</v>
      </c>
      <c r="AG117" s="29" t="s">
        <v>729</v>
      </c>
      <c r="AH117" s="30">
        <v>0.97499999999999998</v>
      </c>
      <c r="AI117" s="26">
        <v>0.1</v>
      </c>
      <c r="AJ117" s="21">
        <v>0</v>
      </c>
      <c r="AK117" s="21">
        <v>0</v>
      </c>
      <c r="AL117" s="26">
        <v>0.1</v>
      </c>
      <c r="AM117" s="24">
        <v>0.68504424778761064</v>
      </c>
      <c r="AN117" s="24">
        <v>0.67256637168141598</v>
      </c>
      <c r="AO117" s="31">
        <v>0.06</v>
      </c>
      <c r="AP117" s="31">
        <v>0</v>
      </c>
      <c r="AQ117" s="24">
        <v>0.81469387755102041</v>
      </c>
      <c r="AR117" s="27">
        <v>0.79591836734693877</v>
      </c>
      <c r="AS117" s="26">
        <v>0</v>
      </c>
      <c r="AT117" s="26">
        <v>0</v>
      </c>
      <c r="AU117" s="24">
        <v>0.93489861259338314</v>
      </c>
      <c r="AV117" s="32">
        <v>9</v>
      </c>
      <c r="AW117" s="26">
        <v>0</v>
      </c>
      <c r="AX117" s="26">
        <v>0</v>
      </c>
      <c r="AY117" s="24">
        <v>0.70299459459459457</v>
      </c>
      <c r="AZ117" s="24">
        <v>0.74054054054054053</v>
      </c>
      <c r="BA117" s="31">
        <v>0.1</v>
      </c>
      <c r="BB117" s="33">
        <v>0.36</v>
      </c>
      <c r="BC117" s="21"/>
      <c r="BD117" s="26">
        <v>0.45999999999999996</v>
      </c>
      <c r="BE117" s="26">
        <v>0</v>
      </c>
      <c r="BF117" s="26" t="s">
        <v>729</v>
      </c>
      <c r="BG117" s="21"/>
      <c r="BH117" s="34">
        <v>0</v>
      </c>
      <c r="BI117" s="34">
        <v>0.05</v>
      </c>
      <c r="BJ117" s="34" t="s">
        <v>259</v>
      </c>
      <c r="BK117" s="34">
        <v>0.05</v>
      </c>
      <c r="BL117" s="21"/>
      <c r="BM117" s="35">
        <v>0.41</v>
      </c>
    </row>
    <row r="118" spans="1:65" x14ac:dyDescent="0.25">
      <c r="A118" s="4" t="s">
        <v>63</v>
      </c>
      <c r="B118" s="4">
        <v>72543</v>
      </c>
      <c r="C118" s="4" t="s">
        <v>178</v>
      </c>
      <c r="D118" s="19" t="s">
        <v>270</v>
      </c>
      <c r="E118" s="20">
        <v>48727</v>
      </c>
      <c r="F118" s="20" t="s">
        <v>496</v>
      </c>
      <c r="G118" s="20" t="s">
        <v>497</v>
      </c>
      <c r="H118" s="2">
        <v>45642</v>
      </c>
      <c r="I118" s="2" t="s">
        <v>263</v>
      </c>
      <c r="J118" s="2" t="s">
        <v>263</v>
      </c>
      <c r="K118" s="21">
        <v>13</v>
      </c>
      <c r="L118" s="21">
        <v>386100</v>
      </c>
      <c r="M118" s="21">
        <v>0</v>
      </c>
      <c r="N118" s="21">
        <v>655</v>
      </c>
      <c r="O118" s="21">
        <v>0</v>
      </c>
      <c r="P118" s="21">
        <v>344703</v>
      </c>
      <c r="Q118" s="22">
        <v>399.5206106870229</v>
      </c>
      <c r="R118" s="22">
        <v>300</v>
      </c>
      <c r="S118" s="23">
        <v>0</v>
      </c>
      <c r="T118" s="23">
        <v>0</v>
      </c>
      <c r="U118" s="24">
        <v>0.89278166278166282</v>
      </c>
      <c r="V118" s="25">
        <v>0.1</v>
      </c>
      <c r="W118" s="26">
        <v>0.1</v>
      </c>
      <c r="X118" s="27">
        <v>0</v>
      </c>
      <c r="Y118" s="25">
        <v>0</v>
      </c>
      <c r="Z118" s="24">
        <v>0.84615384615384615</v>
      </c>
      <c r="AA118" s="25">
        <v>0</v>
      </c>
      <c r="AB118" s="28">
        <v>0</v>
      </c>
      <c r="AC118" s="28">
        <v>0</v>
      </c>
      <c r="AD118" s="28">
        <v>1</v>
      </c>
      <c r="AE118" s="25">
        <v>0.04</v>
      </c>
      <c r="AF118" s="26">
        <v>0.04</v>
      </c>
      <c r="AG118" s="29" t="s">
        <v>729</v>
      </c>
      <c r="AH118" s="30">
        <v>0.92500000000000004</v>
      </c>
      <c r="AI118" s="26">
        <v>0.1</v>
      </c>
      <c r="AJ118" s="21">
        <v>0</v>
      </c>
      <c r="AK118" s="21">
        <v>0</v>
      </c>
      <c r="AL118" s="26">
        <v>0.1</v>
      </c>
      <c r="AM118" s="24">
        <v>0.68714285714285706</v>
      </c>
      <c r="AN118" s="24">
        <v>0.69387755102040816</v>
      </c>
      <c r="AO118" s="31">
        <v>0.08</v>
      </c>
      <c r="AP118" s="31">
        <v>0.03</v>
      </c>
      <c r="AQ118" s="24">
        <v>0.81711111111111101</v>
      </c>
      <c r="AR118" s="27">
        <v>0.81111111111111112</v>
      </c>
      <c r="AS118" s="26">
        <v>0</v>
      </c>
      <c r="AT118" s="26">
        <v>0</v>
      </c>
      <c r="AU118" s="24">
        <v>0.80526315789473679</v>
      </c>
      <c r="AV118" s="32">
        <v>19</v>
      </c>
      <c r="AW118" s="26">
        <v>0</v>
      </c>
      <c r="AX118" s="26">
        <v>0</v>
      </c>
      <c r="AY118" s="24">
        <v>0.70388297872340422</v>
      </c>
      <c r="AZ118" s="24">
        <v>0.67021276595744683</v>
      </c>
      <c r="BA118" s="31">
        <v>0</v>
      </c>
      <c r="BB118" s="33">
        <v>0.28000000000000003</v>
      </c>
      <c r="BC118" s="21"/>
      <c r="BD118" s="26">
        <v>0.42000000000000004</v>
      </c>
      <c r="BE118" s="26">
        <v>0.03</v>
      </c>
      <c r="BF118" s="26" t="s">
        <v>729</v>
      </c>
      <c r="BG118" s="21"/>
      <c r="BH118" s="34">
        <v>0</v>
      </c>
      <c r="BI118" s="34">
        <v>0.15</v>
      </c>
      <c r="BJ118" s="34" t="s">
        <v>259</v>
      </c>
      <c r="BK118" s="34">
        <v>0.15</v>
      </c>
      <c r="BL118" s="21"/>
      <c r="BM118" s="35">
        <v>0.30000000000000004</v>
      </c>
    </row>
    <row r="119" spans="1:65" x14ac:dyDescent="0.25">
      <c r="A119" s="4" t="s">
        <v>63</v>
      </c>
      <c r="B119" s="4">
        <v>71179</v>
      </c>
      <c r="C119" s="4" t="s">
        <v>179</v>
      </c>
      <c r="D119" s="19" t="s">
        <v>267</v>
      </c>
      <c r="E119" s="20">
        <v>57747</v>
      </c>
      <c r="F119" s="20" t="s">
        <v>498</v>
      </c>
      <c r="G119" s="20" t="s">
        <v>499</v>
      </c>
      <c r="H119" s="2">
        <v>44423</v>
      </c>
      <c r="I119" s="2" t="s">
        <v>263</v>
      </c>
      <c r="J119" s="2" t="s">
        <v>263</v>
      </c>
      <c r="K119" s="21">
        <v>19</v>
      </c>
      <c r="L119" s="21">
        <v>564300</v>
      </c>
      <c r="M119" s="21">
        <v>3600</v>
      </c>
      <c r="N119" s="21">
        <v>1156</v>
      </c>
      <c r="O119" s="21">
        <v>61</v>
      </c>
      <c r="P119" s="21">
        <v>485222</v>
      </c>
      <c r="Q119" s="22">
        <v>300.21199671322927</v>
      </c>
      <c r="R119" s="22">
        <v>305.76417419884962</v>
      </c>
      <c r="S119" s="23">
        <v>0.1</v>
      </c>
      <c r="T119" s="23">
        <v>0.05</v>
      </c>
      <c r="U119" s="24">
        <v>0.86538612448724805</v>
      </c>
      <c r="V119" s="25">
        <v>0.1</v>
      </c>
      <c r="W119" s="26">
        <v>0.2</v>
      </c>
      <c r="X119" s="27">
        <v>0.73684210526315785</v>
      </c>
      <c r="Y119" s="25">
        <v>0</v>
      </c>
      <c r="Z119" s="24">
        <v>0.94736842105263153</v>
      </c>
      <c r="AA119" s="25">
        <v>0</v>
      </c>
      <c r="AB119" s="28">
        <v>0</v>
      </c>
      <c r="AC119" s="28">
        <v>0</v>
      </c>
      <c r="AD119" s="28">
        <v>0</v>
      </c>
      <c r="AE119" s="25">
        <v>0.09</v>
      </c>
      <c r="AF119" s="26">
        <v>0.09</v>
      </c>
      <c r="AG119" s="29" t="s">
        <v>729</v>
      </c>
      <c r="AH119" s="30">
        <v>0.9</v>
      </c>
      <c r="AI119" s="26">
        <v>0.1</v>
      </c>
      <c r="AJ119" s="21">
        <v>0</v>
      </c>
      <c r="AK119" s="21">
        <v>0</v>
      </c>
      <c r="AL119" s="26">
        <v>0.1</v>
      </c>
      <c r="AM119" s="24">
        <v>0.684776119402985</v>
      </c>
      <c r="AN119" s="24">
        <v>0.70149253731343286</v>
      </c>
      <c r="AO119" s="31">
        <v>0.08</v>
      </c>
      <c r="AP119" s="31">
        <v>0.03</v>
      </c>
      <c r="AQ119" s="24">
        <v>0.81496124031007744</v>
      </c>
      <c r="AR119" s="27">
        <v>0.78294573643410847</v>
      </c>
      <c r="AS119" s="26">
        <v>7.4999999999999997E-2</v>
      </c>
      <c r="AT119" s="26">
        <v>0</v>
      </c>
      <c r="AU119" s="24">
        <v>0.97945205479452058</v>
      </c>
      <c r="AV119" s="32">
        <v>4</v>
      </c>
      <c r="AW119" s="26">
        <v>0</v>
      </c>
      <c r="AX119" s="26">
        <v>0</v>
      </c>
      <c r="AY119" s="24">
        <v>0.71968354430379744</v>
      </c>
      <c r="AZ119" s="24">
        <v>0.75858951175406875</v>
      </c>
      <c r="BA119" s="31">
        <v>0.1</v>
      </c>
      <c r="BB119" s="33">
        <v>0.45499999999999996</v>
      </c>
      <c r="BC119" s="21"/>
      <c r="BD119" s="26">
        <v>0.74499999999999988</v>
      </c>
      <c r="BE119" s="26">
        <v>0.08</v>
      </c>
      <c r="BF119" s="26" t="s">
        <v>729</v>
      </c>
      <c r="BG119" s="21"/>
      <c r="BH119" s="34">
        <v>0</v>
      </c>
      <c r="BI119" s="34">
        <v>0</v>
      </c>
      <c r="BJ119" s="34" t="s">
        <v>259</v>
      </c>
      <c r="BK119" s="34">
        <v>0</v>
      </c>
      <c r="BL119" s="21"/>
      <c r="BM119" s="35">
        <v>0.82499999999999984</v>
      </c>
    </row>
    <row r="120" spans="1:65" x14ac:dyDescent="0.25">
      <c r="A120" s="4" t="s">
        <v>63</v>
      </c>
      <c r="B120" s="4">
        <v>73599</v>
      </c>
      <c r="C120" s="4" t="s">
        <v>180</v>
      </c>
      <c r="D120" s="19" t="s">
        <v>282</v>
      </c>
      <c r="E120" s="20">
        <v>48961</v>
      </c>
      <c r="F120" s="20" t="s">
        <v>500</v>
      </c>
      <c r="G120" s="20" t="s">
        <v>501</v>
      </c>
      <c r="H120" s="2">
        <v>45672</v>
      </c>
      <c r="I120" s="2" t="s">
        <v>263</v>
      </c>
      <c r="J120" s="2" t="s">
        <v>263</v>
      </c>
      <c r="K120" s="21">
        <v>17</v>
      </c>
      <c r="L120" s="21">
        <v>504900</v>
      </c>
      <c r="M120" s="21">
        <v>0</v>
      </c>
      <c r="N120" s="21">
        <v>931</v>
      </c>
      <c r="O120" s="21">
        <v>0</v>
      </c>
      <c r="P120" s="21">
        <v>442852</v>
      </c>
      <c r="Q120" s="22">
        <v>382.68958109559611</v>
      </c>
      <c r="R120" s="22">
        <v>300</v>
      </c>
      <c r="S120" s="23">
        <v>0</v>
      </c>
      <c r="T120" s="23">
        <v>0</v>
      </c>
      <c r="U120" s="24">
        <v>0.87710833828480883</v>
      </c>
      <c r="V120" s="25">
        <v>0.1</v>
      </c>
      <c r="W120" s="26">
        <v>0.1</v>
      </c>
      <c r="X120" s="27">
        <v>0.82352941176470584</v>
      </c>
      <c r="Y120" s="25">
        <v>0</v>
      </c>
      <c r="Z120" s="24">
        <v>0.70588235294117652</v>
      </c>
      <c r="AA120" s="25">
        <v>0</v>
      </c>
      <c r="AB120" s="28">
        <v>0</v>
      </c>
      <c r="AC120" s="28">
        <v>0</v>
      </c>
      <c r="AD120" s="28">
        <v>0</v>
      </c>
      <c r="AE120" s="25">
        <v>0.09</v>
      </c>
      <c r="AF120" s="26">
        <v>0.09</v>
      </c>
      <c r="AG120" s="29" t="s">
        <v>729</v>
      </c>
      <c r="AH120" s="30">
        <v>0.95</v>
      </c>
      <c r="AI120" s="26">
        <v>0.1</v>
      </c>
      <c r="AJ120" s="21">
        <v>0</v>
      </c>
      <c r="AK120" s="21">
        <v>0</v>
      </c>
      <c r="AL120" s="26">
        <v>0.1</v>
      </c>
      <c r="AM120" s="24">
        <v>0.69</v>
      </c>
      <c r="AN120" s="24">
        <v>0.6</v>
      </c>
      <c r="AO120" s="31">
        <v>0</v>
      </c>
      <c r="AP120" s="31">
        <v>0</v>
      </c>
      <c r="AQ120" s="24">
        <v>0.81999999999999984</v>
      </c>
      <c r="AR120" s="27">
        <v>0.7640449438202247</v>
      </c>
      <c r="AS120" s="26">
        <v>0.02</v>
      </c>
      <c r="AT120" s="26">
        <v>0</v>
      </c>
      <c r="AU120" s="24">
        <v>0.95586380832282469</v>
      </c>
      <c r="AV120" s="32">
        <v>7</v>
      </c>
      <c r="AW120" s="26">
        <v>0</v>
      </c>
      <c r="AX120" s="26">
        <v>0</v>
      </c>
      <c r="AY120" s="24">
        <v>0.69666242038216564</v>
      </c>
      <c r="AZ120" s="24">
        <v>0.74267515923566874</v>
      </c>
      <c r="BA120" s="31">
        <v>0.1</v>
      </c>
      <c r="BB120" s="33">
        <v>0.32000000000000006</v>
      </c>
      <c r="BC120" s="21"/>
      <c r="BD120" s="26">
        <v>0.51</v>
      </c>
      <c r="BE120" s="26">
        <v>0</v>
      </c>
      <c r="BF120" s="26" t="s">
        <v>729</v>
      </c>
      <c r="BG120" s="21"/>
      <c r="BH120" s="34">
        <v>0</v>
      </c>
      <c r="BI120" s="34">
        <v>0.03</v>
      </c>
      <c r="BJ120" s="34" t="s">
        <v>259</v>
      </c>
      <c r="BK120" s="34">
        <v>0.03</v>
      </c>
      <c r="BL120" s="21"/>
      <c r="BM120" s="35">
        <v>0.48</v>
      </c>
    </row>
    <row r="121" spans="1:65" x14ac:dyDescent="0.25">
      <c r="A121" s="4" t="s">
        <v>63</v>
      </c>
      <c r="B121" s="4">
        <v>73699</v>
      </c>
      <c r="C121" s="4" t="s">
        <v>181</v>
      </c>
      <c r="D121" s="19" t="s">
        <v>282</v>
      </c>
      <c r="E121" s="20">
        <v>48749</v>
      </c>
      <c r="F121" s="20" t="s">
        <v>502</v>
      </c>
      <c r="G121" s="20" t="s">
        <v>503</v>
      </c>
      <c r="H121" s="2">
        <v>45672</v>
      </c>
      <c r="I121" s="2" t="s">
        <v>263</v>
      </c>
      <c r="J121" s="2" t="s">
        <v>263</v>
      </c>
      <c r="K121" s="21">
        <v>10</v>
      </c>
      <c r="L121" s="21">
        <v>300600</v>
      </c>
      <c r="M121" s="21">
        <v>3600</v>
      </c>
      <c r="N121" s="21">
        <v>328</v>
      </c>
      <c r="O121" s="21">
        <v>0</v>
      </c>
      <c r="P121" s="21">
        <v>178148</v>
      </c>
      <c r="Q121" s="22">
        <v>357.96036585365852</v>
      </c>
      <c r="R121" s="22">
        <v>300</v>
      </c>
      <c r="S121" s="23">
        <v>0</v>
      </c>
      <c r="T121" s="23">
        <v>0</v>
      </c>
      <c r="U121" s="24">
        <v>0.59982491582491582</v>
      </c>
      <c r="V121" s="25">
        <v>0</v>
      </c>
      <c r="W121" s="26">
        <v>0</v>
      </c>
      <c r="X121" s="27">
        <v>0</v>
      </c>
      <c r="Y121" s="25">
        <v>0</v>
      </c>
      <c r="Z121" s="24">
        <v>0.7</v>
      </c>
      <c r="AA121" s="25">
        <v>0</v>
      </c>
      <c r="AB121" s="28">
        <v>0</v>
      </c>
      <c r="AC121" s="28">
        <v>4</v>
      </c>
      <c r="AD121" s="28">
        <v>0</v>
      </c>
      <c r="AE121" s="25">
        <v>0</v>
      </c>
      <c r="AF121" s="26">
        <v>0</v>
      </c>
      <c r="AG121" s="29" t="s">
        <v>729</v>
      </c>
      <c r="AH121" s="30">
        <v>0.85</v>
      </c>
      <c r="AI121" s="26">
        <v>0.05</v>
      </c>
      <c r="AJ121" s="21">
        <v>0</v>
      </c>
      <c r="AK121" s="21">
        <v>0</v>
      </c>
      <c r="AL121" s="26">
        <v>0.1</v>
      </c>
      <c r="AM121" s="24">
        <v>0.69</v>
      </c>
      <c r="AN121" s="24">
        <v>0.61363636363636365</v>
      </c>
      <c r="AO121" s="31">
        <v>0</v>
      </c>
      <c r="AP121" s="31">
        <v>0</v>
      </c>
      <c r="AQ121" s="24">
        <v>0.82</v>
      </c>
      <c r="AR121" s="27">
        <v>0.72093023255813948</v>
      </c>
      <c r="AS121" s="26">
        <v>0</v>
      </c>
      <c r="AT121" s="26">
        <v>0</v>
      </c>
      <c r="AU121" s="24">
        <v>0.90458015267175573</v>
      </c>
      <c r="AV121" s="32">
        <v>5</v>
      </c>
      <c r="AW121" s="26">
        <v>0</v>
      </c>
      <c r="AX121" s="26">
        <v>0</v>
      </c>
      <c r="AY121" s="24">
        <v>0.68373584905660378</v>
      </c>
      <c r="AZ121" s="24">
        <v>0.61886792452830186</v>
      </c>
      <c r="BA121" s="31">
        <v>0</v>
      </c>
      <c r="BB121" s="33">
        <v>0.15000000000000002</v>
      </c>
      <c r="BC121" s="21"/>
      <c r="BD121" s="26">
        <v>0.15000000000000002</v>
      </c>
      <c r="BE121" s="26">
        <v>0</v>
      </c>
      <c r="BF121" s="26" t="s">
        <v>729</v>
      </c>
      <c r="BG121" s="21"/>
      <c r="BH121" s="34">
        <v>0.1</v>
      </c>
      <c r="BI121" s="34">
        <v>0.01</v>
      </c>
      <c r="BJ121" s="34" t="s">
        <v>259</v>
      </c>
      <c r="BK121" s="34">
        <v>0.11</v>
      </c>
      <c r="BL121" s="21"/>
      <c r="BM121" s="35">
        <v>4.0000000000000022E-2</v>
      </c>
    </row>
    <row r="122" spans="1:65" x14ac:dyDescent="0.25">
      <c r="A122" s="4" t="s">
        <v>63</v>
      </c>
      <c r="B122" s="4">
        <v>73766</v>
      </c>
      <c r="C122" s="4" t="s">
        <v>182</v>
      </c>
      <c r="D122" s="19" t="s">
        <v>282</v>
      </c>
      <c r="E122" s="20">
        <v>48768</v>
      </c>
      <c r="F122" s="20" t="s">
        <v>504</v>
      </c>
      <c r="G122" s="20" t="s">
        <v>505</v>
      </c>
      <c r="H122" s="2">
        <v>45660</v>
      </c>
      <c r="I122" s="2" t="s">
        <v>263</v>
      </c>
      <c r="J122" s="2" t="s">
        <v>263</v>
      </c>
      <c r="K122" s="21">
        <v>11</v>
      </c>
      <c r="L122" s="21">
        <v>326700</v>
      </c>
      <c r="M122" s="21">
        <v>2400</v>
      </c>
      <c r="N122" s="21">
        <v>157</v>
      </c>
      <c r="O122" s="21">
        <v>0</v>
      </c>
      <c r="P122" s="21">
        <v>193880</v>
      </c>
      <c r="Q122" s="22">
        <v>348.46496815286622</v>
      </c>
      <c r="R122" s="22">
        <v>300</v>
      </c>
      <c r="S122" s="48">
        <v>0.1</v>
      </c>
      <c r="T122" s="23">
        <v>0</v>
      </c>
      <c r="U122" s="24">
        <v>0.59784150477952513</v>
      </c>
      <c r="V122" s="25">
        <v>0</v>
      </c>
      <c r="W122" s="26">
        <v>0.1</v>
      </c>
      <c r="X122" s="27">
        <v>9.0909090909090912E-2</v>
      </c>
      <c r="Y122" s="25">
        <v>0</v>
      </c>
      <c r="Z122" s="24">
        <v>0.36363636363636365</v>
      </c>
      <c r="AA122" s="25">
        <v>0</v>
      </c>
      <c r="AB122" s="28">
        <v>0</v>
      </c>
      <c r="AC122" s="28">
        <v>1</v>
      </c>
      <c r="AD122" s="28">
        <v>0</v>
      </c>
      <c r="AE122" s="25">
        <v>0.04</v>
      </c>
      <c r="AF122" s="26">
        <v>0.04</v>
      </c>
      <c r="AG122" s="29">
        <v>0</v>
      </c>
      <c r="AH122" s="30">
        <v>1</v>
      </c>
      <c r="AI122" s="26">
        <v>0.1</v>
      </c>
      <c r="AJ122" s="21">
        <v>0</v>
      </c>
      <c r="AK122" s="21">
        <v>0</v>
      </c>
      <c r="AL122" s="26">
        <v>0.1</v>
      </c>
      <c r="AM122" s="24">
        <v>0.68674418604651155</v>
      </c>
      <c r="AN122" s="24">
        <v>0.65116279069767447</v>
      </c>
      <c r="AO122" s="31">
        <v>0.04</v>
      </c>
      <c r="AP122" s="31">
        <v>0</v>
      </c>
      <c r="AQ122" s="24">
        <v>0.81682926829268276</v>
      </c>
      <c r="AR122" s="27">
        <v>0.70731707317073167</v>
      </c>
      <c r="AS122" s="26">
        <v>0</v>
      </c>
      <c r="AT122" s="26">
        <v>0</v>
      </c>
      <c r="AU122" s="24">
        <v>0.96071428571428574</v>
      </c>
      <c r="AV122" s="32">
        <v>0</v>
      </c>
      <c r="AW122" s="26">
        <v>0.05</v>
      </c>
      <c r="AX122" s="26">
        <v>0.02</v>
      </c>
      <c r="AY122" s="24">
        <v>0.71617021276595749</v>
      </c>
      <c r="AZ122" s="24">
        <v>0.8014184397163121</v>
      </c>
      <c r="BA122" s="31">
        <v>0.1</v>
      </c>
      <c r="BB122" s="33">
        <v>0.39</v>
      </c>
      <c r="BC122" s="21"/>
      <c r="BD122" s="26">
        <v>0.53</v>
      </c>
      <c r="BE122" s="26">
        <v>0.02</v>
      </c>
      <c r="BF122" s="26">
        <v>0</v>
      </c>
      <c r="BG122" s="21"/>
      <c r="BH122" s="34">
        <v>0</v>
      </c>
      <c r="BI122" s="34">
        <v>0</v>
      </c>
      <c r="BJ122" s="34" t="s">
        <v>259</v>
      </c>
      <c r="BK122" s="34">
        <v>0</v>
      </c>
      <c r="BL122" s="21"/>
      <c r="BM122" s="35">
        <v>0.55000000000000004</v>
      </c>
    </row>
    <row r="123" spans="1:65" x14ac:dyDescent="0.25">
      <c r="A123" s="4" t="s">
        <v>63</v>
      </c>
      <c r="B123" s="4">
        <v>74030</v>
      </c>
      <c r="C123" s="4" t="s">
        <v>183</v>
      </c>
      <c r="D123" s="19" t="s">
        <v>273</v>
      </c>
      <c r="E123" s="20">
        <v>48675</v>
      </c>
      <c r="F123" s="20" t="s">
        <v>506</v>
      </c>
      <c r="G123" s="20" t="s">
        <v>507</v>
      </c>
      <c r="H123" s="2">
        <v>45660</v>
      </c>
      <c r="I123" s="2" t="s">
        <v>263</v>
      </c>
      <c r="J123" s="2" t="s">
        <v>263</v>
      </c>
      <c r="K123" s="21">
        <v>11</v>
      </c>
      <c r="L123" s="21">
        <v>326700</v>
      </c>
      <c r="M123" s="21">
        <v>7200</v>
      </c>
      <c r="N123" s="21">
        <v>167</v>
      </c>
      <c r="O123" s="21">
        <v>0</v>
      </c>
      <c r="P123" s="21">
        <v>180291</v>
      </c>
      <c r="Q123" s="22">
        <v>358.48502994011977</v>
      </c>
      <c r="R123" s="22">
        <v>300</v>
      </c>
      <c r="S123" s="48">
        <v>0.1</v>
      </c>
      <c r="T123" s="23">
        <v>0</v>
      </c>
      <c r="U123" s="24">
        <v>0.56429107981220661</v>
      </c>
      <c r="V123" s="25">
        <v>0</v>
      </c>
      <c r="W123" s="26">
        <v>0.1</v>
      </c>
      <c r="X123" s="27">
        <v>0.18181818181818182</v>
      </c>
      <c r="Y123" s="25">
        <v>0</v>
      </c>
      <c r="Z123" s="24">
        <v>0.81818181818181823</v>
      </c>
      <c r="AA123" s="25">
        <v>0</v>
      </c>
      <c r="AB123" s="28">
        <v>0</v>
      </c>
      <c r="AC123" s="28">
        <v>0</v>
      </c>
      <c r="AD123" s="28">
        <v>0</v>
      </c>
      <c r="AE123" s="25">
        <v>0.09</v>
      </c>
      <c r="AF123" s="26">
        <v>0.09</v>
      </c>
      <c r="AG123" s="29">
        <v>0</v>
      </c>
      <c r="AH123" s="30">
        <v>0.92500000000000004</v>
      </c>
      <c r="AI123" s="26">
        <v>0.1</v>
      </c>
      <c r="AJ123" s="21">
        <v>0</v>
      </c>
      <c r="AK123" s="21">
        <v>0</v>
      </c>
      <c r="AL123" s="26">
        <v>0.1</v>
      </c>
      <c r="AM123" s="24">
        <v>0.69</v>
      </c>
      <c r="AN123" s="24">
        <v>0.82608695652173914</v>
      </c>
      <c r="AO123" s="31">
        <v>0.08</v>
      </c>
      <c r="AP123" s="31">
        <v>0.03</v>
      </c>
      <c r="AQ123" s="24">
        <v>0.82</v>
      </c>
      <c r="AR123" s="27">
        <v>0.88095238095238093</v>
      </c>
      <c r="AS123" s="26">
        <v>0.2</v>
      </c>
      <c r="AT123" s="26">
        <v>0.1</v>
      </c>
      <c r="AU123" s="24">
        <v>0.99649122807017543</v>
      </c>
      <c r="AV123" s="32">
        <v>2</v>
      </c>
      <c r="AW123" s="26">
        <v>0.03</v>
      </c>
      <c r="AX123" s="26">
        <v>0</v>
      </c>
      <c r="AY123" s="24">
        <v>0.71079470198675498</v>
      </c>
      <c r="AZ123" s="24">
        <v>0.70860927152317876</v>
      </c>
      <c r="BA123" s="31">
        <v>0.05</v>
      </c>
      <c r="BB123" s="33">
        <v>0.56000000000000005</v>
      </c>
      <c r="BC123" s="21"/>
      <c r="BD123" s="26">
        <v>0.75</v>
      </c>
      <c r="BE123" s="26">
        <v>0.13</v>
      </c>
      <c r="BF123" s="26">
        <v>0</v>
      </c>
      <c r="BG123" s="21"/>
      <c r="BH123" s="34">
        <v>0</v>
      </c>
      <c r="BI123" s="34">
        <v>0</v>
      </c>
      <c r="BJ123" s="34" t="s">
        <v>259</v>
      </c>
      <c r="BK123" s="34">
        <v>0</v>
      </c>
      <c r="BL123" s="21"/>
      <c r="BM123" s="35">
        <v>0.88</v>
      </c>
    </row>
    <row r="124" spans="1:65" x14ac:dyDescent="0.25">
      <c r="A124" s="4" t="s">
        <v>63</v>
      </c>
      <c r="B124" s="4">
        <v>71667</v>
      </c>
      <c r="C124" s="4" t="s">
        <v>184</v>
      </c>
      <c r="D124" s="19" t="s">
        <v>273</v>
      </c>
      <c r="E124" s="20">
        <v>48807</v>
      </c>
      <c r="F124" s="20" t="s">
        <v>508</v>
      </c>
      <c r="G124" s="20" t="s">
        <v>509</v>
      </c>
      <c r="H124" s="2">
        <v>45672</v>
      </c>
      <c r="I124" s="2" t="s">
        <v>263</v>
      </c>
      <c r="J124" s="2" t="s">
        <v>263</v>
      </c>
      <c r="K124" s="21">
        <v>17</v>
      </c>
      <c r="L124" s="21">
        <v>504900</v>
      </c>
      <c r="M124" s="21">
        <v>7200</v>
      </c>
      <c r="N124" s="21">
        <v>794</v>
      </c>
      <c r="O124" s="21">
        <v>0</v>
      </c>
      <c r="P124" s="21">
        <v>376957</v>
      </c>
      <c r="Q124" s="22">
        <v>349.28085642317382</v>
      </c>
      <c r="R124" s="22">
        <v>300</v>
      </c>
      <c r="S124" s="23">
        <v>0</v>
      </c>
      <c r="T124" s="23">
        <v>0</v>
      </c>
      <c r="U124" s="24">
        <v>0.75739803094233471</v>
      </c>
      <c r="V124" s="25">
        <v>0</v>
      </c>
      <c r="W124" s="26">
        <v>0</v>
      </c>
      <c r="X124" s="27">
        <v>0</v>
      </c>
      <c r="Y124" s="25">
        <v>0</v>
      </c>
      <c r="Z124" s="24">
        <v>0.82352941176470584</v>
      </c>
      <c r="AA124" s="25">
        <v>0</v>
      </c>
      <c r="AB124" s="28">
        <v>0</v>
      </c>
      <c r="AC124" s="28">
        <v>0</v>
      </c>
      <c r="AD124" s="28">
        <v>0</v>
      </c>
      <c r="AE124" s="25">
        <v>0.09</v>
      </c>
      <c r="AF124" s="26">
        <v>0.09</v>
      </c>
      <c r="AG124" s="29" t="s">
        <v>729</v>
      </c>
      <c r="AH124" s="30">
        <v>0.97499999999999998</v>
      </c>
      <c r="AI124" s="26">
        <v>0.1</v>
      </c>
      <c r="AJ124" s="21">
        <v>0</v>
      </c>
      <c r="AK124" s="21">
        <v>0</v>
      </c>
      <c r="AL124" s="26">
        <v>0.1</v>
      </c>
      <c r="AM124" s="24">
        <v>0.68118110236220475</v>
      </c>
      <c r="AN124" s="24">
        <v>0.77165354330708658</v>
      </c>
      <c r="AO124" s="31">
        <v>0.08</v>
      </c>
      <c r="AP124" s="31">
        <v>0.03</v>
      </c>
      <c r="AQ124" s="24">
        <v>0.81228813559322033</v>
      </c>
      <c r="AR124" s="27">
        <v>0.82203389830508478</v>
      </c>
      <c r="AS124" s="26">
        <v>0.2</v>
      </c>
      <c r="AT124" s="26">
        <v>0</v>
      </c>
      <c r="AU124" s="24">
        <v>0.99431009957325744</v>
      </c>
      <c r="AV124" s="32">
        <v>6</v>
      </c>
      <c r="AW124" s="26">
        <v>0</v>
      </c>
      <c r="AX124" s="26">
        <v>0</v>
      </c>
      <c r="AY124" s="24">
        <v>0.69835948644793155</v>
      </c>
      <c r="AZ124" s="24">
        <v>0.73751783166904428</v>
      </c>
      <c r="BA124" s="31">
        <v>0.1</v>
      </c>
      <c r="BB124" s="33">
        <v>0.57999999999999996</v>
      </c>
      <c r="BC124" s="21"/>
      <c r="BD124" s="26">
        <v>0.66999999999999993</v>
      </c>
      <c r="BE124" s="26">
        <v>0.03</v>
      </c>
      <c r="BF124" s="26" t="s">
        <v>729</v>
      </c>
      <c r="BG124" s="21"/>
      <c r="BH124" s="34">
        <v>0</v>
      </c>
      <c r="BI124" s="34">
        <v>0.02</v>
      </c>
      <c r="BJ124" s="34" t="s">
        <v>259</v>
      </c>
      <c r="BK124" s="34">
        <v>0.02</v>
      </c>
      <c r="BL124" s="21"/>
      <c r="BM124" s="35">
        <v>0.67999999999999994</v>
      </c>
    </row>
    <row r="125" spans="1:65" x14ac:dyDescent="0.25">
      <c r="A125" s="4" t="s">
        <v>63</v>
      </c>
      <c r="B125" s="4">
        <v>73931</v>
      </c>
      <c r="C125" s="4" t="s">
        <v>185</v>
      </c>
      <c r="D125" s="19" t="s">
        <v>273</v>
      </c>
      <c r="E125" s="20">
        <v>48915</v>
      </c>
      <c r="F125" s="20" t="s">
        <v>510</v>
      </c>
      <c r="G125" s="20" t="s">
        <v>511</v>
      </c>
      <c r="H125" s="2">
        <v>45672</v>
      </c>
      <c r="I125" s="2" t="s">
        <v>263</v>
      </c>
      <c r="J125" s="2" t="s">
        <v>263</v>
      </c>
      <c r="K125" s="21">
        <v>11</v>
      </c>
      <c r="L125" s="21">
        <v>326700</v>
      </c>
      <c r="M125" s="21">
        <v>0</v>
      </c>
      <c r="N125" s="21">
        <v>528</v>
      </c>
      <c r="O125" s="21">
        <v>0</v>
      </c>
      <c r="P125" s="21">
        <v>278310</v>
      </c>
      <c r="Q125" s="22">
        <v>385.67992424242425</v>
      </c>
      <c r="R125" s="22">
        <v>300</v>
      </c>
      <c r="S125" s="23">
        <v>0</v>
      </c>
      <c r="T125" s="23">
        <v>0</v>
      </c>
      <c r="U125" s="24">
        <v>0.85188246097337006</v>
      </c>
      <c r="V125" s="25">
        <v>0.1</v>
      </c>
      <c r="W125" s="26">
        <v>0.1</v>
      </c>
      <c r="X125" s="27">
        <v>0.63636363636363635</v>
      </c>
      <c r="Y125" s="25">
        <v>0</v>
      </c>
      <c r="Z125" s="24">
        <v>0.54545454545454541</v>
      </c>
      <c r="AA125" s="25">
        <v>0</v>
      </c>
      <c r="AB125" s="28">
        <v>0</v>
      </c>
      <c r="AC125" s="28">
        <v>0</v>
      </c>
      <c r="AD125" s="28">
        <v>0</v>
      </c>
      <c r="AE125" s="25">
        <v>0.09</v>
      </c>
      <c r="AF125" s="26">
        <v>0.09</v>
      </c>
      <c r="AG125" s="29" t="s">
        <v>729</v>
      </c>
      <c r="AH125" s="30">
        <v>0.99</v>
      </c>
      <c r="AI125" s="26">
        <v>0.1</v>
      </c>
      <c r="AJ125" s="21">
        <v>0</v>
      </c>
      <c r="AK125" s="21">
        <v>0</v>
      </c>
      <c r="AL125" s="26">
        <v>0.1</v>
      </c>
      <c r="AM125" s="24">
        <v>0.69</v>
      </c>
      <c r="AN125" s="24">
        <v>0.5714285714285714</v>
      </c>
      <c r="AO125" s="31">
        <v>0</v>
      </c>
      <c r="AP125" s="31">
        <v>0</v>
      </c>
      <c r="AQ125" s="24">
        <v>0.82</v>
      </c>
      <c r="AR125" s="27">
        <v>0.69565217391304346</v>
      </c>
      <c r="AS125" s="26">
        <v>0</v>
      </c>
      <c r="AT125" s="26">
        <v>0</v>
      </c>
      <c r="AU125" s="24">
        <v>0.95679012345679015</v>
      </c>
      <c r="AV125" s="32">
        <v>4</v>
      </c>
      <c r="AW125" s="26">
        <v>0</v>
      </c>
      <c r="AX125" s="26">
        <v>0</v>
      </c>
      <c r="AY125" s="24">
        <v>0.695904365904366</v>
      </c>
      <c r="AZ125" s="24">
        <v>0.71309771309771308</v>
      </c>
      <c r="BA125" s="31">
        <v>0.1</v>
      </c>
      <c r="BB125" s="33">
        <v>0.30000000000000004</v>
      </c>
      <c r="BC125" s="21"/>
      <c r="BD125" s="26">
        <v>0.49</v>
      </c>
      <c r="BE125" s="26">
        <v>0</v>
      </c>
      <c r="BF125" s="26" t="s">
        <v>729</v>
      </c>
      <c r="BG125" s="21"/>
      <c r="BH125" s="34">
        <v>0</v>
      </c>
      <c r="BI125" s="34">
        <v>0</v>
      </c>
      <c r="BJ125" s="34" t="s">
        <v>259</v>
      </c>
      <c r="BK125" s="34">
        <v>0</v>
      </c>
      <c r="BL125" s="21"/>
      <c r="BM125" s="35">
        <v>0.49</v>
      </c>
    </row>
    <row r="126" spans="1:65" x14ac:dyDescent="0.25">
      <c r="A126" s="4" t="s">
        <v>63</v>
      </c>
      <c r="B126" s="4">
        <v>72647</v>
      </c>
      <c r="C126" s="4" t="s">
        <v>186</v>
      </c>
      <c r="D126" s="19" t="s">
        <v>273</v>
      </c>
      <c r="E126" s="20">
        <v>48677</v>
      </c>
      <c r="F126" s="20" t="s">
        <v>512</v>
      </c>
      <c r="G126" s="20" t="s">
        <v>513</v>
      </c>
      <c r="H126" s="2">
        <v>45660</v>
      </c>
      <c r="I126" s="2" t="s">
        <v>263</v>
      </c>
      <c r="J126" s="2" t="s">
        <v>263</v>
      </c>
      <c r="K126" s="21">
        <v>19</v>
      </c>
      <c r="L126" s="21">
        <v>564300</v>
      </c>
      <c r="M126" s="21">
        <v>0</v>
      </c>
      <c r="N126" s="21">
        <v>984</v>
      </c>
      <c r="O126" s="21">
        <v>0</v>
      </c>
      <c r="P126" s="21">
        <v>482969</v>
      </c>
      <c r="Q126" s="22">
        <v>391.58028455284551</v>
      </c>
      <c r="R126" s="22">
        <v>300</v>
      </c>
      <c r="S126" s="23">
        <v>0</v>
      </c>
      <c r="T126" s="23">
        <v>0</v>
      </c>
      <c r="U126" s="24">
        <v>0.85587276271486801</v>
      </c>
      <c r="V126" s="25">
        <v>0.1</v>
      </c>
      <c r="W126" s="26">
        <v>0.1</v>
      </c>
      <c r="X126" s="27">
        <v>0.21052631578947367</v>
      </c>
      <c r="Y126" s="25">
        <v>0</v>
      </c>
      <c r="Z126" s="24">
        <v>0.42105263157894735</v>
      </c>
      <c r="AA126" s="25">
        <v>0</v>
      </c>
      <c r="AB126" s="28">
        <v>0</v>
      </c>
      <c r="AC126" s="28">
        <v>0</v>
      </c>
      <c r="AD126" s="28">
        <v>0</v>
      </c>
      <c r="AE126" s="25">
        <v>0.09</v>
      </c>
      <c r="AF126" s="26">
        <v>0.09</v>
      </c>
      <c r="AG126" s="29" t="s">
        <v>729</v>
      </c>
      <c r="AH126" s="30">
        <v>0.90500000000000003</v>
      </c>
      <c r="AI126" s="26">
        <v>0.1</v>
      </c>
      <c r="AJ126" s="21">
        <v>1</v>
      </c>
      <c r="AK126" s="21">
        <v>0</v>
      </c>
      <c r="AL126" s="26">
        <v>0</v>
      </c>
      <c r="AM126" s="24">
        <v>0.68305785123966933</v>
      </c>
      <c r="AN126" s="24">
        <v>0.57024793388429751</v>
      </c>
      <c r="AO126" s="31">
        <v>0</v>
      </c>
      <c r="AP126" s="31">
        <v>0</v>
      </c>
      <c r="AQ126" s="24">
        <v>0.81414414414414416</v>
      </c>
      <c r="AR126" s="27">
        <v>0.68468468468468469</v>
      </c>
      <c r="AS126" s="26">
        <v>0</v>
      </c>
      <c r="AT126" s="26">
        <v>0</v>
      </c>
      <c r="AU126" s="24">
        <v>0.79224030037546933</v>
      </c>
      <c r="AV126" s="32">
        <v>12</v>
      </c>
      <c r="AW126" s="26">
        <v>0</v>
      </c>
      <c r="AX126" s="26">
        <v>0</v>
      </c>
      <c r="AY126" s="24">
        <v>0.70076030927835042</v>
      </c>
      <c r="AZ126" s="24">
        <v>0.68041237113402064</v>
      </c>
      <c r="BA126" s="31">
        <v>0</v>
      </c>
      <c r="BB126" s="33">
        <v>0.1</v>
      </c>
      <c r="BC126" s="21"/>
      <c r="BD126" s="26">
        <v>0.29000000000000004</v>
      </c>
      <c r="BE126" s="26">
        <v>0</v>
      </c>
      <c r="BF126" s="26" t="s">
        <v>729</v>
      </c>
      <c r="BG126" s="21"/>
      <c r="BH126" s="34">
        <v>0</v>
      </c>
      <c r="BI126" s="34">
        <v>0.08</v>
      </c>
      <c r="BJ126" s="34">
        <v>0</v>
      </c>
      <c r="BK126" s="34">
        <v>0.08</v>
      </c>
      <c r="BL126" s="21"/>
      <c r="BM126" s="35">
        <v>0.21000000000000002</v>
      </c>
    </row>
    <row r="127" spans="1:65" x14ac:dyDescent="0.25">
      <c r="A127" s="4" t="s">
        <v>63</v>
      </c>
      <c r="B127" s="4">
        <v>73383</v>
      </c>
      <c r="C127" s="4" t="s">
        <v>187</v>
      </c>
      <c r="D127" s="19" t="s">
        <v>314</v>
      </c>
      <c r="E127" s="20">
        <v>49021</v>
      </c>
      <c r="F127" s="20" t="s">
        <v>514</v>
      </c>
      <c r="G127" s="20" t="s">
        <v>515</v>
      </c>
      <c r="H127" s="2">
        <v>45672</v>
      </c>
      <c r="I127" s="2" t="s">
        <v>263</v>
      </c>
      <c r="J127" s="2" t="s">
        <v>263</v>
      </c>
      <c r="K127" s="21">
        <v>15</v>
      </c>
      <c r="L127" s="21">
        <v>445500</v>
      </c>
      <c r="M127" s="21">
        <v>0</v>
      </c>
      <c r="N127" s="21">
        <v>814</v>
      </c>
      <c r="O127" s="21">
        <v>0</v>
      </c>
      <c r="P127" s="21">
        <v>374709</v>
      </c>
      <c r="Q127" s="22">
        <v>317.24324324324323</v>
      </c>
      <c r="R127" s="22">
        <v>300</v>
      </c>
      <c r="S127" s="23">
        <v>0</v>
      </c>
      <c r="T127" s="23">
        <v>0</v>
      </c>
      <c r="U127" s="24">
        <v>0.84109764309764312</v>
      </c>
      <c r="V127" s="25">
        <v>0.1</v>
      </c>
      <c r="W127" s="26">
        <v>0.1</v>
      </c>
      <c r="X127" s="27">
        <v>0</v>
      </c>
      <c r="Y127" s="25">
        <v>0</v>
      </c>
      <c r="Z127" s="24">
        <v>0.73333333333333328</v>
      </c>
      <c r="AA127" s="25">
        <v>0</v>
      </c>
      <c r="AB127" s="28">
        <v>0</v>
      </c>
      <c r="AC127" s="28">
        <v>2</v>
      </c>
      <c r="AD127" s="28">
        <v>0</v>
      </c>
      <c r="AE127" s="25">
        <v>0</v>
      </c>
      <c r="AF127" s="26">
        <v>0</v>
      </c>
      <c r="AG127" s="29" t="s">
        <v>729</v>
      </c>
      <c r="AH127" s="30">
        <v>0.42499999999999999</v>
      </c>
      <c r="AI127" s="26">
        <v>0</v>
      </c>
      <c r="AJ127" s="21">
        <v>0</v>
      </c>
      <c r="AK127" s="21">
        <v>0</v>
      </c>
      <c r="AL127" s="26">
        <v>0.1</v>
      </c>
      <c r="AM127" s="24">
        <v>0.69</v>
      </c>
      <c r="AN127" s="24">
        <v>0.58750000000000002</v>
      </c>
      <c r="AO127" s="31">
        <v>0</v>
      </c>
      <c r="AP127" s="31">
        <v>0</v>
      </c>
      <c r="AQ127" s="24">
        <v>0.82</v>
      </c>
      <c r="AR127" s="27">
        <v>0.69444444444444442</v>
      </c>
      <c r="AS127" s="26">
        <v>0</v>
      </c>
      <c r="AT127" s="26">
        <v>0</v>
      </c>
      <c r="AU127" s="24">
        <v>0.97248968363136179</v>
      </c>
      <c r="AV127" s="32">
        <v>8</v>
      </c>
      <c r="AW127" s="26">
        <v>0</v>
      </c>
      <c r="AX127" s="26">
        <v>0</v>
      </c>
      <c r="AY127" s="24">
        <v>0.7074895397489539</v>
      </c>
      <c r="AZ127" s="24">
        <v>0.70711297071129708</v>
      </c>
      <c r="BA127" s="31">
        <v>0.05</v>
      </c>
      <c r="BB127" s="33">
        <v>0.15000000000000002</v>
      </c>
      <c r="BC127" s="21"/>
      <c r="BD127" s="26">
        <v>0.25</v>
      </c>
      <c r="BE127" s="26">
        <v>0</v>
      </c>
      <c r="BF127" s="26" t="s">
        <v>729</v>
      </c>
      <c r="BG127" s="21"/>
      <c r="BH127" s="34">
        <v>0</v>
      </c>
      <c r="BI127" s="34">
        <v>0.04</v>
      </c>
      <c r="BJ127" s="34" t="s">
        <v>259</v>
      </c>
      <c r="BK127" s="34">
        <v>0.04</v>
      </c>
      <c r="BL127" s="21"/>
      <c r="BM127" s="35">
        <v>0.21</v>
      </c>
    </row>
    <row r="128" spans="1:65" x14ac:dyDescent="0.25">
      <c r="A128" s="4" t="s">
        <v>63</v>
      </c>
      <c r="B128" s="4">
        <v>72846</v>
      </c>
      <c r="C128" s="4" t="s">
        <v>188</v>
      </c>
      <c r="D128" s="19" t="s">
        <v>264</v>
      </c>
      <c r="E128" s="20">
        <v>48959</v>
      </c>
      <c r="F128" s="20" t="s">
        <v>516</v>
      </c>
      <c r="G128" s="20" t="s">
        <v>517</v>
      </c>
      <c r="H128" s="2">
        <v>45672</v>
      </c>
      <c r="I128" s="2" t="s">
        <v>253</v>
      </c>
      <c r="J128" s="2" t="s">
        <v>253</v>
      </c>
      <c r="K128" s="21">
        <v>4</v>
      </c>
      <c r="L128" s="21">
        <v>118800</v>
      </c>
      <c r="M128" s="21">
        <v>0</v>
      </c>
      <c r="N128" s="21">
        <v>235</v>
      </c>
      <c r="O128" s="21">
        <v>0</v>
      </c>
      <c r="P128" s="21">
        <v>105748</v>
      </c>
      <c r="Q128" s="22">
        <v>229.41702127659573</v>
      </c>
      <c r="R128" s="22">
        <v>300</v>
      </c>
      <c r="S128" s="23">
        <v>0.1</v>
      </c>
      <c r="T128" s="23">
        <v>0.05</v>
      </c>
      <c r="U128" s="24">
        <v>0.89013468013468011</v>
      </c>
      <c r="V128" s="25">
        <v>0.1</v>
      </c>
      <c r="W128" s="26">
        <v>0.2</v>
      </c>
      <c r="X128" s="27">
        <v>1</v>
      </c>
      <c r="Y128" s="25">
        <v>0.04</v>
      </c>
      <c r="Z128" s="24">
        <v>1</v>
      </c>
      <c r="AA128" s="25">
        <v>0.04</v>
      </c>
      <c r="AB128" s="28">
        <v>0</v>
      </c>
      <c r="AC128" s="28">
        <v>0</v>
      </c>
      <c r="AD128" s="28">
        <v>0</v>
      </c>
      <c r="AE128" s="25">
        <v>0.09</v>
      </c>
      <c r="AF128" s="26">
        <v>0.17</v>
      </c>
      <c r="AG128" s="29" t="s">
        <v>729</v>
      </c>
      <c r="AH128" s="30">
        <v>1</v>
      </c>
      <c r="AI128" s="26">
        <v>0.1</v>
      </c>
      <c r="AJ128" s="21">
        <v>0</v>
      </c>
      <c r="AK128" s="21">
        <v>0</v>
      </c>
      <c r="AL128" s="26">
        <v>0.1</v>
      </c>
      <c r="AM128" s="24">
        <v>0.69</v>
      </c>
      <c r="AN128" s="24">
        <v>0.65</v>
      </c>
      <c r="AO128" s="31">
        <v>0.04</v>
      </c>
      <c r="AP128" s="31">
        <v>0</v>
      </c>
      <c r="AQ128" s="24">
        <v>0.82</v>
      </c>
      <c r="AR128" s="27">
        <v>0.84210526315789469</v>
      </c>
      <c r="AS128" s="26">
        <v>0.2</v>
      </c>
      <c r="AT128" s="26">
        <v>0.04</v>
      </c>
      <c r="AU128" s="24">
        <v>0.97368421052631582</v>
      </c>
      <c r="AV128" s="32">
        <v>3</v>
      </c>
      <c r="AW128" s="26">
        <v>0.01</v>
      </c>
      <c r="AX128" s="26">
        <v>0</v>
      </c>
      <c r="AY128" s="24">
        <v>0.70242105263157895</v>
      </c>
      <c r="AZ128" s="24">
        <v>0.73157894736842111</v>
      </c>
      <c r="BA128" s="31">
        <v>0.1</v>
      </c>
      <c r="BB128" s="33">
        <v>0.55000000000000004</v>
      </c>
      <c r="BC128" s="21"/>
      <c r="BD128" s="26">
        <v>0.92000000000000015</v>
      </c>
      <c r="BE128" s="26">
        <v>0.09</v>
      </c>
      <c r="BF128" s="26" t="s">
        <v>729</v>
      </c>
      <c r="BG128" s="21"/>
      <c r="BH128" s="34">
        <v>0</v>
      </c>
      <c r="BI128" s="34">
        <v>0</v>
      </c>
      <c r="BJ128" s="34" t="s">
        <v>259</v>
      </c>
      <c r="BK128" s="34">
        <v>0</v>
      </c>
      <c r="BL128" s="21"/>
      <c r="BM128" s="35">
        <v>1.0100000000000002</v>
      </c>
    </row>
    <row r="129" spans="1:65" x14ac:dyDescent="0.25">
      <c r="A129" s="4" t="s">
        <v>63</v>
      </c>
      <c r="B129" s="4">
        <v>73270</v>
      </c>
      <c r="C129" s="4" t="s">
        <v>189</v>
      </c>
      <c r="D129" s="19" t="s">
        <v>267</v>
      </c>
      <c r="E129" s="20">
        <v>48977</v>
      </c>
      <c r="F129" s="20" t="s">
        <v>518</v>
      </c>
      <c r="G129" s="20" t="s">
        <v>519</v>
      </c>
      <c r="H129" s="2">
        <v>45672</v>
      </c>
      <c r="I129" s="2" t="s">
        <v>263</v>
      </c>
      <c r="J129" s="2" t="s">
        <v>263</v>
      </c>
      <c r="K129" s="21">
        <v>14</v>
      </c>
      <c r="L129" s="21">
        <v>423000</v>
      </c>
      <c r="M129" s="21">
        <v>10500</v>
      </c>
      <c r="N129" s="21">
        <v>661</v>
      </c>
      <c r="O129" s="21">
        <v>0</v>
      </c>
      <c r="P129" s="21">
        <v>363957</v>
      </c>
      <c r="Q129" s="22">
        <v>433.7624810892587</v>
      </c>
      <c r="R129" s="22">
        <v>300</v>
      </c>
      <c r="S129" s="23">
        <v>0</v>
      </c>
      <c r="T129" s="23">
        <v>0</v>
      </c>
      <c r="U129" s="24">
        <v>0.88231999999999999</v>
      </c>
      <c r="V129" s="25">
        <v>0.1</v>
      </c>
      <c r="W129" s="26">
        <v>0.1</v>
      </c>
      <c r="X129" s="27">
        <v>0.21428571428571427</v>
      </c>
      <c r="Y129" s="25">
        <v>0</v>
      </c>
      <c r="Z129" s="24">
        <v>0.7857142857142857</v>
      </c>
      <c r="AA129" s="25">
        <v>0</v>
      </c>
      <c r="AB129" s="28">
        <v>0</v>
      </c>
      <c r="AC129" s="28">
        <v>0</v>
      </c>
      <c r="AD129" s="28">
        <v>0</v>
      </c>
      <c r="AE129" s="25">
        <v>0.09</v>
      </c>
      <c r="AF129" s="26">
        <v>0.09</v>
      </c>
      <c r="AG129" s="29" t="s">
        <v>729</v>
      </c>
      <c r="AH129" s="30">
        <v>1</v>
      </c>
      <c r="AI129" s="26">
        <v>0.1</v>
      </c>
      <c r="AJ129" s="21">
        <v>0</v>
      </c>
      <c r="AK129" s="21">
        <v>0</v>
      </c>
      <c r="AL129" s="26">
        <v>0.1</v>
      </c>
      <c r="AM129" s="24">
        <v>0.681025641025641</v>
      </c>
      <c r="AN129" s="24">
        <v>0.70512820512820518</v>
      </c>
      <c r="AO129" s="31">
        <v>0.08</v>
      </c>
      <c r="AP129" s="31">
        <v>0.03</v>
      </c>
      <c r="AQ129" s="24">
        <v>0.81097222222222221</v>
      </c>
      <c r="AR129" s="27">
        <v>0.79166666666666663</v>
      </c>
      <c r="AS129" s="26">
        <v>0.125</v>
      </c>
      <c r="AT129" s="26">
        <v>0</v>
      </c>
      <c r="AU129" s="24">
        <v>0.96020761245674735</v>
      </c>
      <c r="AV129" s="32">
        <v>3</v>
      </c>
      <c r="AW129" s="26">
        <v>0.01</v>
      </c>
      <c r="AX129" s="26">
        <v>0</v>
      </c>
      <c r="AY129" s="24">
        <v>0.69814685314685321</v>
      </c>
      <c r="AZ129" s="24">
        <v>0.68181818181818177</v>
      </c>
      <c r="BA129" s="31">
        <v>0.05</v>
      </c>
      <c r="BB129" s="33">
        <v>0.46500000000000002</v>
      </c>
      <c r="BC129" s="21"/>
      <c r="BD129" s="26">
        <v>0.65500000000000003</v>
      </c>
      <c r="BE129" s="26">
        <v>0.03</v>
      </c>
      <c r="BF129" s="26" t="s">
        <v>729</v>
      </c>
      <c r="BG129" s="21"/>
      <c r="BH129" s="34">
        <v>0</v>
      </c>
      <c r="BI129" s="34">
        <v>0</v>
      </c>
      <c r="BJ129" s="34" t="s">
        <v>259</v>
      </c>
      <c r="BK129" s="34">
        <v>0</v>
      </c>
      <c r="BL129" s="21"/>
      <c r="BM129" s="35">
        <v>0.68500000000000005</v>
      </c>
    </row>
    <row r="130" spans="1:65" x14ac:dyDescent="0.25">
      <c r="A130" s="4" t="s">
        <v>63</v>
      </c>
      <c r="B130" s="4">
        <v>73100</v>
      </c>
      <c r="C130" s="4" t="s">
        <v>190</v>
      </c>
      <c r="D130" s="19" t="s">
        <v>267</v>
      </c>
      <c r="E130" s="20">
        <v>49004</v>
      </c>
      <c r="F130" s="20" t="s">
        <v>520</v>
      </c>
      <c r="G130" s="20" t="s">
        <v>521</v>
      </c>
      <c r="H130" s="2">
        <v>45672</v>
      </c>
      <c r="I130" s="2" t="s">
        <v>263</v>
      </c>
      <c r="J130" s="2" t="s">
        <v>263</v>
      </c>
      <c r="K130" s="21">
        <v>17</v>
      </c>
      <c r="L130" s="21">
        <v>504900</v>
      </c>
      <c r="M130" s="21">
        <v>2040</v>
      </c>
      <c r="N130" s="21">
        <v>941</v>
      </c>
      <c r="O130" s="21">
        <v>0</v>
      </c>
      <c r="P130" s="21">
        <v>419626</v>
      </c>
      <c r="Q130" s="22">
        <v>338.63124335812967</v>
      </c>
      <c r="R130" s="22">
        <v>300</v>
      </c>
      <c r="S130" s="23">
        <v>0</v>
      </c>
      <c r="T130" s="23">
        <v>0</v>
      </c>
      <c r="U130" s="24">
        <v>0.83447878137056042</v>
      </c>
      <c r="V130" s="25">
        <v>0.1</v>
      </c>
      <c r="W130" s="26">
        <v>0.1</v>
      </c>
      <c r="X130" s="27">
        <v>0.41176470588235292</v>
      </c>
      <c r="Y130" s="25">
        <v>0</v>
      </c>
      <c r="Z130" s="24">
        <v>0.58823529411764708</v>
      </c>
      <c r="AA130" s="25">
        <v>0</v>
      </c>
      <c r="AB130" s="28">
        <v>0</v>
      </c>
      <c r="AC130" s="28">
        <v>0</v>
      </c>
      <c r="AD130" s="28">
        <v>0</v>
      </c>
      <c r="AE130" s="25">
        <v>0.09</v>
      </c>
      <c r="AF130" s="26">
        <v>0.09</v>
      </c>
      <c r="AG130" s="29" t="s">
        <v>729</v>
      </c>
      <c r="AH130" s="30">
        <v>1</v>
      </c>
      <c r="AI130" s="26">
        <v>0.1</v>
      </c>
      <c r="AJ130" s="21">
        <v>0</v>
      </c>
      <c r="AK130" s="21">
        <v>0</v>
      </c>
      <c r="AL130" s="26">
        <v>0.1</v>
      </c>
      <c r="AM130" s="24">
        <v>0.68207547169811322</v>
      </c>
      <c r="AN130" s="24">
        <v>0.76415094339622647</v>
      </c>
      <c r="AO130" s="31">
        <v>0.08</v>
      </c>
      <c r="AP130" s="31">
        <v>0.03</v>
      </c>
      <c r="AQ130" s="24">
        <v>0.81227722772277222</v>
      </c>
      <c r="AR130" s="27">
        <v>0.84158415841584155</v>
      </c>
      <c r="AS130" s="26">
        <v>0.2</v>
      </c>
      <c r="AT130" s="26">
        <v>0.04</v>
      </c>
      <c r="AU130" s="24">
        <v>0.97864321608040206</v>
      </c>
      <c r="AV130" s="32">
        <v>3</v>
      </c>
      <c r="AW130" s="26">
        <v>0.01</v>
      </c>
      <c r="AX130" s="26">
        <v>0</v>
      </c>
      <c r="AY130" s="24">
        <v>0.69815989847715731</v>
      </c>
      <c r="AZ130" s="24">
        <v>0.72969543147208127</v>
      </c>
      <c r="BA130" s="31">
        <v>0.1</v>
      </c>
      <c r="BB130" s="33">
        <v>0.59</v>
      </c>
      <c r="BC130" s="21"/>
      <c r="BD130" s="26">
        <v>0.77999999999999992</v>
      </c>
      <c r="BE130" s="26">
        <v>7.0000000000000007E-2</v>
      </c>
      <c r="BF130" s="26" t="s">
        <v>729</v>
      </c>
      <c r="BG130" s="21"/>
      <c r="BH130" s="34">
        <v>0</v>
      </c>
      <c r="BI130" s="34">
        <v>0</v>
      </c>
      <c r="BJ130" s="34" t="s">
        <v>259</v>
      </c>
      <c r="BK130" s="34">
        <v>0</v>
      </c>
      <c r="BL130" s="21"/>
      <c r="BM130" s="35">
        <v>0.84999999999999987</v>
      </c>
    </row>
    <row r="131" spans="1:65" x14ac:dyDescent="0.25">
      <c r="A131" s="4" t="s">
        <v>63</v>
      </c>
      <c r="B131" s="4">
        <v>72482</v>
      </c>
      <c r="C131" s="4" t="s">
        <v>191</v>
      </c>
      <c r="D131" s="19" t="s">
        <v>270</v>
      </c>
      <c r="E131" s="20">
        <v>48978</v>
      </c>
      <c r="F131" s="20" t="s">
        <v>522</v>
      </c>
      <c r="G131" s="20" t="s">
        <v>523</v>
      </c>
      <c r="H131" s="2">
        <v>45672</v>
      </c>
      <c r="I131" s="2" t="s">
        <v>263</v>
      </c>
      <c r="J131" s="2" t="s">
        <v>263</v>
      </c>
      <c r="K131" s="21">
        <v>17</v>
      </c>
      <c r="L131" s="21">
        <v>512100</v>
      </c>
      <c r="M131" s="21">
        <v>7200</v>
      </c>
      <c r="N131" s="21">
        <v>851</v>
      </c>
      <c r="O131" s="21">
        <v>0</v>
      </c>
      <c r="P131" s="21">
        <v>341526</v>
      </c>
      <c r="Q131" s="22">
        <v>333.03407755581668</v>
      </c>
      <c r="R131" s="22">
        <v>300</v>
      </c>
      <c r="S131" s="48">
        <v>0.1</v>
      </c>
      <c r="T131" s="23">
        <v>0</v>
      </c>
      <c r="U131" s="24">
        <v>0.67642305407011294</v>
      </c>
      <c r="V131" s="25">
        <v>0</v>
      </c>
      <c r="W131" s="26">
        <v>0.1</v>
      </c>
      <c r="X131" s="27">
        <v>0.17647058823529413</v>
      </c>
      <c r="Y131" s="25">
        <v>0</v>
      </c>
      <c r="Z131" s="24">
        <v>0.70588235294117652</v>
      </c>
      <c r="AA131" s="25">
        <v>0</v>
      </c>
      <c r="AB131" s="28">
        <v>0</v>
      </c>
      <c r="AC131" s="28">
        <v>2</v>
      </c>
      <c r="AD131" s="28">
        <v>0</v>
      </c>
      <c r="AE131" s="25">
        <v>0</v>
      </c>
      <c r="AF131" s="26">
        <v>0</v>
      </c>
      <c r="AG131" s="29">
        <v>0</v>
      </c>
      <c r="AH131" s="30">
        <v>0.95500000000000007</v>
      </c>
      <c r="AI131" s="26">
        <v>0.1</v>
      </c>
      <c r="AJ131" s="21">
        <v>0</v>
      </c>
      <c r="AK131" s="21">
        <v>0</v>
      </c>
      <c r="AL131" s="26">
        <v>0.1</v>
      </c>
      <c r="AM131" s="24">
        <v>0.68299999999999994</v>
      </c>
      <c r="AN131" s="24">
        <v>0.74</v>
      </c>
      <c r="AO131" s="31">
        <v>0.08</v>
      </c>
      <c r="AP131" s="31">
        <v>0.03</v>
      </c>
      <c r="AQ131" s="24">
        <v>0.81269662921348318</v>
      </c>
      <c r="AR131" s="27">
        <v>0.8089887640449438</v>
      </c>
      <c r="AS131" s="26">
        <v>0.125</v>
      </c>
      <c r="AT131" s="26">
        <v>0</v>
      </c>
      <c r="AU131" s="24">
        <v>0.94505494505494503</v>
      </c>
      <c r="AV131" s="32">
        <v>9</v>
      </c>
      <c r="AW131" s="26">
        <v>0</v>
      </c>
      <c r="AX131" s="26">
        <v>0</v>
      </c>
      <c r="AY131" s="24">
        <v>0.69539310344827587</v>
      </c>
      <c r="AZ131" s="24">
        <v>0.72137931034482761</v>
      </c>
      <c r="BA131" s="31">
        <v>0.1</v>
      </c>
      <c r="BB131" s="33">
        <v>0.505</v>
      </c>
      <c r="BC131" s="21"/>
      <c r="BD131" s="26">
        <v>0.60499999999999998</v>
      </c>
      <c r="BE131" s="26">
        <v>0.03</v>
      </c>
      <c r="BF131" s="26">
        <v>0</v>
      </c>
      <c r="BG131" s="21"/>
      <c r="BH131" s="34">
        <v>0</v>
      </c>
      <c r="BI131" s="34">
        <v>0.05</v>
      </c>
      <c r="BJ131" s="34" t="s">
        <v>259</v>
      </c>
      <c r="BK131" s="34">
        <v>0.05</v>
      </c>
      <c r="BL131" s="21"/>
      <c r="BM131" s="35">
        <v>0.58499999999999996</v>
      </c>
    </row>
    <row r="132" spans="1:65" x14ac:dyDescent="0.25">
      <c r="A132" s="4" t="s">
        <v>63</v>
      </c>
      <c r="B132" s="4">
        <v>73341</v>
      </c>
      <c r="C132" s="4" t="s">
        <v>192</v>
      </c>
      <c r="D132" s="19" t="s">
        <v>270</v>
      </c>
      <c r="E132" s="20">
        <v>49022</v>
      </c>
      <c r="F132" s="20" t="s">
        <v>524</v>
      </c>
      <c r="G132" s="20" t="s">
        <v>525</v>
      </c>
      <c r="H132" s="2">
        <v>45672</v>
      </c>
      <c r="I132" s="2" t="s">
        <v>263</v>
      </c>
      <c r="J132" s="2" t="s">
        <v>263</v>
      </c>
      <c r="K132" s="21">
        <v>14</v>
      </c>
      <c r="L132" s="21">
        <v>415800</v>
      </c>
      <c r="M132" s="21">
        <v>0</v>
      </c>
      <c r="N132" s="21">
        <v>665</v>
      </c>
      <c r="O132" s="21">
        <v>0</v>
      </c>
      <c r="P132" s="21">
        <v>348155</v>
      </c>
      <c r="Q132" s="22">
        <v>417.17744360902253</v>
      </c>
      <c r="R132" s="22">
        <v>300</v>
      </c>
      <c r="S132" s="23">
        <v>0</v>
      </c>
      <c r="T132" s="23">
        <v>0</v>
      </c>
      <c r="U132" s="24">
        <v>0.83731361231361234</v>
      </c>
      <c r="V132" s="25">
        <v>0.1</v>
      </c>
      <c r="W132" s="26">
        <v>0.1</v>
      </c>
      <c r="X132" s="27">
        <v>0.8571428571428571</v>
      </c>
      <c r="Y132" s="25">
        <v>0</v>
      </c>
      <c r="Z132" s="24">
        <v>1</v>
      </c>
      <c r="AA132" s="25">
        <v>0.04</v>
      </c>
      <c r="AB132" s="28">
        <v>0</v>
      </c>
      <c r="AC132" s="28">
        <v>0</v>
      </c>
      <c r="AD132" s="28">
        <v>0</v>
      </c>
      <c r="AE132" s="25">
        <v>0.09</v>
      </c>
      <c r="AF132" s="26">
        <v>0.13</v>
      </c>
      <c r="AG132" s="29" t="s">
        <v>729</v>
      </c>
      <c r="AH132" s="30">
        <v>1</v>
      </c>
      <c r="AI132" s="26">
        <v>0.1</v>
      </c>
      <c r="AJ132" s="21">
        <v>0</v>
      </c>
      <c r="AK132" s="21">
        <v>0</v>
      </c>
      <c r="AL132" s="26">
        <v>0.1</v>
      </c>
      <c r="AM132" s="24">
        <v>0.67526315789473679</v>
      </c>
      <c r="AN132" s="24">
        <v>0.76315789473684215</v>
      </c>
      <c r="AO132" s="31">
        <v>0.08</v>
      </c>
      <c r="AP132" s="31">
        <v>0.03</v>
      </c>
      <c r="AQ132" s="24">
        <v>0.80514285714285716</v>
      </c>
      <c r="AR132" s="27">
        <v>0.8</v>
      </c>
      <c r="AS132" s="26">
        <v>0.125</v>
      </c>
      <c r="AT132" s="26">
        <v>0</v>
      </c>
      <c r="AU132" s="24">
        <v>0.98330241187384049</v>
      </c>
      <c r="AV132" s="32">
        <v>4</v>
      </c>
      <c r="AW132" s="26">
        <v>0</v>
      </c>
      <c r="AX132" s="26">
        <v>0</v>
      </c>
      <c r="AY132" s="24">
        <v>0.6925932835820896</v>
      </c>
      <c r="AZ132" s="24">
        <v>0.74440298507462688</v>
      </c>
      <c r="BA132" s="31">
        <v>0.1</v>
      </c>
      <c r="BB132" s="33">
        <v>0.505</v>
      </c>
      <c r="BC132" s="21"/>
      <c r="BD132" s="26">
        <v>0.73499999999999999</v>
      </c>
      <c r="BE132" s="26">
        <v>0.03</v>
      </c>
      <c r="BF132" s="26" t="s">
        <v>729</v>
      </c>
      <c r="BG132" s="21"/>
      <c r="BH132" s="34">
        <v>0</v>
      </c>
      <c r="BI132" s="34">
        <v>0</v>
      </c>
      <c r="BJ132" s="34" t="s">
        <v>259</v>
      </c>
      <c r="BK132" s="34">
        <v>0</v>
      </c>
      <c r="BL132" s="21"/>
      <c r="BM132" s="35">
        <v>0.76500000000000001</v>
      </c>
    </row>
    <row r="133" spans="1:65" x14ac:dyDescent="0.25">
      <c r="A133" s="4" t="s">
        <v>63</v>
      </c>
      <c r="B133" s="4">
        <v>71055</v>
      </c>
      <c r="C133" s="4" t="s">
        <v>193</v>
      </c>
      <c r="D133" s="19" t="s">
        <v>273</v>
      </c>
      <c r="E133" s="20">
        <v>49728</v>
      </c>
      <c r="F133" s="20" t="s">
        <v>526</v>
      </c>
      <c r="G133" s="20" t="s">
        <v>527</v>
      </c>
      <c r="H133" s="2">
        <v>45716</v>
      </c>
      <c r="I133" s="2" t="s">
        <v>263</v>
      </c>
      <c r="J133" s="2" t="s">
        <v>263</v>
      </c>
      <c r="K133" s="21">
        <v>11</v>
      </c>
      <c r="L133" s="21">
        <v>326700</v>
      </c>
      <c r="M133" s="21">
        <v>0</v>
      </c>
      <c r="N133" s="21">
        <v>403</v>
      </c>
      <c r="O133" s="21">
        <v>0</v>
      </c>
      <c r="P133" s="21">
        <v>232403</v>
      </c>
      <c r="Q133" s="22">
        <v>438.03722084367246</v>
      </c>
      <c r="R133" s="22">
        <v>300</v>
      </c>
      <c r="S133" s="23">
        <v>0</v>
      </c>
      <c r="T133" s="23">
        <v>0</v>
      </c>
      <c r="U133" s="24">
        <v>0.71136516681971229</v>
      </c>
      <c r="V133" s="25">
        <v>0</v>
      </c>
      <c r="W133" s="26">
        <v>0</v>
      </c>
      <c r="X133" s="27">
        <v>0.36363636363636365</v>
      </c>
      <c r="Y133" s="25">
        <v>0</v>
      </c>
      <c r="Z133" s="24">
        <v>0.81818181818181823</v>
      </c>
      <c r="AA133" s="25">
        <v>0</v>
      </c>
      <c r="AB133" s="28">
        <v>0</v>
      </c>
      <c r="AC133" s="28">
        <v>10</v>
      </c>
      <c r="AD133" s="28">
        <v>0</v>
      </c>
      <c r="AE133" s="25">
        <v>0</v>
      </c>
      <c r="AF133" s="26">
        <v>0</v>
      </c>
      <c r="AG133" s="29" t="s">
        <v>729</v>
      </c>
      <c r="AH133" s="30">
        <v>0.82499999999999996</v>
      </c>
      <c r="AI133" s="26">
        <v>0.05</v>
      </c>
      <c r="AJ133" s="21">
        <v>0</v>
      </c>
      <c r="AK133" s="21">
        <v>0</v>
      </c>
      <c r="AL133" s="26">
        <v>0.1</v>
      </c>
      <c r="AM133" s="24">
        <v>0.69000000000000006</v>
      </c>
      <c r="AN133" s="24">
        <v>0.77358490566037741</v>
      </c>
      <c r="AO133" s="31">
        <v>0.08</v>
      </c>
      <c r="AP133" s="31">
        <v>0.03</v>
      </c>
      <c r="AQ133" s="24">
        <v>0.82</v>
      </c>
      <c r="AR133" s="27">
        <v>0.82608695652173914</v>
      </c>
      <c r="AS133" s="26">
        <v>0.2</v>
      </c>
      <c r="AT133" s="26">
        <v>0</v>
      </c>
      <c r="AU133" s="24">
        <v>0.99707602339181289</v>
      </c>
      <c r="AV133" s="32">
        <v>1</v>
      </c>
      <c r="AW133" s="26">
        <v>0.05</v>
      </c>
      <c r="AX133" s="26">
        <v>0</v>
      </c>
      <c r="AY133" s="24">
        <v>0.69997237569060766</v>
      </c>
      <c r="AZ133" s="24">
        <v>0.70718232044198892</v>
      </c>
      <c r="BA133" s="31">
        <v>0.1</v>
      </c>
      <c r="BB133" s="33">
        <v>0.57999999999999996</v>
      </c>
      <c r="BC133" s="21"/>
      <c r="BD133" s="26">
        <v>0.57999999999999996</v>
      </c>
      <c r="BE133" s="26">
        <v>0.03</v>
      </c>
      <c r="BF133" s="26" t="s">
        <v>729</v>
      </c>
      <c r="BG133" s="21"/>
      <c r="BH133" s="34">
        <v>0.4</v>
      </c>
      <c r="BI133" s="34">
        <v>0</v>
      </c>
      <c r="BJ133" s="34" t="s">
        <v>259</v>
      </c>
      <c r="BK133" s="34">
        <v>0.2</v>
      </c>
      <c r="BL133" s="21"/>
      <c r="BM133" s="35">
        <v>0.41</v>
      </c>
    </row>
    <row r="134" spans="1:65" x14ac:dyDescent="0.25">
      <c r="A134" s="4" t="s">
        <v>63</v>
      </c>
      <c r="B134" s="4">
        <v>71073</v>
      </c>
      <c r="C134" s="4" t="s">
        <v>194</v>
      </c>
      <c r="D134" s="19" t="s">
        <v>273</v>
      </c>
      <c r="E134" s="20">
        <v>49722</v>
      </c>
      <c r="F134" s="20" t="s">
        <v>528</v>
      </c>
      <c r="G134" s="20" t="s">
        <v>529</v>
      </c>
      <c r="H134" s="2">
        <v>45716</v>
      </c>
      <c r="I134" s="2" t="s">
        <v>263</v>
      </c>
      <c r="J134" s="2" t="s">
        <v>263</v>
      </c>
      <c r="K134" s="21">
        <v>16</v>
      </c>
      <c r="L134" s="21">
        <v>475200</v>
      </c>
      <c r="M134" s="21">
        <v>0</v>
      </c>
      <c r="N134" s="21">
        <v>1138</v>
      </c>
      <c r="O134" s="21">
        <v>0</v>
      </c>
      <c r="P134" s="21">
        <v>429956</v>
      </c>
      <c r="Q134" s="22">
        <v>262.52196836555362</v>
      </c>
      <c r="R134" s="22">
        <v>300</v>
      </c>
      <c r="S134" s="23">
        <v>0.1</v>
      </c>
      <c r="T134" s="23">
        <v>0.05</v>
      </c>
      <c r="U134" s="24">
        <v>0.90478956228956231</v>
      </c>
      <c r="V134" s="25">
        <v>0.1</v>
      </c>
      <c r="W134" s="26">
        <v>0.2</v>
      </c>
      <c r="X134" s="27">
        <v>1</v>
      </c>
      <c r="Y134" s="25">
        <v>0.04</v>
      </c>
      <c r="Z134" s="24">
        <v>0.6875</v>
      </c>
      <c r="AA134" s="25">
        <v>0</v>
      </c>
      <c r="AB134" s="28">
        <v>1</v>
      </c>
      <c r="AC134" s="28">
        <v>0</v>
      </c>
      <c r="AD134" s="28">
        <v>0</v>
      </c>
      <c r="AE134" s="25">
        <v>0</v>
      </c>
      <c r="AF134" s="26">
        <v>0.04</v>
      </c>
      <c r="AG134" s="29" t="s">
        <v>729</v>
      </c>
      <c r="AH134" s="30">
        <v>0.92500000000000004</v>
      </c>
      <c r="AI134" s="26">
        <v>0.1</v>
      </c>
      <c r="AJ134" s="21">
        <v>0</v>
      </c>
      <c r="AK134" s="21">
        <v>0</v>
      </c>
      <c r="AL134" s="26">
        <v>0.1</v>
      </c>
      <c r="AM134" s="24">
        <v>0.69</v>
      </c>
      <c r="AN134" s="24">
        <v>0.64233576642335766</v>
      </c>
      <c r="AO134" s="31">
        <v>0.04</v>
      </c>
      <c r="AP134" s="31">
        <v>0</v>
      </c>
      <c r="AQ134" s="24">
        <v>0.82</v>
      </c>
      <c r="AR134" s="27">
        <v>0.80147058823529416</v>
      </c>
      <c r="AS134" s="26">
        <v>0</v>
      </c>
      <c r="AT134" s="26">
        <v>0</v>
      </c>
      <c r="AU134" s="24">
        <v>0.94216417910447758</v>
      </c>
      <c r="AV134" s="32">
        <v>3</v>
      </c>
      <c r="AW134" s="26">
        <v>0.01</v>
      </c>
      <c r="AX134" s="26">
        <v>0</v>
      </c>
      <c r="AY134" s="24">
        <v>0.71022535211267601</v>
      </c>
      <c r="AZ134" s="24">
        <v>0.73427230046948355</v>
      </c>
      <c r="BA134" s="31">
        <v>0.1</v>
      </c>
      <c r="BB134" s="33">
        <v>0.35</v>
      </c>
      <c r="BC134" s="21"/>
      <c r="BD134" s="26">
        <v>0.59</v>
      </c>
      <c r="BE134" s="26">
        <v>0.05</v>
      </c>
      <c r="BF134" s="26" t="s">
        <v>729</v>
      </c>
      <c r="BG134" s="21"/>
      <c r="BH134" s="34">
        <v>0</v>
      </c>
      <c r="BI134" s="34">
        <v>0</v>
      </c>
      <c r="BJ134" s="34" t="s">
        <v>259</v>
      </c>
      <c r="BK134" s="34">
        <v>0</v>
      </c>
      <c r="BL134" s="21"/>
      <c r="BM134" s="35">
        <v>0.64</v>
      </c>
    </row>
    <row r="135" spans="1:65" x14ac:dyDescent="0.25">
      <c r="A135" s="4" t="s">
        <v>63</v>
      </c>
      <c r="B135" s="4">
        <v>71074</v>
      </c>
      <c r="C135" s="4" t="s">
        <v>195</v>
      </c>
      <c r="D135" s="19" t="s">
        <v>273</v>
      </c>
      <c r="E135" s="20">
        <v>49654</v>
      </c>
      <c r="F135" s="20" t="s">
        <v>530</v>
      </c>
      <c r="G135" s="20" t="s">
        <v>531</v>
      </c>
      <c r="H135" s="2">
        <v>45716</v>
      </c>
      <c r="I135" s="2" t="s">
        <v>263</v>
      </c>
      <c r="J135" s="2" t="s">
        <v>263</v>
      </c>
      <c r="K135" s="21">
        <v>14</v>
      </c>
      <c r="L135" s="21">
        <v>415800</v>
      </c>
      <c r="M135" s="21">
        <v>0</v>
      </c>
      <c r="N135" s="21">
        <v>793</v>
      </c>
      <c r="O135" s="21">
        <v>0</v>
      </c>
      <c r="P135" s="21">
        <v>384583</v>
      </c>
      <c r="Q135" s="22">
        <v>365.10970996216901</v>
      </c>
      <c r="R135" s="22">
        <v>300</v>
      </c>
      <c r="S135" s="23">
        <v>0</v>
      </c>
      <c r="T135" s="23">
        <v>0</v>
      </c>
      <c r="U135" s="24">
        <v>0.92492303992303992</v>
      </c>
      <c r="V135" s="25">
        <v>0.1</v>
      </c>
      <c r="W135" s="26">
        <v>0.1</v>
      </c>
      <c r="X135" s="27">
        <v>1</v>
      </c>
      <c r="Y135" s="25">
        <v>0.04</v>
      </c>
      <c r="Z135" s="24">
        <v>1</v>
      </c>
      <c r="AA135" s="25">
        <v>0.04</v>
      </c>
      <c r="AB135" s="28">
        <v>0</v>
      </c>
      <c r="AC135" s="28">
        <v>0</v>
      </c>
      <c r="AD135" s="28">
        <v>0</v>
      </c>
      <c r="AE135" s="25">
        <v>0.09</v>
      </c>
      <c r="AF135" s="26">
        <v>0.17</v>
      </c>
      <c r="AG135" s="29" t="s">
        <v>729</v>
      </c>
      <c r="AH135" s="30">
        <v>1</v>
      </c>
      <c r="AI135" s="26">
        <v>0.1</v>
      </c>
      <c r="AJ135" s="21">
        <v>0</v>
      </c>
      <c r="AK135" s="21">
        <v>0</v>
      </c>
      <c r="AL135" s="26">
        <v>0.1</v>
      </c>
      <c r="AM135" s="24">
        <v>0.69</v>
      </c>
      <c r="AN135" s="24">
        <v>0.69473684210526321</v>
      </c>
      <c r="AO135" s="31">
        <v>0.08</v>
      </c>
      <c r="AP135" s="31">
        <v>0.03</v>
      </c>
      <c r="AQ135" s="24">
        <v>0.82</v>
      </c>
      <c r="AR135" s="27">
        <v>0.8</v>
      </c>
      <c r="AS135" s="26">
        <v>0.125</v>
      </c>
      <c r="AT135" s="26">
        <v>0</v>
      </c>
      <c r="AU135" s="24">
        <v>0.96697490092470273</v>
      </c>
      <c r="AV135" s="32">
        <v>11</v>
      </c>
      <c r="AW135" s="26">
        <v>0</v>
      </c>
      <c r="AX135" s="26">
        <v>0</v>
      </c>
      <c r="AY135" s="24">
        <v>0.71147802929427417</v>
      </c>
      <c r="AZ135" s="24">
        <v>0.66844207723035953</v>
      </c>
      <c r="BA135" s="31">
        <v>0</v>
      </c>
      <c r="BB135" s="33">
        <v>0.40500000000000003</v>
      </c>
      <c r="BC135" s="21"/>
      <c r="BD135" s="26">
        <v>0.67500000000000004</v>
      </c>
      <c r="BE135" s="26">
        <v>0.03</v>
      </c>
      <c r="BF135" s="26" t="s">
        <v>729</v>
      </c>
      <c r="BG135" s="21"/>
      <c r="BH135" s="34">
        <v>0</v>
      </c>
      <c r="BI135" s="34">
        <v>7.0000000000000007E-2</v>
      </c>
      <c r="BJ135" s="34" t="s">
        <v>259</v>
      </c>
      <c r="BK135" s="34">
        <v>7.0000000000000007E-2</v>
      </c>
      <c r="BL135" s="21"/>
      <c r="BM135" s="35">
        <v>0.63500000000000001</v>
      </c>
    </row>
    <row r="136" spans="1:65" x14ac:dyDescent="0.25">
      <c r="A136" s="4" t="s">
        <v>63</v>
      </c>
      <c r="B136" s="4">
        <v>71125</v>
      </c>
      <c r="C136" s="4" t="s">
        <v>196</v>
      </c>
      <c r="D136" s="19" t="s">
        <v>314</v>
      </c>
      <c r="E136" s="20">
        <v>49732</v>
      </c>
      <c r="F136" s="20" t="s">
        <v>532</v>
      </c>
      <c r="G136" s="20" t="s">
        <v>533</v>
      </c>
      <c r="H136" s="2">
        <v>45716</v>
      </c>
      <c r="I136" s="2" t="s">
        <v>263</v>
      </c>
      <c r="J136" s="2" t="s">
        <v>263</v>
      </c>
      <c r="K136" s="21">
        <v>18</v>
      </c>
      <c r="L136" s="21">
        <v>534600</v>
      </c>
      <c r="M136" s="21">
        <v>0</v>
      </c>
      <c r="N136" s="21">
        <v>871</v>
      </c>
      <c r="O136" s="21">
        <v>0</v>
      </c>
      <c r="P136" s="21">
        <v>413554</v>
      </c>
      <c r="Q136" s="22">
        <v>354.52468427095295</v>
      </c>
      <c r="R136" s="22">
        <v>300</v>
      </c>
      <c r="S136" s="23">
        <v>0</v>
      </c>
      <c r="T136" s="23">
        <v>0</v>
      </c>
      <c r="U136" s="24">
        <v>0.77357650579872805</v>
      </c>
      <c r="V136" s="25">
        <v>0</v>
      </c>
      <c r="W136" s="26">
        <v>0</v>
      </c>
      <c r="X136" s="27">
        <v>0.5</v>
      </c>
      <c r="Y136" s="25">
        <v>0</v>
      </c>
      <c r="Z136" s="24">
        <v>0.5</v>
      </c>
      <c r="AA136" s="25">
        <v>0</v>
      </c>
      <c r="AB136" s="28">
        <v>0</v>
      </c>
      <c r="AC136" s="28">
        <v>0</v>
      </c>
      <c r="AD136" s="28">
        <v>0</v>
      </c>
      <c r="AE136" s="25">
        <v>0.09</v>
      </c>
      <c r="AF136" s="26">
        <v>0.09</v>
      </c>
      <c r="AG136" s="29" t="s">
        <v>729</v>
      </c>
      <c r="AH136" s="30">
        <v>0.36499999999999999</v>
      </c>
      <c r="AI136" s="26">
        <v>0</v>
      </c>
      <c r="AJ136" s="21">
        <v>0</v>
      </c>
      <c r="AK136" s="21">
        <v>0</v>
      </c>
      <c r="AL136" s="26">
        <v>0.1</v>
      </c>
      <c r="AM136" s="24">
        <v>0.69</v>
      </c>
      <c r="AN136" s="24">
        <v>0.80405405405405406</v>
      </c>
      <c r="AO136" s="31">
        <v>0.08</v>
      </c>
      <c r="AP136" s="31">
        <v>0.03</v>
      </c>
      <c r="AQ136" s="24">
        <v>0.82</v>
      </c>
      <c r="AR136" s="27">
        <v>0.84558823529411764</v>
      </c>
      <c r="AS136" s="26">
        <v>0.2</v>
      </c>
      <c r="AT136" s="26">
        <v>0.04</v>
      </c>
      <c r="AU136" s="24">
        <v>0.95776397515527956</v>
      </c>
      <c r="AV136" s="32">
        <v>6</v>
      </c>
      <c r="AW136" s="26">
        <v>0</v>
      </c>
      <c r="AX136" s="26">
        <v>0</v>
      </c>
      <c r="AY136" s="24">
        <v>0.70478421701602967</v>
      </c>
      <c r="AZ136" s="24">
        <v>0.6855733662145499</v>
      </c>
      <c r="BA136" s="31">
        <v>0.05</v>
      </c>
      <c r="BB136" s="33">
        <v>0.43</v>
      </c>
      <c r="BC136" s="21"/>
      <c r="BD136" s="26">
        <v>0.52</v>
      </c>
      <c r="BE136" s="26">
        <v>7.0000000000000007E-2</v>
      </c>
      <c r="BF136" s="26" t="s">
        <v>729</v>
      </c>
      <c r="BG136" s="21"/>
      <c r="BH136" s="34">
        <v>0</v>
      </c>
      <c r="BI136" s="34">
        <v>0.02</v>
      </c>
      <c r="BJ136" s="34" t="s">
        <v>259</v>
      </c>
      <c r="BK136" s="34">
        <v>0.02</v>
      </c>
      <c r="BL136" s="21"/>
      <c r="BM136" s="35">
        <v>0.57000000000000006</v>
      </c>
    </row>
    <row r="137" spans="1:65" x14ac:dyDescent="0.25">
      <c r="A137" s="4" t="s">
        <v>63</v>
      </c>
      <c r="B137" s="4">
        <v>71120</v>
      </c>
      <c r="C137" s="4" t="s">
        <v>197</v>
      </c>
      <c r="D137" s="19" t="s">
        <v>314</v>
      </c>
      <c r="E137" s="20">
        <v>49652</v>
      </c>
      <c r="F137" s="20" t="s">
        <v>534</v>
      </c>
      <c r="G137" s="20" t="s">
        <v>535</v>
      </c>
      <c r="H137" s="2">
        <v>45716</v>
      </c>
      <c r="I137" s="2" t="s">
        <v>263</v>
      </c>
      <c r="J137" s="2" t="s">
        <v>263</v>
      </c>
      <c r="K137" s="21">
        <v>11</v>
      </c>
      <c r="L137" s="21">
        <v>326700</v>
      </c>
      <c r="M137" s="21">
        <v>3600</v>
      </c>
      <c r="N137" s="21">
        <v>177</v>
      </c>
      <c r="O137" s="21">
        <v>0</v>
      </c>
      <c r="P137" s="21">
        <v>172573</v>
      </c>
      <c r="Q137" s="22">
        <v>358.10734463276839</v>
      </c>
      <c r="R137" s="22">
        <v>300</v>
      </c>
      <c r="S137" s="23">
        <v>0</v>
      </c>
      <c r="T137" s="23">
        <v>0</v>
      </c>
      <c r="U137" s="24">
        <v>0.53411637264004952</v>
      </c>
      <c r="V137" s="25">
        <v>0</v>
      </c>
      <c r="W137" s="26">
        <v>0</v>
      </c>
      <c r="X137" s="27">
        <v>9.0909090909090912E-2</v>
      </c>
      <c r="Y137" s="25">
        <v>0</v>
      </c>
      <c r="Z137" s="24">
        <v>0.63636363636363635</v>
      </c>
      <c r="AA137" s="25">
        <v>0</v>
      </c>
      <c r="AB137" s="28">
        <v>1</v>
      </c>
      <c r="AC137" s="28">
        <v>0</v>
      </c>
      <c r="AD137" s="28">
        <v>0</v>
      </c>
      <c r="AE137" s="25">
        <v>0</v>
      </c>
      <c r="AF137" s="26">
        <v>0</v>
      </c>
      <c r="AG137" s="29" t="s">
        <v>729</v>
      </c>
      <c r="AH137" s="30">
        <v>0.875</v>
      </c>
      <c r="AI137" s="26">
        <v>0.05</v>
      </c>
      <c r="AJ137" s="21">
        <v>0</v>
      </c>
      <c r="AK137" s="21">
        <v>0</v>
      </c>
      <c r="AL137" s="26">
        <v>0.1</v>
      </c>
      <c r="AM137" s="24">
        <v>0.69000000000000006</v>
      </c>
      <c r="AN137" s="24">
        <v>0.7142857142857143</v>
      </c>
      <c r="AO137" s="31">
        <v>0.08</v>
      </c>
      <c r="AP137" s="31">
        <v>0.03</v>
      </c>
      <c r="AQ137" s="24">
        <v>0.82</v>
      </c>
      <c r="AR137" s="27">
        <v>0.80392156862745101</v>
      </c>
      <c r="AS137" s="26">
        <v>0.125</v>
      </c>
      <c r="AT137" s="26">
        <v>0</v>
      </c>
      <c r="AU137" s="24">
        <v>0.96594427244582048</v>
      </c>
      <c r="AV137" s="32">
        <v>0</v>
      </c>
      <c r="AW137" s="26">
        <v>0.05</v>
      </c>
      <c r="AX137" s="26">
        <v>0.02</v>
      </c>
      <c r="AY137" s="24">
        <v>0.73870370370370375</v>
      </c>
      <c r="AZ137" s="24">
        <v>0.75308641975308643</v>
      </c>
      <c r="BA137" s="31">
        <v>0.1</v>
      </c>
      <c r="BB137" s="33">
        <v>0.505</v>
      </c>
      <c r="BC137" s="21"/>
      <c r="BD137" s="26">
        <v>0.505</v>
      </c>
      <c r="BE137" s="26">
        <v>0.05</v>
      </c>
      <c r="BF137" s="26" t="s">
        <v>729</v>
      </c>
      <c r="BG137" s="21"/>
      <c r="BH137" s="34">
        <v>0</v>
      </c>
      <c r="BI137" s="34">
        <v>0</v>
      </c>
      <c r="BJ137" s="34" t="s">
        <v>259</v>
      </c>
      <c r="BK137" s="34">
        <v>0</v>
      </c>
      <c r="BL137" s="21"/>
      <c r="BM137" s="35">
        <v>0.55500000000000005</v>
      </c>
    </row>
    <row r="138" spans="1:65" x14ac:dyDescent="0.25">
      <c r="A138" s="4" t="s">
        <v>63</v>
      </c>
      <c r="B138" s="4">
        <v>71144</v>
      </c>
      <c r="C138" s="4" t="s">
        <v>198</v>
      </c>
      <c r="D138" s="19" t="s">
        <v>264</v>
      </c>
      <c r="E138" s="20">
        <v>49723</v>
      </c>
      <c r="F138" s="20" t="s">
        <v>536</v>
      </c>
      <c r="G138" s="20" t="s">
        <v>537</v>
      </c>
      <c r="H138" s="2">
        <v>45716</v>
      </c>
      <c r="I138" s="2" t="s">
        <v>263</v>
      </c>
      <c r="J138" s="2" t="s">
        <v>263</v>
      </c>
      <c r="K138" s="21">
        <v>14</v>
      </c>
      <c r="L138" s="21">
        <v>415800</v>
      </c>
      <c r="M138" s="21">
        <v>7200</v>
      </c>
      <c r="N138" s="21">
        <v>516</v>
      </c>
      <c r="O138" s="21">
        <v>0</v>
      </c>
      <c r="P138" s="21">
        <v>220240</v>
      </c>
      <c r="Q138" s="22">
        <v>307.37596899224809</v>
      </c>
      <c r="R138" s="22">
        <v>300</v>
      </c>
      <c r="S138" s="23">
        <v>0</v>
      </c>
      <c r="T138" s="23">
        <v>0</v>
      </c>
      <c r="U138" s="24">
        <v>0.53901125795398919</v>
      </c>
      <c r="V138" s="25">
        <v>0</v>
      </c>
      <c r="W138" s="26">
        <v>0</v>
      </c>
      <c r="X138" s="27">
        <v>0</v>
      </c>
      <c r="Y138" s="25">
        <v>0</v>
      </c>
      <c r="Z138" s="24">
        <v>0.2857142857142857</v>
      </c>
      <c r="AA138" s="25">
        <v>0</v>
      </c>
      <c r="AB138" s="28">
        <v>0</v>
      </c>
      <c r="AC138" s="28">
        <v>0</v>
      </c>
      <c r="AD138" s="28">
        <v>2</v>
      </c>
      <c r="AE138" s="25">
        <v>0</v>
      </c>
      <c r="AF138" s="26">
        <v>0</v>
      </c>
      <c r="AG138" s="29" t="s">
        <v>729</v>
      </c>
      <c r="AH138" s="30">
        <v>0.92500000000000004</v>
      </c>
      <c r="AI138" s="26">
        <v>0.1</v>
      </c>
      <c r="AJ138" s="21">
        <v>0</v>
      </c>
      <c r="AK138" s="21">
        <v>0</v>
      </c>
      <c r="AL138" s="26">
        <v>0.1</v>
      </c>
      <c r="AM138" s="24">
        <v>0.69</v>
      </c>
      <c r="AN138" s="24">
        <v>0.76923076923076927</v>
      </c>
      <c r="AO138" s="31">
        <v>0.08</v>
      </c>
      <c r="AP138" s="31">
        <v>0.03</v>
      </c>
      <c r="AQ138" s="24">
        <v>0.82</v>
      </c>
      <c r="AR138" s="27">
        <v>0.83333333333333337</v>
      </c>
      <c r="AS138" s="26">
        <v>0.2</v>
      </c>
      <c r="AT138" s="26">
        <v>0.02</v>
      </c>
      <c r="AU138" s="24">
        <v>0.95190380761523041</v>
      </c>
      <c r="AV138" s="32">
        <v>8</v>
      </c>
      <c r="AW138" s="26">
        <v>0</v>
      </c>
      <c r="AX138" s="26">
        <v>0</v>
      </c>
      <c r="AY138" s="24">
        <v>0.70204819277108432</v>
      </c>
      <c r="AZ138" s="24">
        <v>0.71285140562248994</v>
      </c>
      <c r="BA138" s="31">
        <v>0.1</v>
      </c>
      <c r="BB138" s="33">
        <v>0.57999999999999996</v>
      </c>
      <c r="BC138" s="21"/>
      <c r="BD138" s="26">
        <v>0.57999999999999996</v>
      </c>
      <c r="BE138" s="26">
        <v>0.05</v>
      </c>
      <c r="BF138" s="26" t="s">
        <v>729</v>
      </c>
      <c r="BG138" s="21"/>
      <c r="BH138" s="34">
        <v>0</v>
      </c>
      <c r="BI138" s="34">
        <v>0.04</v>
      </c>
      <c r="BJ138" s="34" t="s">
        <v>259</v>
      </c>
      <c r="BK138" s="34">
        <v>0.04</v>
      </c>
      <c r="BL138" s="21"/>
      <c r="BM138" s="35">
        <v>0.59</v>
      </c>
    </row>
    <row r="139" spans="1:65" x14ac:dyDescent="0.25">
      <c r="A139" s="4" t="s">
        <v>63</v>
      </c>
      <c r="B139" s="4">
        <v>71159</v>
      </c>
      <c r="C139" s="4" t="s">
        <v>199</v>
      </c>
      <c r="D139" s="19" t="s">
        <v>264</v>
      </c>
      <c r="E139" s="20">
        <v>49721</v>
      </c>
      <c r="F139" s="20" t="s">
        <v>538</v>
      </c>
      <c r="G139" s="20" t="s">
        <v>539</v>
      </c>
      <c r="H139" s="2">
        <v>45716</v>
      </c>
      <c r="I139" s="2" t="s">
        <v>263</v>
      </c>
      <c r="J139" s="2" t="s">
        <v>263</v>
      </c>
      <c r="K139" s="21">
        <v>18</v>
      </c>
      <c r="L139" s="21">
        <v>534600</v>
      </c>
      <c r="M139" s="21">
        <v>0</v>
      </c>
      <c r="N139" s="21">
        <v>921</v>
      </c>
      <c r="O139" s="21">
        <v>0</v>
      </c>
      <c r="P139" s="21">
        <v>447911</v>
      </c>
      <c r="Q139" s="22">
        <v>362.65472312703582</v>
      </c>
      <c r="R139" s="22">
        <v>300</v>
      </c>
      <c r="S139" s="23">
        <v>0</v>
      </c>
      <c r="T139" s="23">
        <v>0</v>
      </c>
      <c r="U139" s="24">
        <v>0.83784324728769177</v>
      </c>
      <c r="V139" s="25">
        <v>0.1</v>
      </c>
      <c r="W139" s="26">
        <v>0.1</v>
      </c>
      <c r="X139" s="27">
        <v>0.77777777777777779</v>
      </c>
      <c r="Y139" s="25">
        <v>0</v>
      </c>
      <c r="Z139" s="24">
        <v>0.88888888888888884</v>
      </c>
      <c r="AA139" s="25">
        <v>0</v>
      </c>
      <c r="AB139" s="28">
        <v>0</v>
      </c>
      <c r="AC139" s="28">
        <v>0</v>
      </c>
      <c r="AD139" s="28">
        <v>0</v>
      </c>
      <c r="AE139" s="25">
        <v>0.09</v>
      </c>
      <c r="AF139" s="26">
        <v>0.09</v>
      </c>
      <c r="AG139" s="29" t="s">
        <v>729</v>
      </c>
      <c r="AH139" s="30">
        <v>1</v>
      </c>
      <c r="AI139" s="26">
        <v>0.1</v>
      </c>
      <c r="AJ139" s="21">
        <v>0</v>
      </c>
      <c r="AK139" s="21">
        <v>0</v>
      </c>
      <c r="AL139" s="26">
        <v>0.1</v>
      </c>
      <c r="AM139" s="24">
        <v>0.69</v>
      </c>
      <c r="AN139" s="24">
        <v>0.76635514018691586</v>
      </c>
      <c r="AO139" s="31">
        <v>0.08</v>
      </c>
      <c r="AP139" s="31">
        <v>0.03</v>
      </c>
      <c r="AQ139" s="24">
        <v>0.82</v>
      </c>
      <c r="AR139" s="27">
        <v>0.89690721649484539</v>
      </c>
      <c r="AS139" s="26">
        <v>0.2</v>
      </c>
      <c r="AT139" s="26">
        <v>0.1</v>
      </c>
      <c r="AU139" s="24">
        <v>0.9885057471264368</v>
      </c>
      <c r="AV139" s="32">
        <v>9</v>
      </c>
      <c r="AW139" s="26">
        <v>0</v>
      </c>
      <c r="AX139" s="26">
        <v>0</v>
      </c>
      <c r="AY139" s="24">
        <v>0.70868208092485552</v>
      </c>
      <c r="AZ139" s="24">
        <v>0.7225433526011561</v>
      </c>
      <c r="BA139" s="31">
        <v>0.1</v>
      </c>
      <c r="BB139" s="33">
        <v>0.57999999999999996</v>
      </c>
      <c r="BC139" s="21"/>
      <c r="BD139" s="26">
        <v>0.76999999999999991</v>
      </c>
      <c r="BE139" s="26">
        <v>0.13</v>
      </c>
      <c r="BF139" s="26" t="s">
        <v>729</v>
      </c>
      <c r="BG139" s="21"/>
      <c r="BH139" s="34">
        <v>0</v>
      </c>
      <c r="BI139" s="34">
        <v>0.05</v>
      </c>
      <c r="BJ139" s="34" t="s">
        <v>259</v>
      </c>
      <c r="BK139" s="34">
        <v>0.05</v>
      </c>
      <c r="BL139" s="21"/>
      <c r="BM139" s="35">
        <v>0.84999999999999987</v>
      </c>
    </row>
    <row r="140" spans="1:65" x14ac:dyDescent="0.25">
      <c r="A140" s="4" t="s">
        <v>63</v>
      </c>
      <c r="B140" s="4">
        <v>71181</v>
      </c>
      <c r="C140" s="4" t="s">
        <v>200</v>
      </c>
      <c r="D140" s="19" t="s">
        <v>270</v>
      </c>
      <c r="E140" s="20">
        <v>49729</v>
      </c>
      <c r="F140" s="20" t="s">
        <v>540</v>
      </c>
      <c r="G140" s="20" t="s">
        <v>541</v>
      </c>
      <c r="H140" s="2">
        <v>45716</v>
      </c>
      <c r="I140" s="2" t="s">
        <v>263</v>
      </c>
      <c r="J140" s="2" t="s">
        <v>263</v>
      </c>
      <c r="K140" s="21">
        <v>16</v>
      </c>
      <c r="L140" s="21">
        <v>475200</v>
      </c>
      <c r="M140" s="21">
        <v>0</v>
      </c>
      <c r="N140" s="21">
        <v>1013</v>
      </c>
      <c r="O140" s="21">
        <v>0</v>
      </c>
      <c r="P140" s="21">
        <v>412061</v>
      </c>
      <c r="Q140" s="22">
        <v>312.90523198420533</v>
      </c>
      <c r="R140" s="22">
        <v>300</v>
      </c>
      <c r="S140" s="23">
        <v>0</v>
      </c>
      <c r="T140" s="23">
        <v>0</v>
      </c>
      <c r="U140" s="24">
        <v>0.86713173400673405</v>
      </c>
      <c r="V140" s="25">
        <v>0.1</v>
      </c>
      <c r="W140" s="26">
        <v>0.1</v>
      </c>
      <c r="X140" s="27">
        <v>0.875</v>
      </c>
      <c r="Y140" s="25">
        <v>0</v>
      </c>
      <c r="Z140" s="24">
        <v>0.875</v>
      </c>
      <c r="AA140" s="25">
        <v>0</v>
      </c>
      <c r="AB140" s="28">
        <v>0</v>
      </c>
      <c r="AC140" s="28">
        <v>0</v>
      </c>
      <c r="AD140" s="28">
        <v>0</v>
      </c>
      <c r="AE140" s="25">
        <v>0.09</v>
      </c>
      <c r="AF140" s="26">
        <v>0.09</v>
      </c>
      <c r="AG140" s="29" t="s">
        <v>729</v>
      </c>
      <c r="AH140" s="30">
        <v>0.875</v>
      </c>
      <c r="AI140" s="26">
        <v>0.05</v>
      </c>
      <c r="AJ140" s="21">
        <v>0</v>
      </c>
      <c r="AK140" s="21">
        <v>0</v>
      </c>
      <c r="AL140" s="26">
        <v>0.1</v>
      </c>
      <c r="AM140" s="24">
        <v>0.69</v>
      </c>
      <c r="AN140" s="24">
        <v>0.74590163934426235</v>
      </c>
      <c r="AO140" s="31">
        <v>0.08</v>
      </c>
      <c r="AP140" s="31">
        <v>0.03</v>
      </c>
      <c r="AQ140" s="24">
        <v>0.82</v>
      </c>
      <c r="AR140" s="27">
        <v>0.83185840707964598</v>
      </c>
      <c r="AS140" s="26">
        <v>0.2</v>
      </c>
      <c r="AT140" s="26">
        <v>0.02</v>
      </c>
      <c r="AU140" s="24">
        <v>0.96822033898305082</v>
      </c>
      <c r="AV140" s="32">
        <v>8</v>
      </c>
      <c r="AW140" s="26">
        <v>0</v>
      </c>
      <c r="AX140" s="26">
        <v>0</v>
      </c>
      <c r="AY140" s="24">
        <v>0.71594218415417565</v>
      </c>
      <c r="AZ140" s="24">
        <v>0.75160599571734477</v>
      </c>
      <c r="BA140" s="31">
        <v>0.1</v>
      </c>
      <c r="BB140" s="33">
        <v>0.53</v>
      </c>
      <c r="BC140" s="21"/>
      <c r="BD140" s="26">
        <v>0.72</v>
      </c>
      <c r="BE140" s="26">
        <v>0.05</v>
      </c>
      <c r="BF140" s="26" t="s">
        <v>729</v>
      </c>
      <c r="BG140" s="21"/>
      <c r="BH140" s="34">
        <v>0</v>
      </c>
      <c r="BI140" s="34">
        <v>0.04</v>
      </c>
      <c r="BJ140" s="34" t="s">
        <v>259</v>
      </c>
      <c r="BK140" s="34">
        <v>0.04</v>
      </c>
      <c r="BL140" s="21"/>
      <c r="BM140" s="35">
        <v>0.73</v>
      </c>
    </row>
    <row r="141" spans="1:65" x14ac:dyDescent="0.25">
      <c r="A141" s="4" t="s">
        <v>63</v>
      </c>
      <c r="B141" s="4">
        <v>71716</v>
      </c>
      <c r="C141" s="4" t="s">
        <v>201</v>
      </c>
      <c r="D141" s="19" t="s">
        <v>255</v>
      </c>
      <c r="E141" s="20">
        <v>49828</v>
      </c>
      <c r="F141" s="20" t="s">
        <v>542</v>
      </c>
      <c r="G141" s="20" t="s">
        <v>543</v>
      </c>
      <c r="H141" s="2">
        <v>45760</v>
      </c>
      <c r="I141" s="2" t="s">
        <v>353</v>
      </c>
      <c r="J141" s="2" t="s">
        <v>353</v>
      </c>
      <c r="K141" s="21">
        <v>15</v>
      </c>
      <c r="L141" s="21">
        <v>445500</v>
      </c>
      <c r="M141" s="21">
        <v>0</v>
      </c>
      <c r="N141" s="21">
        <v>372</v>
      </c>
      <c r="O141" s="21">
        <v>9</v>
      </c>
      <c r="P141" s="21">
        <v>342484</v>
      </c>
      <c r="Q141" s="22">
        <v>399.99475065616798</v>
      </c>
      <c r="R141" s="22">
        <v>300</v>
      </c>
      <c r="S141" s="23">
        <v>0</v>
      </c>
      <c r="T141" s="23">
        <v>0</v>
      </c>
      <c r="U141" s="24">
        <v>0.76876318742985406</v>
      </c>
      <c r="V141" s="25">
        <v>0</v>
      </c>
      <c r="W141" s="26">
        <v>0</v>
      </c>
      <c r="X141" s="27">
        <v>0.73333333333333328</v>
      </c>
      <c r="Y141" s="25">
        <v>0</v>
      </c>
      <c r="Z141" s="24">
        <v>0.73333333333333328</v>
      </c>
      <c r="AA141" s="25">
        <v>0</v>
      </c>
      <c r="AB141" s="28">
        <v>0</v>
      </c>
      <c r="AC141" s="28">
        <v>0</v>
      </c>
      <c r="AD141" s="28">
        <v>0</v>
      </c>
      <c r="AE141" s="25">
        <v>0.09</v>
      </c>
      <c r="AF141" s="26">
        <v>0.09</v>
      </c>
      <c r="AG141" s="29" t="s">
        <v>729</v>
      </c>
      <c r="AH141" s="30">
        <v>0.90500000000000003</v>
      </c>
      <c r="AI141" s="26">
        <v>0.1</v>
      </c>
      <c r="AJ141" s="21">
        <v>0</v>
      </c>
      <c r="AK141" s="21">
        <v>0</v>
      </c>
      <c r="AL141" s="26">
        <v>0.1</v>
      </c>
      <c r="AM141" s="24">
        <v>0.69</v>
      </c>
      <c r="AN141" s="24">
        <v>0.69841269841269837</v>
      </c>
      <c r="AO141" s="31">
        <v>0.08</v>
      </c>
      <c r="AP141" s="31">
        <v>0.03</v>
      </c>
      <c r="AQ141" s="24">
        <v>0.82</v>
      </c>
      <c r="AR141" s="27">
        <v>0.80327868852459017</v>
      </c>
      <c r="AS141" s="26">
        <v>0.125</v>
      </c>
      <c r="AT141" s="26">
        <v>0</v>
      </c>
      <c r="AU141" s="24">
        <v>0.96363636363636362</v>
      </c>
      <c r="AV141" s="32">
        <v>3</v>
      </c>
      <c r="AW141" s="26">
        <v>0.01</v>
      </c>
      <c r="AX141" s="26">
        <v>0</v>
      </c>
      <c r="AY141" s="24">
        <v>0.72000000000000008</v>
      </c>
      <c r="AZ141" s="24">
        <v>0.71111111111111114</v>
      </c>
      <c r="BA141" s="31">
        <v>0.05</v>
      </c>
      <c r="BB141" s="33">
        <v>0.46500000000000002</v>
      </c>
      <c r="BC141" s="21"/>
      <c r="BD141" s="26">
        <v>0.55500000000000005</v>
      </c>
      <c r="BE141" s="26">
        <v>0.03</v>
      </c>
      <c r="BF141" s="26" t="s">
        <v>729</v>
      </c>
      <c r="BG141" s="21"/>
      <c r="BH141" s="34">
        <v>0</v>
      </c>
      <c r="BI141" s="34">
        <v>0</v>
      </c>
      <c r="BJ141" s="34" t="s">
        <v>259</v>
      </c>
      <c r="BK141" s="34">
        <v>0</v>
      </c>
      <c r="BL141" s="21"/>
      <c r="BM141" s="35">
        <v>0.58500000000000008</v>
      </c>
    </row>
    <row r="142" spans="1:65" x14ac:dyDescent="0.25">
      <c r="A142" s="4" t="s">
        <v>63</v>
      </c>
      <c r="B142" s="4">
        <v>72665</v>
      </c>
      <c r="C142" s="4" t="s">
        <v>202</v>
      </c>
      <c r="D142" s="19" t="s">
        <v>255</v>
      </c>
      <c r="E142" s="20">
        <v>49830</v>
      </c>
      <c r="F142" s="20" t="s">
        <v>544</v>
      </c>
      <c r="G142" s="20" t="s">
        <v>545</v>
      </c>
      <c r="H142" s="2">
        <v>45760</v>
      </c>
      <c r="I142" s="2" t="s">
        <v>353</v>
      </c>
      <c r="J142" s="2" t="s">
        <v>353</v>
      </c>
      <c r="K142" s="21">
        <v>16</v>
      </c>
      <c r="L142" s="21">
        <v>475200</v>
      </c>
      <c r="M142" s="21">
        <v>0</v>
      </c>
      <c r="N142" s="21">
        <v>506</v>
      </c>
      <c r="O142" s="21">
        <v>0</v>
      </c>
      <c r="P142" s="21">
        <v>443278</v>
      </c>
      <c r="Q142" s="22">
        <v>383.16007905138338</v>
      </c>
      <c r="R142" s="22">
        <v>300</v>
      </c>
      <c r="S142" s="23">
        <v>0</v>
      </c>
      <c r="T142" s="23">
        <v>0</v>
      </c>
      <c r="U142" s="24">
        <v>0.93282407407407408</v>
      </c>
      <c r="V142" s="25">
        <v>0.1</v>
      </c>
      <c r="W142" s="26">
        <v>0.1</v>
      </c>
      <c r="X142" s="27">
        <v>0.9375</v>
      </c>
      <c r="Y142" s="25">
        <v>0</v>
      </c>
      <c r="Z142" s="24">
        <v>0.875</v>
      </c>
      <c r="AA142" s="25">
        <v>0</v>
      </c>
      <c r="AB142" s="28">
        <v>0</v>
      </c>
      <c r="AC142" s="28">
        <v>0</v>
      </c>
      <c r="AD142" s="28">
        <v>0</v>
      </c>
      <c r="AE142" s="25">
        <v>0.09</v>
      </c>
      <c r="AF142" s="26">
        <v>0.09</v>
      </c>
      <c r="AG142" s="29" t="s">
        <v>729</v>
      </c>
      <c r="AH142" s="30">
        <v>0.95</v>
      </c>
      <c r="AI142" s="26">
        <v>0.1</v>
      </c>
      <c r="AJ142" s="21">
        <v>0</v>
      </c>
      <c r="AK142" s="21">
        <v>0</v>
      </c>
      <c r="AL142" s="26">
        <v>0.1</v>
      </c>
      <c r="AM142" s="24">
        <v>0.69</v>
      </c>
      <c r="AN142" s="24">
        <v>0.54385964912280704</v>
      </c>
      <c r="AO142" s="31">
        <v>0</v>
      </c>
      <c r="AP142" s="31">
        <v>0</v>
      </c>
      <c r="AQ142" s="24">
        <v>0.82</v>
      </c>
      <c r="AR142" s="27">
        <v>0.72</v>
      </c>
      <c r="AS142" s="26">
        <v>0</v>
      </c>
      <c r="AT142" s="26">
        <v>0</v>
      </c>
      <c r="AU142" s="24">
        <v>0.97948717948717945</v>
      </c>
      <c r="AV142" s="32">
        <v>4</v>
      </c>
      <c r="AW142" s="26">
        <v>0</v>
      </c>
      <c r="AX142" s="26">
        <v>0</v>
      </c>
      <c r="AY142" s="24">
        <v>0.6967810026385225</v>
      </c>
      <c r="AZ142" s="24">
        <v>0.71240105540897103</v>
      </c>
      <c r="BA142" s="31">
        <v>0.1</v>
      </c>
      <c r="BB142" s="33">
        <v>0.30000000000000004</v>
      </c>
      <c r="BC142" s="21"/>
      <c r="BD142" s="26">
        <v>0.49</v>
      </c>
      <c r="BE142" s="26">
        <v>0</v>
      </c>
      <c r="BF142" s="26" t="s">
        <v>729</v>
      </c>
      <c r="BG142" s="21"/>
      <c r="BH142" s="34">
        <v>0</v>
      </c>
      <c r="BI142" s="34">
        <v>0</v>
      </c>
      <c r="BJ142" s="34" t="s">
        <v>259</v>
      </c>
      <c r="BK142" s="34">
        <v>0</v>
      </c>
      <c r="BL142" s="21"/>
      <c r="BM142" s="35">
        <v>0.49</v>
      </c>
    </row>
    <row r="143" spans="1:65" x14ac:dyDescent="0.25">
      <c r="A143" s="4" t="s">
        <v>63</v>
      </c>
      <c r="B143" s="4">
        <v>71745</v>
      </c>
      <c r="C143" s="4" t="s">
        <v>203</v>
      </c>
      <c r="D143" s="19" t="s">
        <v>255</v>
      </c>
      <c r="E143" s="20">
        <v>49847</v>
      </c>
      <c r="F143" s="20" t="s">
        <v>546</v>
      </c>
      <c r="G143" s="20" t="s">
        <v>547</v>
      </c>
      <c r="H143" s="2">
        <v>45760</v>
      </c>
      <c r="I143" s="2" t="s">
        <v>353</v>
      </c>
      <c r="J143" s="2" t="s">
        <v>353</v>
      </c>
      <c r="K143" s="21">
        <v>17</v>
      </c>
      <c r="L143" s="21">
        <v>504900</v>
      </c>
      <c r="M143" s="21">
        <v>0</v>
      </c>
      <c r="N143" s="21">
        <v>487</v>
      </c>
      <c r="O143" s="21">
        <v>19</v>
      </c>
      <c r="P143" s="21">
        <v>445107</v>
      </c>
      <c r="Q143" s="22">
        <v>419.11660079051381</v>
      </c>
      <c r="R143" s="22">
        <v>300</v>
      </c>
      <c r="S143" s="23">
        <v>0</v>
      </c>
      <c r="T143" s="23">
        <v>0</v>
      </c>
      <c r="U143" s="24">
        <v>0.88157456922162802</v>
      </c>
      <c r="V143" s="25">
        <v>0.1</v>
      </c>
      <c r="W143" s="26">
        <v>0.1</v>
      </c>
      <c r="X143" s="27">
        <v>0.88235294117647056</v>
      </c>
      <c r="Y143" s="25">
        <v>0</v>
      </c>
      <c r="Z143" s="24">
        <v>1</v>
      </c>
      <c r="AA143" s="25">
        <v>0.04</v>
      </c>
      <c r="AB143" s="28">
        <v>0</v>
      </c>
      <c r="AC143" s="28">
        <v>0</v>
      </c>
      <c r="AD143" s="28">
        <v>0</v>
      </c>
      <c r="AE143" s="25">
        <v>0.09</v>
      </c>
      <c r="AF143" s="26">
        <v>0.13</v>
      </c>
      <c r="AG143" s="29" t="s">
        <v>729</v>
      </c>
      <c r="AH143" s="30">
        <v>0.90500000000000003</v>
      </c>
      <c r="AI143" s="26">
        <v>0.1</v>
      </c>
      <c r="AJ143" s="21">
        <v>0</v>
      </c>
      <c r="AK143" s="21">
        <v>0</v>
      </c>
      <c r="AL143" s="26">
        <v>0.1</v>
      </c>
      <c r="AM143" s="24">
        <v>0.69</v>
      </c>
      <c r="AN143" s="24">
        <v>0.71764705882352942</v>
      </c>
      <c r="AO143" s="31">
        <v>0.08</v>
      </c>
      <c r="AP143" s="31">
        <v>0.03</v>
      </c>
      <c r="AQ143" s="24">
        <v>0.82</v>
      </c>
      <c r="AR143" s="27">
        <v>0.8</v>
      </c>
      <c r="AS143" s="26">
        <v>0.125</v>
      </c>
      <c r="AT143" s="26">
        <v>0</v>
      </c>
      <c r="AU143" s="24">
        <v>0.98847926267281105</v>
      </c>
      <c r="AV143" s="32">
        <v>1</v>
      </c>
      <c r="AW143" s="26">
        <v>0.05</v>
      </c>
      <c r="AX143" s="26">
        <v>0</v>
      </c>
      <c r="AY143" s="24">
        <v>0.7263701923076924</v>
      </c>
      <c r="AZ143" s="24">
        <v>0.75961538461538458</v>
      </c>
      <c r="BA143" s="31">
        <v>0.1</v>
      </c>
      <c r="BB143" s="33">
        <v>0.55500000000000005</v>
      </c>
      <c r="BC143" s="21"/>
      <c r="BD143" s="26">
        <v>0.78500000000000003</v>
      </c>
      <c r="BE143" s="26">
        <v>0.03</v>
      </c>
      <c r="BF143" s="26" t="s">
        <v>729</v>
      </c>
      <c r="BG143" s="21"/>
      <c r="BH143" s="34">
        <v>0</v>
      </c>
      <c r="BI143" s="34">
        <v>0</v>
      </c>
      <c r="BJ143" s="34" t="s">
        <v>259</v>
      </c>
      <c r="BK143" s="34">
        <v>0</v>
      </c>
      <c r="BL143" s="21"/>
      <c r="BM143" s="35">
        <v>0.81500000000000006</v>
      </c>
    </row>
    <row r="144" spans="1:65" x14ac:dyDescent="0.25">
      <c r="A144" s="4" t="s">
        <v>63</v>
      </c>
      <c r="B144" s="4">
        <v>71756</v>
      </c>
      <c r="C144" s="4" t="s">
        <v>204</v>
      </c>
      <c r="D144" s="19" t="s">
        <v>255</v>
      </c>
      <c r="E144" s="20">
        <v>49865</v>
      </c>
      <c r="F144" s="20" t="s">
        <v>548</v>
      </c>
      <c r="G144" s="20" t="s">
        <v>549</v>
      </c>
      <c r="H144" s="2">
        <v>45760</v>
      </c>
      <c r="I144" s="2" t="s">
        <v>353</v>
      </c>
      <c r="J144" s="2" t="s">
        <v>353</v>
      </c>
      <c r="K144" s="21">
        <v>16</v>
      </c>
      <c r="L144" s="21">
        <v>475200</v>
      </c>
      <c r="M144" s="21">
        <v>0</v>
      </c>
      <c r="N144" s="21">
        <v>500</v>
      </c>
      <c r="O144" s="21">
        <v>1</v>
      </c>
      <c r="P144" s="21">
        <v>443386</v>
      </c>
      <c r="Q144" s="22">
        <v>390.96007984031934</v>
      </c>
      <c r="R144" s="22">
        <v>300</v>
      </c>
      <c r="S144" s="23">
        <v>0</v>
      </c>
      <c r="T144" s="23">
        <v>0</v>
      </c>
      <c r="U144" s="24">
        <v>0.93305134680134683</v>
      </c>
      <c r="V144" s="25">
        <v>0.1</v>
      </c>
      <c r="W144" s="26">
        <v>0.1</v>
      </c>
      <c r="X144" s="27">
        <v>0.8125</v>
      </c>
      <c r="Y144" s="25">
        <v>0</v>
      </c>
      <c r="Z144" s="24">
        <v>1</v>
      </c>
      <c r="AA144" s="25">
        <v>0.04</v>
      </c>
      <c r="AB144" s="28">
        <v>0</v>
      </c>
      <c r="AC144" s="28">
        <v>0</v>
      </c>
      <c r="AD144" s="28">
        <v>0</v>
      </c>
      <c r="AE144" s="25">
        <v>0.09</v>
      </c>
      <c r="AF144" s="26">
        <v>0.13</v>
      </c>
      <c r="AG144" s="29" t="s">
        <v>729</v>
      </c>
      <c r="AH144" s="30">
        <v>0.85499999999999998</v>
      </c>
      <c r="AI144" s="26">
        <v>0.05</v>
      </c>
      <c r="AJ144" s="21">
        <v>0</v>
      </c>
      <c r="AK144" s="21">
        <v>0</v>
      </c>
      <c r="AL144" s="26">
        <v>0.1</v>
      </c>
      <c r="AM144" s="24">
        <v>0.69</v>
      </c>
      <c r="AN144" s="24">
        <v>0.69565217391304346</v>
      </c>
      <c r="AO144" s="31">
        <v>0.08</v>
      </c>
      <c r="AP144" s="31">
        <v>0.03</v>
      </c>
      <c r="AQ144" s="24">
        <v>0.82</v>
      </c>
      <c r="AR144" s="27">
        <v>0.76119402985074625</v>
      </c>
      <c r="AS144" s="26">
        <v>0.02</v>
      </c>
      <c r="AT144" s="26">
        <v>0</v>
      </c>
      <c r="AU144" s="24">
        <v>0.98</v>
      </c>
      <c r="AV144" s="32">
        <v>4</v>
      </c>
      <c r="AW144" s="26">
        <v>0</v>
      </c>
      <c r="AX144" s="26">
        <v>0</v>
      </c>
      <c r="AY144" s="24">
        <v>0.72276923076923072</v>
      </c>
      <c r="AZ144" s="24">
        <v>0.74358974358974361</v>
      </c>
      <c r="BA144" s="31">
        <v>0.1</v>
      </c>
      <c r="BB144" s="33">
        <v>0.35</v>
      </c>
      <c r="BC144" s="21"/>
      <c r="BD144" s="26">
        <v>0.57999999999999996</v>
      </c>
      <c r="BE144" s="26">
        <v>0.03</v>
      </c>
      <c r="BF144" s="26" t="s">
        <v>729</v>
      </c>
      <c r="BG144" s="21"/>
      <c r="BH144" s="34">
        <v>0</v>
      </c>
      <c r="BI144" s="34">
        <v>0</v>
      </c>
      <c r="BJ144" s="34" t="s">
        <v>259</v>
      </c>
      <c r="BK144" s="34">
        <v>0</v>
      </c>
      <c r="BL144" s="21"/>
      <c r="BM144" s="35">
        <v>0.61</v>
      </c>
    </row>
    <row r="145" spans="1:65" x14ac:dyDescent="0.25">
      <c r="A145" s="4" t="s">
        <v>63</v>
      </c>
      <c r="B145" s="4">
        <v>71782</v>
      </c>
      <c r="C145" s="4" t="s">
        <v>205</v>
      </c>
      <c r="D145" s="19" t="s">
        <v>255</v>
      </c>
      <c r="E145" s="20">
        <v>49848</v>
      </c>
      <c r="F145" s="20" t="s">
        <v>550</v>
      </c>
      <c r="G145" s="20" t="s">
        <v>551</v>
      </c>
      <c r="H145" s="2">
        <v>45760</v>
      </c>
      <c r="I145" s="2" t="s">
        <v>353</v>
      </c>
      <c r="J145" s="2" t="s">
        <v>353</v>
      </c>
      <c r="K145" s="21">
        <v>18</v>
      </c>
      <c r="L145" s="21">
        <v>534600</v>
      </c>
      <c r="M145" s="21">
        <v>0</v>
      </c>
      <c r="N145" s="21">
        <v>708</v>
      </c>
      <c r="O145" s="21">
        <v>0</v>
      </c>
      <c r="P145" s="21">
        <v>444486</v>
      </c>
      <c r="Q145" s="22">
        <v>324.51129943502826</v>
      </c>
      <c r="R145" s="22">
        <v>300</v>
      </c>
      <c r="S145" s="23">
        <v>0</v>
      </c>
      <c r="T145" s="23">
        <v>0</v>
      </c>
      <c r="U145" s="24">
        <v>0.83143658810325471</v>
      </c>
      <c r="V145" s="25">
        <v>0.1</v>
      </c>
      <c r="W145" s="26">
        <v>0.1</v>
      </c>
      <c r="X145" s="27">
        <v>0.88888888888888884</v>
      </c>
      <c r="Y145" s="25">
        <v>0</v>
      </c>
      <c r="Z145" s="24">
        <v>1</v>
      </c>
      <c r="AA145" s="25">
        <v>0.04</v>
      </c>
      <c r="AB145" s="28">
        <v>0</v>
      </c>
      <c r="AC145" s="28">
        <v>0</v>
      </c>
      <c r="AD145" s="28">
        <v>0</v>
      </c>
      <c r="AE145" s="25">
        <v>0.09</v>
      </c>
      <c r="AF145" s="26">
        <v>0.13</v>
      </c>
      <c r="AG145" s="29" t="s">
        <v>729</v>
      </c>
      <c r="AH145" s="30">
        <v>0.98499999999999999</v>
      </c>
      <c r="AI145" s="26">
        <v>0.1</v>
      </c>
      <c r="AJ145" s="21">
        <v>0</v>
      </c>
      <c r="AK145" s="21">
        <v>0</v>
      </c>
      <c r="AL145" s="26">
        <v>0.1</v>
      </c>
      <c r="AM145" s="24">
        <v>0.67046511627906968</v>
      </c>
      <c r="AN145" s="24">
        <v>0.65116279069767447</v>
      </c>
      <c r="AO145" s="31">
        <v>0.06</v>
      </c>
      <c r="AP145" s="31">
        <v>0</v>
      </c>
      <c r="AQ145" s="24">
        <v>0.80189873417721513</v>
      </c>
      <c r="AR145" s="27">
        <v>0.79746835443037978</v>
      </c>
      <c r="AS145" s="26">
        <v>0.125</v>
      </c>
      <c r="AT145" s="26">
        <v>0</v>
      </c>
      <c r="AU145" s="24">
        <v>0.95716639209225696</v>
      </c>
      <c r="AV145" s="32">
        <v>15</v>
      </c>
      <c r="AW145" s="26">
        <v>0</v>
      </c>
      <c r="AX145" s="26">
        <v>0</v>
      </c>
      <c r="AY145" s="24">
        <v>0.67964705882352938</v>
      </c>
      <c r="AZ145" s="24">
        <v>0.72436974789915964</v>
      </c>
      <c r="BA145" s="31">
        <v>0.1</v>
      </c>
      <c r="BB145" s="33">
        <v>0.48499999999999999</v>
      </c>
      <c r="BC145" s="21"/>
      <c r="BD145" s="26">
        <v>0.71499999999999997</v>
      </c>
      <c r="BE145" s="26">
        <v>0</v>
      </c>
      <c r="BF145" s="26" t="s">
        <v>729</v>
      </c>
      <c r="BG145" s="21"/>
      <c r="BH145" s="34">
        <v>0</v>
      </c>
      <c r="BI145" s="34">
        <v>0.11</v>
      </c>
      <c r="BJ145" s="34" t="s">
        <v>259</v>
      </c>
      <c r="BK145" s="34">
        <v>0.11</v>
      </c>
      <c r="BL145" s="21"/>
      <c r="BM145" s="35">
        <v>0.60499999999999998</v>
      </c>
    </row>
    <row r="146" spans="1:65" x14ac:dyDescent="0.25">
      <c r="A146" s="4" t="s">
        <v>63</v>
      </c>
      <c r="B146" s="4">
        <v>71785</v>
      </c>
      <c r="C146" s="4" t="s">
        <v>206</v>
      </c>
      <c r="D146" s="19" t="s">
        <v>255</v>
      </c>
      <c r="E146" s="20">
        <v>49836</v>
      </c>
      <c r="F146" s="20" t="s">
        <v>552</v>
      </c>
      <c r="G146" s="20" t="s">
        <v>553</v>
      </c>
      <c r="H146" s="2">
        <v>45760</v>
      </c>
      <c r="I146" s="2" t="s">
        <v>353</v>
      </c>
      <c r="J146" s="2" t="s">
        <v>353</v>
      </c>
      <c r="K146" s="21">
        <v>20</v>
      </c>
      <c r="L146" s="21">
        <v>594000</v>
      </c>
      <c r="M146" s="21">
        <v>0</v>
      </c>
      <c r="N146" s="21">
        <v>619</v>
      </c>
      <c r="O146" s="21">
        <v>17</v>
      </c>
      <c r="P146" s="21">
        <v>541669</v>
      </c>
      <c r="Q146" s="22">
        <v>477.79402515723268</v>
      </c>
      <c r="R146" s="22">
        <v>300</v>
      </c>
      <c r="S146" s="23">
        <v>0</v>
      </c>
      <c r="T146" s="23">
        <v>0</v>
      </c>
      <c r="U146" s="24">
        <v>0.91190067340067338</v>
      </c>
      <c r="V146" s="25">
        <v>0.1</v>
      </c>
      <c r="W146" s="26">
        <v>0.1</v>
      </c>
      <c r="X146" s="27">
        <v>0.85</v>
      </c>
      <c r="Y146" s="25">
        <v>0</v>
      </c>
      <c r="Z146" s="24">
        <v>0.9</v>
      </c>
      <c r="AA146" s="25">
        <v>0</v>
      </c>
      <c r="AB146" s="28">
        <v>0</v>
      </c>
      <c r="AC146" s="28">
        <v>0</v>
      </c>
      <c r="AD146" s="28">
        <v>0</v>
      </c>
      <c r="AE146" s="25">
        <v>0.09</v>
      </c>
      <c r="AF146" s="26">
        <v>0.09</v>
      </c>
      <c r="AG146" s="29" t="s">
        <v>729</v>
      </c>
      <c r="AH146" s="30">
        <v>0.98</v>
      </c>
      <c r="AI146" s="26">
        <v>0.1</v>
      </c>
      <c r="AJ146" s="21">
        <v>0</v>
      </c>
      <c r="AK146" s="21">
        <v>0</v>
      </c>
      <c r="AL146" s="26">
        <v>0.1</v>
      </c>
      <c r="AM146" s="24">
        <v>0.68870370370370371</v>
      </c>
      <c r="AN146" s="24">
        <v>0.67592592592592593</v>
      </c>
      <c r="AO146" s="31">
        <v>0.06</v>
      </c>
      <c r="AP146" s="31">
        <v>0</v>
      </c>
      <c r="AQ146" s="24">
        <v>0.81861702127659564</v>
      </c>
      <c r="AR146" s="27">
        <v>0.7978723404255319</v>
      </c>
      <c r="AS146" s="26">
        <v>7.4999999999999997E-2</v>
      </c>
      <c r="AT146" s="26">
        <v>0</v>
      </c>
      <c r="AU146" s="24">
        <v>0.97666068222621183</v>
      </c>
      <c r="AV146" s="32">
        <v>5</v>
      </c>
      <c r="AW146" s="26">
        <v>0</v>
      </c>
      <c r="AX146" s="26">
        <v>0</v>
      </c>
      <c r="AY146" s="24">
        <v>0.7293421052631579</v>
      </c>
      <c r="AZ146" s="24">
        <v>0.75187969924812026</v>
      </c>
      <c r="BA146" s="31">
        <v>0.1</v>
      </c>
      <c r="BB146" s="33">
        <v>0.43500000000000005</v>
      </c>
      <c r="BC146" s="21"/>
      <c r="BD146" s="26">
        <v>0.625</v>
      </c>
      <c r="BE146" s="26">
        <v>0</v>
      </c>
      <c r="BF146" s="26" t="s">
        <v>729</v>
      </c>
      <c r="BG146" s="21"/>
      <c r="BH146" s="34">
        <v>0</v>
      </c>
      <c r="BI146" s="34">
        <v>0.01</v>
      </c>
      <c r="BJ146" s="34" t="s">
        <v>259</v>
      </c>
      <c r="BK146" s="34">
        <v>0.01</v>
      </c>
      <c r="BL146" s="21"/>
      <c r="BM146" s="35">
        <v>0.61499999999999999</v>
      </c>
    </row>
    <row r="147" spans="1:65" x14ac:dyDescent="0.25">
      <c r="A147" s="4" t="s">
        <v>63</v>
      </c>
      <c r="B147" s="4">
        <v>71773</v>
      </c>
      <c r="C147" s="4" t="s">
        <v>207</v>
      </c>
      <c r="D147" s="19" t="s">
        <v>255</v>
      </c>
      <c r="E147" s="20">
        <v>49870</v>
      </c>
      <c r="F147" s="20" t="s">
        <v>554</v>
      </c>
      <c r="G147" s="20" t="s">
        <v>555</v>
      </c>
      <c r="H147" s="2">
        <v>45760</v>
      </c>
      <c r="I147" s="2" t="s">
        <v>353</v>
      </c>
      <c r="J147" s="2" t="s">
        <v>353</v>
      </c>
      <c r="K147" s="21">
        <v>21</v>
      </c>
      <c r="L147" s="21">
        <v>623700</v>
      </c>
      <c r="M147" s="21">
        <v>0</v>
      </c>
      <c r="N147" s="21">
        <v>702</v>
      </c>
      <c r="O147" s="21">
        <v>5</v>
      </c>
      <c r="P147" s="21">
        <v>579790</v>
      </c>
      <c r="Q147" s="22">
        <v>388.24611032531823</v>
      </c>
      <c r="R147" s="22">
        <v>300</v>
      </c>
      <c r="S147" s="23">
        <v>0</v>
      </c>
      <c r="T147" s="23">
        <v>0</v>
      </c>
      <c r="U147" s="24">
        <v>0.92959756293089624</v>
      </c>
      <c r="V147" s="25">
        <v>0.1</v>
      </c>
      <c r="W147" s="26">
        <v>0.1</v>
      </c>
      <c r="X147" s="27">
        <v>1</v>
      </c>
      <c r="Y147" s="25">
        <v>0.04</v>
      </c>
      <c r="Z147" s="24">
        <v>0.95238095238095233</v>
      </c>
      <c r="AA147" s="25">
        <v>0.04</v>
      </c>
      <c r="AB147" s="28">
        <v>0</v>
      </c>
      <c r="AC147" s="28">
        <v>0</v>
      </c>
      <c r="AD147" s="28">
        <v>0</v>
      </c>
      <c r="AE147" s="25">
        <v>0.09</v>
      </c>
      <c r="AF147" s="26">
        <v>0.17</v>
      </c>
      <c r="AG147" s="29" t="s">
        <v>729</v>
      </c>
      <c r="AH147" s="30">
        <v>0.98</v>
      </c>
      <c r="AI147" s="26">
        <v>0.1</v>
      </c>
      <c r="AJ147" s="21">
        <v>0</v>
      </c>
      <c r="AK147" s="21">
        <v>0</v>
      </c>
      <c r="AL147" s="26">
        <v>0.1</v>
      </c>
      <c r="AM147" s="24">
        <v>0.68517241379310334</v>
      </c>
      <c r="AN147" s="24">
        <v>0.72413793103448276</v>
      </c>
      <c r="AO147" s="31">
        <v>0.08</v>
      </c>
      <c r="AP147" s="31">
        <v>0.03</v>
      </c>
      <c r="AQ147" s="24">
        <v>0.81506329113924036</v>
      </c>
      <c r="AR147" s="27">
        <v>0.79746835443037978</v>
      </c>
      <c r="AS147" s="26">
        <v>0.125</v>
      </c>
      <c r="AT147" s="26">
        <v>0</v>
      </c>
      <c r="AU147" s="24">
        <v>0.97777777777777775</v>
      </c>
      <c r="AV147" s="32">
        <v>12</v>
      </c>
      <c r="AW147" s="26">
        <v>0</v>
      </c>
      <c r="AX147" s="26">
        <v>0</v>
      </c>
      <c r="AY147" s="24">
        <v>0.72137735849056617</v>
      </c>
      <c r="AZ147" s="24">
        <v>0.69056603773584901</v>
      </c>
      <c r="BA147" s="31">
        <v>0</v>
      </c>
      <c r="BB147" s="33">
        <v>0.40500000000000003</v>
      </c>
      <c r="BC147" s="21"/>
      <c r="BD147" s="26">
        <v>0.67500000000000004</v>
      </c>
      <c r="BE147" s="26">
        <v>0.03</v>
      </c>
      <c r="BF147" s="26" t="s">
        <v>729</v>
      </c>
      <c r="BG147" s="21"/>
      <c r="BH147" s="34">
        <v>0</v>
      </c>
      <c r="BI147" s="34">
        <v>0.08</v>
      </c>
      <c r="BJ147" s="34" t="s">
        <v>259</v>
      </c>
      <c r="BK147" s="34">
        <v>0.08</v>
      </c>
      <c r="BL147" s="21"/>
      <c r="BM147" s="35">
        <v>0.62500000000000011</v>
      </c>
    </row>
    <row r="148" spans="1:65" x14ac:dyDescent="0.25">
      <c r="A148" s="4" t="s">
        <v>63</v>
      </c>
      <c r="B148" s="4">
        <v>71780</v>
      </c>
      <c r="C148" s="4" t="s">
        <v>208</v>
      </c>
      <c r="D148" s="19" t="s">
        <v>255</v>
      </c>
      <c r="E148" s="20">
        <v>49866</v>
      </c>
      <c r="F148" s="20" t="s">
        <v>556</v>
      </c>
      <c r="G148" s="20" t="s">
        <v>557</v>
      </c>
      <c r="H148" s="2">
        <v>45760</v>
      </c>
      <c r="I148" s="2" t="s">
        <v>353</v>
      </c>
      <c r="J148" s="2" t="s">
        <v>353</v>
      </c>
      <c r="K148" s="21">
        <v>17</v>
      </c>
      <c r="L148" s="21">
        <v>504900</v>
      </c>
      <c r="M148" s="21">
        <v>0</v>
      </c>
      <c r="N148" s="21">
        <v>627</v>
      </c>
      <c r="O148" s="21">
        <v>0</v>
      </c>
      <c r="P148" s="21">
        <v>472860</v>
      </c>
      <c r="Q148" s="22">
        <v>357.70175438596493</v>
      </c>
      <c r="R148" s="22">
        <v>300</v>
      </c>
      <c r="S148" s="23">
        <v>0</v>
      </c>
      <c r="T148" s="23">
        <v>0</v>
      </c>
      <c r="U148" s="24">
        <v>0.93654188948306594</v>
      </c>
      <c r="V148" s="25">
        <v>0.1</v>
      </c>
      <c r="W148" s="26">
        <v>0.1</v>
      </c>
      <c r="X148" s="27">
        <v>0.76470588235294112</v>
      </c>
      <c r="Y148" s="25">
        <v>0</v>
      </c>
      <c r="Z148" s="24">
        <v>0.94117647058823528</v>
      </c>
      <c r="AA148" s="25">
        <v>0</v>
      </c>
      <c r="AB148" s="28">
        <v>0</v>
      </c>
      <c r="AC148" s="28">
        <v>0</v>
      </c>
      <c r="AD148" s="28">
        <v>0</v>
      </c>
      <c r="AE148" s="25">
        <v>0.09</v>
      </c>
      <c r="AF148" s="26">
        <v>0.09</v>
      </c>
      <c r="AG148" s="29" t="s">
        <v>729</v>
      </c>
      <c r="AH148" s="30">
        <v>0.97499999999999998</v>
      </c>
      <c r="AI148" s="26">
        <v>0.1</v>
      </c>
      <c r="AJ148" s="21">
        <v>0</v>
      </c>
      <c r="AK148" s="21">
        <v>0</v>
      </c>
      <c r="AL148" s="26">
        <v>0.1</v>
      </c>
      <c r="AM148" s="24">
        <v>0.68186046511627896</v>
      </c>
      <c r="AN148" s="24">
        <v>0.69767441860465118</v>
      </c>
      <c r="AO148" s="31">
        <v>0.08</v>
      </c>
      <c r="AP148" s="31">
        <v>0.03</v>
      </c>
      <c r="AQ148" s="24">
        <v>0.81166666666666665</v>
      </c>
      <c r="AR148" s="27">
        <v>0.78205128205128205</v>
      </c>
      <c r="AS148" s="26">
        <v>7.4999999999999997E-2</v>
      </c>
      <c r="AT148" s="26">
        <v>0</v>
      </c>
      <c r="AU148" s="24">
        <v>0.96903460837887068</v>
      </c>
      <c r="AV148" s="32">
        <v>6</v>
      </c>
      <c r="AW148" s="26">
        <v>0</v>
      </c>
      <c r="AX148" s="26">
        <v>0</v>
      </c>
      <c r="AY148" s="24">
        <v>0.6847166361974405</v>
      </c>
      <c r="AZ148" s="24">
        <v>0.70201096892138937</v>
      </c>
      <c r="BA148" s="31">
        <v>0.1</v>
      </c>
      <c r="BB148" s="33">
        <v>0.45499999999999996</v>
      </c>
      <c r="BC148" s="21"/>
      <c r="BD148" s="26">
        <v>0.64499999999999991</v>
      </c>
      <c r="BE148" s="26">
        <v>0.03</v>
      </c>
      <c r="BF148" s="26" t="s">
        <v>729</v>
      </c>
      <c r="BG148" s="21"/>
      <c r="BH148" s="34">
        <v>0</v>
      </c>
      <c r="BI148" s="34">
        <v>0.02</v>
      </c>
      <c r="BJ148" s="34" t="s">
        <v>259</v>
      </c>
      <c r="BK148" s="34">
        <v>0.02</v>
      </c>
      <c r="BL148" s="21"/>
      <c r="BM148" s="35">
        <v>0.65499999999999992</v>
      </c>
    </row>
    <row r="149" spans="1:65" x14ac:dyDescent="0.25">
      <c r="A149" s="4" t="s">
        <v>63</v>
      </c>
      <c r="B149" s="4">
        <v>71786</v>
      </c>
      <c r="C149" s="4" t="s">
        <v>209</v>
      </c>
      <c r="D149" s="19" t="s">
        <v>255</v>
      </c>
      <c r="E149" s="20">
        <v>49849</v>
      </c>
      <c r="F149" s="20" t="s">
        <v>558</v>
      </c>
      <c r="G149" s="20" t="s">
        <v>559</v>
      </c>
      <c r="H149" s="2">
        <v>45760</v>
      </c>
      <c r="I149" s="2" t="s">
        <v>353</v>
      </c>
      <c r="J149" s="2" t="s">
        <v>353</v>
      </c>
      <c r="K149" s="21">
        <v>16</v>
      </c>
      <c r="L149" s="21">
        <v>475200</v>
      </c>
      <c r="M149" s="21">
        <v>0</v>
      </c>
      <c r="N149" s="21">
        <v>465</v>
      </c>
      <c r="O149" s="21">
        <v>7</v>
      </c>
      <c r="P149" s="21">
        <v>461827</v>
      </c>
      <c r="Q149" s="22">
        <v>460.48093220338984</v>
      </c>
      <c r="R149" s="22">
        <v>300</v>
      </c>
      <c r="S149" s="23">
        <v>0</v>
      </c>
      <c r="T149" s="23">
        <v>0</v>
      </c>
      <c r="U149" s="24">
        <v>0.97185816498316502</v>
      </c>
      <c r="V149" s="25">
        <v>0.1</v>
      </c>
      <c r="W149" s="26">
        <v>0.1</v>
      </c>
      <c r="X149" s="27">
        <v>0.9375</v>
      </c>
      <c r="Y149" s="25">
        <v>0</v>
      </c>
      <c r="Z149" s="24">
        <v>0.9375</v>
      </c>
      <c r="AA149" s="25">
        <v>0</v>
      </c>
      <c r="AB149" s="28">
        <v>1</v>
      </c>
      <c r="AC149" s="28">
        <v>0</v>
      </c>
      <c r="AD149" s="28">
        <v>0</v>
      </c>
      <c r="AE149" s="25">
        <v>0</v>
      </c>
      <c r="AF149" s="26">
        <v>0</v>
      </c>
      <c r="AG149" s="29" t="s">
        <v>729</v>
      </c>
      <c r="AH149" s="30">
        <v>0.97499999999999998</v>
      </c>
      <c r="AI149" s="26">
        <v>0.1</v>
      </c>
      <c r="AJ149" s="21">
        <v>0</v>
      </c>
      <c r="AK149" s="21">
        <v>0</v>
      </c>
      <c r="AL149" s="26">
        <v>0.1</v>
      </c>
      <c r="AM149" s="24">
        <v>0.68538461538461537</v>
      </c>
      <c r="AN149" s="24">
        <v>0.74725274725274726</v>
      </c>
      <c r="AO149" s="31">
        <v>0.08</v>
      </c>
      <c r="AP149" s="31">
        <v>0.03</v>
      </c>
      <c r="AQ149" s="24">
        <v>0.81524390243902434</v>
      </c>
      <c r="AR149" s="27">
        <v>0.78048780487804881</v>
      </c>
      <c r="AS149" s="26">
        <v>7.4999999999999997E-2</v>
      </c>
      <c r="AT149" s="26">
        <v>0</v>
      </c>
      <c r="AU149" s="24">
        <v>0.99242424242424243</v>
      </c>
      <c r="AV149" s="32">
        <v>4</v>
      </c>
      <c r="AW149" s="26">
        <v>0</v>
      </c>
      <c r="AX149" s="26">
        <v>0</v>
      </c>
      <c r="AY149" s="24">
        <v>0.7267088607594937</v>
      </c>
      <c r="AZ149" s="24">
        <v>0.74177215189873413</v>
      </c>
      <c r="BA149" s="31">
        <v>0.1</v>
      </c>
      <c r="BB149" s="33">
        <v>0.45499999999999996</v>
      </c>
      <c r="BD149" s="26">
        <v>0.55499999999999994</v>
      </c>
      <c r="BE149" s="26">
        <v>0.03</v>
      </c>
      <c r="BF149" s="26" t="s">
        <v>729</v>
      </c>
      <c r="BH149" s="34">
        <v>0</v>
      </c>
      <c r="BI149" s="34">
        <v>0</v>
      </c>
      <c r="BJ149" s="34" t="s">
        <v>259</v>
      </c>
      <c r="BK149" s="34">
        <v>0</v>
      </c>
      <c r="BL149" s="21"/>
      <c r="BM149" s="35">
        <v>0.58499999999999996</v>
      </c>
    </row>
    <row r="150" spans="1:65" x14ac:dyDescent="0.25">
      <c r="A150" s="4" t="s">
        <v>63</v>
      </c>
      <c r="B150" s="4">
        <v>72671</v>
      </c>
      <c r="C150" s="4" t="s">
        <v>210</v>
      </c>
      <c r="D150" s="19" t="s">
        <v>255</v>
      </c>
      <c r="E150" s="20">
        <v>49831</v>
      </c>
      <c r="F150" s="20" t="s">
        <v>560</v>
      </c>
      <c r="G150" s="20" t="s">
        <v>561</v>
      </c>
      <c r="H150" s="2">
        <v>45760</v>
      </c>
      <c r="I150" s="2" t="s">
        <v>353</v>
      </c>
      <c r="J150" s="2" t="s">
        <v>353</v>
      </c>
      <c r="K150" s="21">
        <v>19</v>
      </c>
      <c r="L150" s="21">
        <v>564300</v>
      </c>
      <c r="M150" s="21">
        <v>0</v>
      </c>
      <c r="N150" s="21">
        <v>831</v>
      </c>
      <c r="O150" s="21">
        <v>29</v>
      </c>
      <c r="P150" s="21">
        <v>524452</v>
      </c>
      <c r="Q150" s="22">
        <v>299.33720930232556</v>
      </c>
      <c r="R150" s="22">
        <v>300</v>
      </c>
      <c r="S150" s="23">
        <v>0.1</v>
      </c>
      <c r="T150" s="23">
        <v>0</v>
      </c>
      <c r="U150" s="24">
        <v>0.92938507885876309</v>
      </c>
      <c r="V150" s="25">
        <v>0.1</v>
      </c>
      <c r="W150" s="26">
        <v>0.2</v>
      </c>
      <c r="X150" s="27">
        <v>0.89473684210526316</v>
      </c>
      <c r="Y150" s="25">
        <v>0</v>
      </c>
      <c r="Z150" s="24">
        <v>0.94736842105263153</v>
      </c>
      <c r="AA150" s="25">
        <v>0</v>
      </c>
      <c r="AB150" s="28">
        <v>0</v>
      </c>
      <c r="AC150" s="28">
        <v>0</v>
      </c>
      <c r="AD150" s="28">
        <v>0</v>
      </c>
      <c r="AE150" s="25">
        <v>0.09</v>
      </c>
      <c r="AF150" s="26">
        <v>0.09</v>
      </c>
      <c r="AG150" s="29" t="s">
        <v>729</v>
      </c>
      <c r="AH150" s="30">
        <v>1</v>
      </c>
      <c r="AI150" s="26">
        <v>0.1</v>
      </c>
      <c r="AJ150" s="21">
        <v>0</v>
      </c>
      <c r="AK150" s="21">
        <v>0</v>
      </c>
      <c r="AL150" s="26">
        <v>0.1</v>
      </c>
      <c r="AM150" s="24">
        <v>0.68879310344827582</v>
      </c>
      <c r="AN150" s="24">
        <v>0.67241379310344829</v>
      </c>
      <c r="AO150" s="31">
        <v>0.06</v>
      </c>
      <c r="AP150" s="31">
        <v>0</v>
      </c>
      <c r="AQ150" s="24">
        <v>0.81883928571428566</v>
      </c>
      <c r="AR150" s="27">
        <v>0.7589285714285714</v>
      </c>
      <c r="AS150" s="26">
        <v>0.02</v>
      </c>
      <c r="AT150" s="26">
        <v>0</v>
      </c>
      <c r="AU150" s="24">
        <v>0.98135818908122507</v>
      </c>
      <c r="AV150" s="32">
        <v>11</v>
      </c>
      <c r="AW150" s="26">
        <v>0</v>
      </c>
      <c r="AX150" s="26">
        <v>0</v>
      </c>
      <c r="AY150" s="24">
        <v>0.72879213483146066</v>
      </c>
      <c r="AZ150" s="24">
        <v>0.7485955056179775</v>
      </c>
      <c r="BA150" s="31">
        <v>0.1</v>
      </c>
      <c r="BB150" s="33">
        <v>0.38</v>
      </c>
      <c r="BD150" s="26">
        <v>0.66999999999999993</v>
      </c>
      <c r="BE150" s="26">
        <v>0</v>
      </c>
      <c r="BF150" s="26" t="s">
        <v>729</v>
      </c>
      <c r="BH150" s="34">
        <v>0</v>
      </c>
      <c r="BI150" s="34">
        <v>7.0000000000000007E-2</v>
      </c>
      <c r="BJ150" s="34" t="s">
        <v>259</v>
      </c>
      <c r="BK150" s="34">
        <v>7.0000000000000007E-2</v>
      </c>
      <c r="BL150" s="21"/>
      <c r="BM150" s="35">
        <v>0.59999999999999987</v>
      </c>
    </row>
    <row r="151" spans="1:65" x14ac:dyDescent="0.25">
      <c r="A151" s="4" t="s">
        <v>63</v>
      </c>
      <c r="B151" s="4">
        <v>71848</v>
      </c>
      <c r="C151" s="4" t="s">
        <v>211</v>
      </c>
      <c r="D151" s="19" t="s">
        <v>255</v>
      </c>
      <c r="E151" s="20">
        <v>49825</v>
      </c>
      <c r="F151" s="20" t="s">
        <v>562</v>
      </c>
      <c r="G151" s="20" t="s">
        <v>563</v>
      </c>
      <c r="H151" s="2">
        <v>45760</v>
      </c>
      <c r="I151" s="2" t="s">
        <v>353</v>
      </c>
      <c r="J151" s="2" t="s">
        <v>353</v>
      </c>
      <c r="K151" s="21">
        <v>17</v>
      </c>
      <c r="L151" s="21">
        <v>504900</v>
      </c>
      <c r="M151" s="21">
        <v>0</v>
      </c>
      <c r="N151" s="21">
        <v>582</v>
      </c>
      <c r="O151" s="21">
        <v>0</v>
      </c>
      <c r="P151" s="21">
        <v>337019</v>
      </c>
      <c r="Q151" s="22">
        <v>304.39690721649487</v>
      </c>
      <c r="R151" s="22">
        <v>300</v>
      </c>
      <c r="S151" s="23">
        <v>0.05</v>
      </c>
      <c r="T151" s="23">
        <v>0</v>
      </c>
      <c r="U151" s="24">
        <v>0.66749653396712216</v>
      </c>
      <c r="V151" s="25">
        <v>0</v>
      </c>
      <c r="W151" s="26">
        <v>0.05</v>
      </c>
      <c r="X151" s="27">
        <v>0.29411764705882354</v>
      </c>
      <c r="Y151" s="25">
        <v>0</v>
      </c>
      <c r="Z151" s="24">
        <v>0.82352941176470584</v>
      </c>
      <c r="AA151" s="25">
        <v>0</v>
      </c>
      <c r="AB151" s="28">
        <v>1</v>
      </c>
      <c r="AC151" s="28">
        <v>0</v>
      </c>
      <c r="AD151" s="28">
        <v>0</v>
      </c>
      <c r="AE151" s="25">
        <v>0</v>
      </c>
      <c r="AF151" s="26">
        <v>0</v>
      </c>
      <c r="AG151" s="29" t="s">
        <v>729</v>
      </c>
      <c r="AH151" s="30">
        <v>0.92500000000000004</v>
      </c>
      <c r="AI151" s="26">
        <v>0.1</v>
      </c>
      <c r="AJ151" s="21">
        <v>0</v>
      </c>
      <c r="AK151" s="21">
        <v>0</v>
      </c>
      <c r="AL151" s="26">
        <v>0.1</v>
      </c>
      <c r="AM151" s="24">
        <v>0.67999999999999994</v>
      </c>
      <c r="AN151" s="24">
        <v>0.74285714285714288</v>
      </c>
      <c r="AO151" s="31">
        <v>0.08</v>
      </c>
      <c r="AP151" s="31">
        <v>0.03</v>
      </c>
      <c r="AQ151" s="24">
        <v>0.8118749999999999</v>
      </c>
      <c r="AR151" s="27">
        <v>0.890625</v>
      </c>
      <c r="AS151" s="26">
        <v>0.2</v>
      </c>
      <c r="AT151" s="26">
        <v>0.1</v>
      </c>
      <c r="AU151" s="24">
        <v>0.98333333333333328</v>
      </c>
      <c r="AV151" s="32">
        <v>5</v>
      </c>
      <c r="AW151" s="26">
        <v>0</v>
      </c>
      <c r="AX151" s="26">
        <v>0</v>
      </c>
      <c r="AY151" s="24">
        <v>0.69611940298507469</v>
      </c>
      <c r="AZ151" s="24">
        <v>0.73134328358208955</v>
      </c>
      <c r="BA151" s="31">
        <v>0.1</v>
      </c>
      <c r="BB151" s="33">
        <v>0.57999999999999996</v>
      </c>
      <c r="BD151" s="26">
        <v>0.63</v>
      </c>
      <c r="BE151" s="26">
        <v>0.13</v>
      </c>
      <c r="BF151" s="26" t="s">
        <v>729</v>
      </c>
      <c r="BH151" s="34">
        <v>0</v>
      </c>
      <c r="BI151" s="34">
        <v>0.01</v>
      </c>
      <c r="BJ151" s="34" t="s">
        <v>259</v>
      </c>
      <c r="BK151" s="34">
        <v>0.01</v>
      </c>
      <c r="BL151" s="21"/>
      <c r="BM151" s="35">
        <v>0.75</v>
      </c>
    </row>
    <row r="152" spans="1:65" x14ac:dyDescent="0.25">
      <c r="A152" s="4" t="s">
        <v>63</v>
      </c>
      <c r="B152" s="4">
        <v>71871</v>
      </c>
      <c r="C152" s="4" t="s">
        <v>212</v>
      </c>
      <c r="D152" s="19" t="s">
        <v>255</v>
      </c>
      <c r="E152" s="20">
        <v>49826</v>
      </c>
      <c r="F152" s="20" t="s">
        <v>564</v>
      </c>
      <c r="G152" s="20" t="s">
        <v>565</v>
      </c>
      <c r="H152" s="2">
        <v>45760</v>
      </c>
      <c r="I152" s="2" t="s">
        <v>353</v>
      </c>
      <c r="J152" s="2" t="s">
        <v>353</v>
      </c>
      <c r="K152" s="21">
        <v>19</v>
      </c>
      <c r="L152" s="21">
        <v>564300</v>
      </c>
      <c r="M152" s="21">
        <v>0</v>
      </c>
      <c r="N152" s="21">
        <v>701</v>
      </c>
      <c r="O152" s="21">
        <v>24</v>
      </c>
      <c r="P152" s="21">
        <v>547647</v>
      </c>
      <c r="Q152" s="22">
        <v>396.63448275862066</v>
      </c>
      <c r="R152" s="22">
        <v>300</v>
      </c>
      <c r="S152" s="23">
        <v>0</v>
      </c>
      <c r="T152" s="23">
        <v>0</v>
      </c>
      <c r="U152" s="24">
        <v>0.97048910154173307</v>
      </c>
      <c r="V152" s="25">
        <v>0.1</v>
      </c>
      <c r="W152" s="26">
        <v>0.1</v>
      </c>
      <c r="X152" s="27">
        <v>0.89473684210526316</v>
      </c>
      <c r="Y152" s="25">
        <v>0</v>
      </c>
      <c r="Z152" s="24">
        <v>1</v>
      </c>
      <c r="AA152" s="25">
        <v>0.04</v>
      </c>
      <c r="AB152" s="28">
        <v>0</v>
      </c>
      <c r="AC152" s="28">
        <v>0</v>
      </c>
      <c r="AD152" s="28">
        <v>0</v>
      </c>
      <c r="AE152" s="25">
        <v>0.09</v>
      </c>
      <c r="AF152" s="26">
        <v>0.13</v>
      </c>
      <c r="AG152" s="29" t="s">
        <v>729</v>
      </c>
      <c r="AH152" s="30">
        <v>0.97499999999999998</v>
      </c>
      <c r="AI152" s="26">
        <v>0.1</v>
      </c>
      <c r="AJ152" s="21">
        <v>0</v>
      </c>
      <c r="AK152" s="21">
        <v>0</v>
      </c>
      <c r="AL152" s="26">
        <v>0.1</v>
      </c>
      <c r="AM152" s="24">
        <v>0.68435483870967739</v>
      </c>
      <c r="AN152" s="24">
        <v>0.68548387096774188</v>
      </c>
      <c r="AO152" s="31">
        <v>0.08</v>
      </c>
      <c r="AP152" s="31">
        <v>0.03</v>
      </c>
      <c r="AQ152" s="24">
        <v>0.81458333333333333</v>
      </c>
      <c r="AR152" s="27">
        <v>0.7</v>
      </c>
      <c r="AS152" s="26">
        <v>0</v>
      </c>
      <c r="AT152" s="26">
        <v>0</v>
      </c>
      <c r="AU152" s="24">
        <v>0.97169811320754718</v>
      </c>
      <c r="AV152" s="32">
        <v>3</v>
      </c>
      <c r="AW152" s="26">
        <v>0.01</v>
      </c>
      <c r="AX152" s="26">
        <v>0</v>
      </c>
      <c r="AY152" s="24">
        <v>0.72472727272727266</v>
      </c>
      <c r="AZ152" s="24">
        <v>0.76033057851239672</v>
      </c>
      <c r="BA152" s="31">
        <v>0.1</v>
      </c>
      <c r="BB152" s="33">
        <v>0.39</v>
      </c>
      <c r="BD152" s="26">
        <v>0.62</v>
      </c>
      <c r="BE152" s="26">
        <v>0.03</v>
      </c>
      <c r="BF152" s="26" t="s">
        <v>729</v>
      </c>
      <c r="BH152" s="34">
        <v>0</v>
      </c>
      <c r="BI152" s="34">
        <v>0</v>
      </c>
      <c r="BJ152" s="34" t="s">
        <v>259</v>
      </c>
      <c r="BK152" s="34">
        <v>0</v>
      </c>
      <c r="BL152" s="21"/>
      <c r="BM152" s="35">
        <v>0.65</v>
      </c>
    </row>
    <row r="153" spans="1:65" x14ac:dyDescent="0.25">
      <c r="A153" s="4" t="s">
        <v>63</v>
      </c>
      <c r="B153" s="4">
        <v>71923</v>
      </c>
      <c r="C153" s="4" t="s">
        <v>213</v>
      </c>
      <c r="D153" s="19" t="s">
        <v>255</v>
      </c>
      <c r="E153" s="20">
        <v>49854</v>
      </c>
      <c r="F153" s="20" t="s">
        <v>566</v>
      </c>
      <c r="G153" s="20" t="s">
        <v>567</v>
      </c>
      <c r="H153" s="2">
        <v>45760</v>
      </c>
      <c r="I153" s="2" t="s">
        <v>353</v>
      </c>
      <c r="J153" s="2" t="s">
        <v>353</v>
      </c>
      <c r="K153" s="21">
        <v>19</v>
      </c>
      <c r="L153" s="21">
        <v>564300</v>
      </c>
      <c r="M153" s="21">
        <v>0</v>
      </c>
      <c r="N153" s="21">
        <v>752</v>
      </c>
      <c r="O153" s="21">
        <v>12</v>
      </c>
      <c r="P153" s="21">
        <v>506936</v>
      </c>
      <c r="Q153" s="22">
        <v>285.64397905759165</v>
      </c>
      <c r="R153" s="22">
        <v>300</v>
      </c>
      <c r="S153" s="23">
        <v>0.1</v>
      </c>
      <c r="T153" s="23">
        <v>0.05</v>
      </c>
      <c r="U153" s="24">
        <v>0.89834485202906256</v>
      </c>
      <c r="V153" s="25">
        <v>0.1</v>
      </c>
      <c r="W153" s="26">
        <v>0.2</v>
      </c>
      <c r="X153" s="27">
        <v>0.89473684210526316</v>
      </c>
      <c r="Y153" s="25">
        <v>0</v>
      </c>
      <c r="Z153" s="24">
        <v>0.89473684210526316</v>
      </c>
      <c r="AA153" s="25">
        <v>0</v>
      </c>
      <c r="AB153" s="28">
        <v>0</v>
      </c>
      <c r="AC153" s="28">
        <v>0</v>
      </c>
      <c r="AD153" s="28">
        <v>0</v>
      </c>
      <c r="AE153" s="25">
        <v>0.09</v>
      </c>
      <c r="AF153" s="26">
        <v>0.09</v>
      </c>
      <c r="AG153" s="29" t="s">
        <v>729</v>
      </c>
      <c r="AH153" s="30">
        <v>0.86</v>
      </c>
      <c r="AI153" s="26">
        <v>0.05</v>
      </c>
      <c r="AJ153" s="21">
        <v>0</v>
      </c>
      <c r="AK153" s="21">
        <v>0</v>
      </c>
      <c r="AL153" s="26">
        <v>0.1</v>
      </c>
      <c r="AM153" s="24">
        <v>0.68363636363636349</v>
      </c>
      <c r="AN153" s="24">
        <v>0.62727272727272732</v>
      </c>
      <c r="AO153" s="31">
        <v>2.5000000000000001E-2</v>
      </c>
      <c r="AP153" s="31">
        <v>0</v>
      </c>
      <c r="AQ153" s="24">
        <v>0.81480000000000008</v>
      </c>
      <c r="AR153" s="27">
        <v>0.7</v>
      </c>
      <c r="AS153" s="26">
        <v>0</v>
      </c>
      <c r="AT153" s="26">
        <v>0</v>
      </c>
      <c r="AU153" s="24">
        <v>0.96273291925465843</v>
      </c>
      <c r="AV153" s="32">
        <v>17</v>
      </c>
      <c r="AW153" s="26">
        <v>0</v>
      </c>
      <c r="AX153" s="26">
        <v>0</v>
      </c>
      <c r="AY153" s="24">
        <v>0.7225274725274724</v>
      </c>
      <c r="AZ153" s="24">
        <v>0.68916797488226056</v>
      </c>
      <c r="BA153" s="31">
        <v>0</v>
      </c>
      <c r="BB153" s="33">
        <v>0.17499999999999999</v>
      </c>
      <c r="BD153" s="26">
        <v>0.46500000000000002</v>
      </c>
      <c r="BE153" s="26">
        <v>0.05</v>
      </c>
      <c r="BF153" s="26" t="s">
        <v>729</v>
      </c>
      <c r="BH153" s="34">
        <v>0</v>
      </c>
      <c r="BI153" s="34">
        <v>0.13</v>
      </c>
      <c r="BJ153" s="34" t="s">
        <v>259</v>
      </c>
      <c r="BK153" s="34">
        <v>0.13</v>
      </c>
      <c r="BL153" s="21"/>
      <c r="BM153" s="35">
        <v>0.38500000000000001</v>
      </c>
    </row>
    <row r="154" spans="1:65" x14ac:dyDescent="0.25">
      <c r="A154" s="4" t="s">
        <v>63</v>
      </c>
      <c r="B154" s="4">
        <v>71822</v>
      </c>
      <c r="C154" s="4" t="s">
        <v>214</v>
      </c>
      <c r="D154" s="19" t="s">
        <v>255</v>
      </c>
      <c r="E154" s="20">
        <v>49852</v>
      </c>
      <c r="F154" s="20" t="s">
        <v>568</v>
      </c>
      <c r="G154" s="20" t="s">
        <v>569</v>
      </c>
      <c r="H154" s="2">
        <v>45760</v>
      </c>
      <c r="I154" s="2" t="s">
        <v>353</v>
      </c>
      <c r="J154" s="2" t="s">
        <v>353</v>
      </c>
      <c r="K154" s="21">
        <v>20</v>
      </c>
      <c r="L154" s="21">
        <v>604800</v>
      </c>
      <c r="M154" s="21">
        <v>10800</v>
      </c>
      <c r="N154" s="21">
        <v>693</v>
      </c>
      <c r="O154" s="21">
        <v>41</v>
      </c>
      <c r="P154" s="21">
        <v>534026</v>
      </c>
      <c r="Q154" s="22">
        <v>385.56267029972753</v>
      </c>
      <c r="R154" s="22">
        <v>300</v>
      </c>
      <c r="S154" s="23">
        <v>0</v>
      </c>
      <c r="T154" s="23">
        <v>0</v>
      </c>
      <c r="U154" s="24">
        <v>0.89903367003367007</v>
      </c>
      <c r="V154" s="25">
        <v>0.1</v>
      </c>
      <c r="W154" s="26">
        <v>0.1</v>
      </c>
      <c r="X154" s="27">
        <v>0.9</v>
      </c>
      <c r="Y154" s="25">
        <v>0</v>
      </c>
      <c r="Z154" s="24">
        <v>1</v>
      </c>
      <c r="AA154" s="25">
        <v>0.04</v>
      </c>
      <c r="AB154" s="28">
        <v>0</v>
      </c>
      <c r="AC154" s="28">
        <v>0</v>
      </c>
      <c r="AD154" s="28">
        <v>0</v>
      </c>
      <c r="AE154" s="25">
        <v>0.09</v>
      </c>
      <c r="AF154" s="26">
        <v>0.13</v>
      </c>
      <c r="AG154" s="29" t="s">
        <v>729</v>
      </c>
      <c r="AH154" s="30">
        <v>0.5</v>
      </c>
      <c r="AI154" s="26">
        <v>0</v>
      </c>
      <c r="AJ154" s="21">
        <v>0</v>
      </c>
      <c r="AK154" s="21">
        <v>0</v>
      </c>
      <c r="AL154" s="26">
        <v>0.1</v>
      </c>
      <c r="AM154" s="24">
        <v>0.69</v>
      </c>
      <c r="AN154" s="24">
        <v>0.71171171171171166</v>
      </c>
      <c r="AO154" s="31">
        <v>0.08</v>
      </c>
      <c r="AP154" s="31">
        <v>0.03</v>
      </c>
      <c r="AQ154" s="24">
        <v>0.82</v>
      </c>
      <c r="AR154" s="27">
        <v>0.78095238095238095</v>
      </c>
      <c r="AS154" s="26">
        <v>7.4999999999999997E-2</v>
      </c>
      <c r="AT154" s="26">
        <v>0</v>
      </c>
      <c r="AU154" s="24">
        <v>0.97068965517241379</v>
      </c>
      <c r="AV154" s="32">
        <v>22</v>
      </c>
      <c r="AW154" s="26">
        <v>0</v>
      </c>
      <c r="AX154" s="26">
        <v>0</v>
      </c>
      <c r="AY154" s="24">
        <v>0.72076923076923083</v>
      </c>
      <c r="AZ154" s="24">
        <v>0.73443223443223449</v>
      </c>
      <c r="BA154" s="31">
        <v>0.1</v>
      </c>
      <c r="BB154" s="33">
        <v>0.35499999999999998</v>
      </c>
      <c r="BD154" s="26">
        <v>0.58499999999999996</v>
      </c>
      <c r="BE154" s="26">
        <v>0.03</v>
      </c>
      <c r="BF154" s="26" t="s">
        <v>729</v>
      </c>
      <c r="BH154" s="34">
        <v>0</v>
      </c>
      <c r="BI154" s="34">
        <v>0.18</v>
      </c>
      <c r="BJ154" s="34" t="s">
        <v>259</v>
      </c>
      <c r="BK154" s="34">
        <v>0.18</v>
      </c>
      <c r="BL154" s="21"/>
      <c r="BM154" s="35">
        <v>0.435</v>
      </c>
    </row>
    <row r="155" spans="1:65" x14ac:dyDescent="0.25">
      <c r="A155" s="4" t="s">
        <v>63</v>
      </c>
      <c r="B155" s="4">
        <v>71885</v>
      </c>
      <c r="C155" s="4" t="s">
        <v>215</v>
      </c>
      <c r="D155" s="19" t="s">
        <v>255</v>
      </c>
      <c r="E155" s="20">
        <v>49834</v>
      </c>
      <c r="F155" s="20" t="s">
        <v>570</v>
      </c>
      <c r="G155" s="20" t="s">
        <v>571</v>
      </c>
      <c r="H155" s="2">
        <v>45760</v>
      </c>
      <c r="I155" s="2" t="s">
        <v>353</v>
      </c>
      <c r="J155" s="2" t="s">
        <v>353</v>
      </c>
      <c r="K155" s="21">
        <v>17</v>
      </c>
      <c r="L155" s="21">
        <v>504900</v>
      </c>
      <c r="M155" s="21">
        <v>0</v>
      </c>
      <c r="N155" s="21">
        <v>817</v>
      </c>
      <c r="O155" s="21">
        <v>28</v>
      </c>
      <c r="P155" s="21">
        <v>467799</v>
      </c>
      <c r="Q155" s="22">
        <v>318.68875739644972</v>
      </c>
      <c r="R155" s="22">
        <v>300</v>
      </c>
      <c r="S155" s="23">
        <v>0</v>
      </c>
      <c r="T155" s="23">
        <v>0</v>
      </c>
      <c r="U155" s="24">
        <v>0.92651812240047537</v>
      </c>
      <c r="V155" s="25">
        <v>0.1</v>
      </c>
      <c r="W155" s="26">
        <v>0.1</v>
      </c>
      <c r="X155" s="27">
        <v>1</v>
      </c>
      <c r="Y155" s="25">
        <v>0.04</v>
      </c>
      <c r="Z155" s="24">
        <v>1</v>
      </c>
      <c r="AA155" s="25">
        <v>0.04</v>
      </c>
      <c r="AB155" s="28">
        <v>1</v>
      </c>
      <c r="AC155" s="28">
        <v>0</v>
      </c>
      <c r="AD155" s="28">
        <v>0</v>
      </c>
      <c r="AE155" s="25">
        <v>0</v>
      </c>
      <c r="AF155" s="26">
        <v>0.08</v>
      </c>
      <c r="AG155" s="29" t="s">
        <v>729</v>
      </c>
      <c r="AH155" s="30">
        <v>0.92500000000000004</v>
      </c>
      <c r="AI155" s="26">
        <v>0.1</v>
      </c>
      <c r="AJ155" s="21">
        <v>0</v>
      </c>
      <c r="AK155" s="21">
        <v>0</v>
      </c>
      <c r="AL155" s="26">
        <v>0.1</v>
      </c>
      <c r="AM155" s="24">
        <v>0.69000000000000006</v>
      </c>
      <c r="AN155" s="24">
        <v>0.6132075471698113</v>
      </c>
      <c r="AO155" s="31">
        <v>0</v>
      </c>
      <c r="AP155" s="31">
        <v>0</v>
      </c>
      <c r="AQ155" s="24">
        <v>0.82</v>
      </c>
      <c r="AR155" s="27">
        <v>0.71568627450980393</v>
      </c>
      <c r="AS155" s="26">
        <v>0</v>
      </c>
      <c r="AT155" s="26">
        <v>0</v>
      </c>
      <c r="AU155" s="24">
        <v>0.98028909329829172</v>
      </c>
      <c r="AV155" s="32">
        <v>14</v>
      </c>
      <c r="AW155" s="26">
        <v>0</v>
      </c>
      <c r="AX155" s="26">
        <v>0</v>
      </c>
      <c r="AY155" s="24">
        <v>0.73159999999999992</v>
      </c>
      <c r="AZ155" s="24">
        <v>0.77931034482758621</v>
      </c>
      <c r="BA155" s="31">
        <v>0.1</v>
      </c>
      <c r="BB155" s="33">
        <v>0.30000000000000004</v>
      </c>
      <c r="BD155" s="26">
        <v>0.48000000000000009</v>
      </c>
      <c r="BE155" s="26">
        <v>0</v>
      </c>
      <c r="BF155" s="26" t="s">
        <v>729</v>
      </c>
      <c r="BH155" s="34">
        <v>0</v>
      </c>
      <c r="BI155" s="34">
        <v>0.1</v>
      </c>
      <c r="BJ155" s="34" t="s">
        <v>259</v>
      </c>
      <c r="BK155" s="34">
        <v>0.1</v>
      </c>
      <c r="BL155" s="21"/>
      <c r="BM155" s="35">
        <v>0.38000000000000012</v>
      </c>
    </row>
    <row r="156" spans="1:65" x14ac:dyDescent="0.25">
      <c r="A156" s="4" t="s">
        <v>63</v>
      </c>
      <c r="B156" s="4">
        <v>71888</v>
      </c>
      <c r="C156" s="4" t="s">
        <v>216</v>
      </c>
      <c r="D156" s="19" t="s">
        <v>255</v>
      </c>
      <c r="E156" s="20">
        <v>49846</v>
      </c>
      <c r="F156" s="20" t="s">
        <v>572</v>
      </c>
      <c r="G156" s="20" t="s">
        <v>573</v>
      </c>
      <c r="H156" s="2">
        <v>45760</v>
      </c>
      <c r="I156" s="2" t="s">
        <v>353</v>
      </c>
      <c r="J156" s="2" t="s">
        <v>353</v>
      </c>
      <c r="K156" s="21">
        <v>21</v>
      </c>
      <c r="L156" s="21">
        <v>623700</v>
      </c>
      <c r="M156" s="21">
        <v>0</v>
      </c>
      <c r="N156" s="21">
        <v>852</v>
      </c>
      <c r="O156" s="21">
        <v>0</v>
      </c>
      <c r="P156" s="21">
        <v>576478</v>
      </c>
      <c r="Q156" s="22">
        <v>416.91784037558688</v>
      </c>
      <c r="R156" s="22">
        <v>300</v>
      </c>
      <c r="S156" s="23">
        <v>0</v>
      </c>
      <c r="T156" s="23">
        <v>0</v>
      </c>
      <c r="U156" s="24">
        <v>0.92428731762065097</v>
      </c>
      <c r="V156" s="25">
        <v>0.1</v>
      </c>
      <c r="W156" s="26">
        <v>0.1</v>
      </c>
      <c r="X156" s="27">
        <v>0.95238095238095233</v>
      </c>
      <c r="Y156" s="25">
        <v>0.04</v>
      </c>
      <c r="Z156" s="24">
        <v>0.95238095238095233</v>
      </c>
      <c r="AA156" s="25">
        <v>0.04</v>
      </c>
      <c r="AB156" s="28">
        <v>0</v>
      </c>
      <c r="AC156" s="28">
        <v>0</v>
      </c>
      <c r="AD156" s="28">
        <v>0</v>
      </c>
      <c r="AE156" s="25">
        <v>0.09</v>
      </c>
      <c r="AF156" s="26">
        <v>0.17</v>
      </c>
      <c r="AG156" s="29" t="s">
        <v>729</v>
      </c>
      <c r="AH156" s="30">
        <v>0.80499999999999994</v>
      </c>
      <c r="AI156" s="26">
        <v>0.05</v>
      </c>
      <c r="AJ156" s="21">
        <v>0</v>
      </c>
      <c r="AK156" s="21">
        <v>0</v>
      </c>
      <c r="AL156" s="26">
        <v>0.1</v>
      </c>
      <c r="AM156" s="24">
        <v>0.69</v>
      </c>
      <c r="AN156" s="24">
        <v>0.68235294117647061</v>
      </c>
      <c r="AO156" s="31">
        <v>0.06</v>
      </c>
      <c r="AP156" s="31">
        <v>0</v>
      </c>
      <c r="AQ156" s="24">
        <v>0.82</v>
      </c>
      <c r="AR156" s="27">
        <v>0.82499999999999996</v>
      </c>
      <c r="AS156" s="26">
        <v>0</v>
      </c>
      <c r="AT156" s="26">
        <v>0</v>
      </c>
      <c r="AU156" s="24">
        <v>0.9061624649859944</v>
      </c>
      <c r="AV156" s="32">
        <v>10</v>
      </c>
      <c r="AW156" s="26">
        <v>0</v>
      </c>
      <c r="AX156" s="26">
        <v>0</v>
      </c>
      <c r="AY156" s="24">
        <v>0.69467625899280572</v>
      </c>
      <c r="AZ156" s="24">
        <v>0.72374100719424461</v>
      </c>
      <c r="BA156" s="31">
        <v>0.1</v>
      </c>
      <c r="BB156" s="33">
        <v>0.31000000000000005</v>
      </c>
      <c r="BD156" s="26">
        <v>0.58000000000000007</v>
      </c>
      <c r="BE156" s="26">
        <v>0</v>
      </c>
      <c r="BF156" s="26" t="s">
        <v>729</v>
      </c>
      <c r="BH156" s="34">
        <v>0</v>
      </c>
      <c r="BI156" s="34">
        <v>0.06</v>
      </c>
      <c r="BJ156" s="34" t="s">
        <v>259</v>
      </c>
      <c r="BK156" s="34">
        <v>0.06</v>
      </c>
      <c r="BL156" s="21"/>
      <c r="BM156" s="35">
        <v>0.52</v>
      </c>
    </row>
    <row r="157" spans="1:65" x14ac:dyDescent="0.25">
      <c r="A157" s="4" t="s">
        <v>63</v>
      </c>
      <c r="B157" s="4">
        <v>71900</v>
      </c>
      <c r="C157" s="4" t="s">
        <v>217</v>
      </c>
      <c r="D157" s="19" t="s">
        <v>255</v>
      </c>
      <c r="E157" s="20">
        <v>49851</v>
      </c>
      <c r="F157" s="20" t="s">
        <v>574</v>
      </c>
      <c r="G157" s="20" t="s">
        <v>575</v>
      </c>
      <c r="H157" s="2">
        <v>45760</v>
      </c>
      <c r="I157" s="2" t="s">
        <v>353</v>
      </c>
      <c r="J157" s="2" t="s">
        <v>353</v>
      </c>
      <c r="K157" s="21">
        <v>18</v>
      </c>
      <c r="L157" s="21">
        <v>534600</v>
      </c>
      <c r="M157" s="21">
        <v>0</v>
      </c>
      <c r="N157" s="21">
        <v>856</v>
      </c>
      <c r="O157" s="21">
        <v>12</v>
      </c>
      <c r="P157" s="21">
        <v>432128</v>
      </c>
      <c r="Q157" s="22">
        <v>262.536866359447</v>
      </c>
      <c r="R157" s="22">
        <v>300</v>
      </c>
      <c r="S157" s="23">
        <v>0.1</v>
      </c>
      <c r="T157" s="23">
        <v>0.05</v>
      </c>
      <c r="U157" s="24">
        <v>0.80832023943135056</v>
      </c>
      <c r="V157" s="25">
        <v>0.05</v>
      </c>
      <c r="W157" s="26">
        <v>0.15000000000000002</v>
      </c>
      <c r="X157" s="27">
        <v>0.83333333333333337</v>
      </c>
      <c r="Y157" s="25">
        <v>0</v>
      </c>
      <c r="Z157" s="24">
        <v>0.83333333333333337</v>
      </c>
      <c r="AA157" s="25">
        <v>0</v>
      </c>
      <c r="AB157" s="28">
        <v>1</v>
      </c>
      <c r="AC157" s="28">
        <v>0</v>
      </c>
      <c r="AD157" s="28">
        <v>0</v>
      </c>
      <c r="AE157" s="25">
        <v>0</v>
      </c>
      <c r="AF157" s="26">
        <v>0</v>
      </c>
      <c r="AG157" s="29" t="s">
        <v>729</v>
      </c>
      <c r="AH157" s="30">
        <v>1</v>
      </c>
      <c r="AI157" s="26">
        <v>0.1</v>
      </c>
      <c r="AJ157" s="21">
        <v>0</v>
      </c>
      <c r="AK157" s="21">
        <v>0</v>
      </c>
      <c r="AL157" s="26">
        <v>0.1</v>
      </c>
      <c r="AM157" s="24">
        <v>0.6836936936936937</v>
      </c>
      <c r="AN157" s="24">
        <v>0.68468468468468469</v>
      </c>
      <c r="AO157" s="31">
        <v>0.08</v>
      </c>
      <c r="AP157" s="31">
        <v>0.03</v>
      </c>
      <c r="AQ157" s="24">
        <v>0.8139252336448598</v>
      </c>
      <c r="AR157" s="27">
        <v>0.78504672897196259</v>
      </c>
      <c r="AS157" s="26">
        <v>7.4999999999999997E-2</v>
      </c>
      <c r="AT157" s="26">
        <v>0</v>
      </c>
      <c r="AU157" s="24">
        <v>0.97111416781292981</v>
      </c>
      <c r="AV157" s="32">
        <v>10</v>
      </c>
      <c r="AW157" s="26">
        <v>0</v>
      </c>
      <c r="AX157" s="26">
        <v>0</v>
      </c>
      <c r="AY157" s="24">
        <v>0.71716101694915257</v>
      </c>
      <c r="AZ157" s="24">
        <v>0.7344632768361582</v>
      </c>
      <c r="BA157" s="31">
        <v>0.1</v>
      </c>
      <c r="BB157" s="33">
        <v>0.45499999999999996</v>
      </c>
      <c r="BD157" s="26">
        <v>0.60499999999999998</v>
      </c>
      <c r="BE157" s="26">
        <v>0.08</v>
      </c>
      <c r="BF157" s="26" t="s">
        <v>729</v>
      </c>
      <c r="BH157" s="34">
        <v>0</v>
      </c>
      <c r="BI157" s="34">
        <v>0.06</v>
      </c>
      <c r="BJ157" s="34" t="s">
        <v>259</v>
      </c>
      <c r="BK157" s="34">
        <v>0.06</v>
      </c>
      <c r="BL157" s="21"/>
      <c r="BM157" s="35">
        <v>0.625</v>
      </c>
    </row>
    <row r="158" spans="1:65" x14ac:dyDescent="0.25">
      <c r="A158" s="4" t="s">
        <v>63</v>
      </c>
      <c r="B158" s="4">
        <v>71925</v>
      </c>
      <c r="C158" s="4" t="s">
        <v>218</v>
      </c>
      <c r="D158" s="19" t="s">
        <v>255</v>
      </c>
      <c r="E158" s="20">
        <v>49855</v>
      </c>
      <c r="F158" s="20" t="s">
        <v>576</v>
      </c>
      <c r="G158" s="20" t="s">
        <v>577</v>
      </c>
      <c r="H158" s="2">
        <v>45760</v>
      </c>
      <c r="I158" s="2" t="s">
        <v>353</v>
      </c>
      <c r="J158" s="2" t="s">
        <v>353</v>
      </c>
      <c r="K158" s="21">
        <v>19</v>
      </c>
      <c r="L158" s="21">
        <v>564300</v>
      </c>
      <c r="M158" s="21">
        <v>0</v>
      </c>
      <c r="N158" s="21">
        <v>749</v>
      </c>
      <c r="O158" s="21">
        <v>0</v>
      </c>
      <c r="P158" s="21">
        <v>511790</v>
      </c>
      <c r="Q158" s="22">
        <v>324.97730307076102</v>
      </c>
      <c r="R158" s="22">
        <v>300</v>
      </c>
      <c r="S158" s="23">
        <v>0</v>
      </c>
      <c r="T158" s="23">
        <v>0</v>
      </c>
      <c r="U158" s="24">
        <v>0.9069466595782385</v>
      </c>
      <c r="V158" s="25">
        <v>0.1</v>
      </c>
      <c r="W158" s="26">
        <v>0.1</v>
      </c>
      <c r="X158" s="27">
        <v>0.94736842105263153</v>
      </c>
      <c r="Y158" s="25">
        <v>0</v>
      </c>
      <c r="Z158" s="24">
        <v>0.94736842105263153</v>
      </c>
      <c r="AA158" s="25">
        <v>0</v>
      </c>
      <c r="AB158" s="28">
        <v>0</v>
      </c>
      <c r="AC158" s="28">
        <v>0</v>
      </c>
      <c r="AD158" s="28">
        <v>0</v>
      </c>
      <c r="AE158" s="25">
        <v>0.09</v>
      </c>
      <c r="AF158" s="26">
        <v>0.09</v>
      </c>
      <c r="AG158" s="29" t="s">
        <v>729</v>
      </c>
      <c r="AH158" s="30">
        <v>0.98</v>
      </c>
      <c r="AI158" s="26">
        <v>0.1</v>
      </c>
      <c r="AJ158" s="21">
        <v>0</v>
      </c>
      <c r="AK158" s="21">
        <v>0</v>
      </c>
      <c r="AL158" s="26">
        <v>0.1</v>
      </c>
      <c r="AM158" s="24">
        <v>0.67868686868686867</v>
      </c>
      <c r="AN158" s="24">
        <v>0.61616161616161613</v>
      </c>
      <c r="AO158" s="31">
        <v>0</v>
      </c>
      <c r="AP158" s="31">
        <v>0</v>
      </c>
      <c r="AQ158" s="24">
        <v>0.80938775510204075</v>
      </c>
      <c r="AR158" s="27">
        <v>0.75510204081632648</v>
      </c>
      <c r="AS158" s="26">
        <v>0.02</v>
      </c>
      <c r="AT158" s="26">
        <v>0</v>
      </c>
      <c r="AU158" s="24">
        <v>0.97520661157024791</v>
      </c>
      <c r="AV158" s="32">
        <v>16</v>
      </c>
      <c r="AW158" s="26">
        <v>0</v>
      </c>
      <c r="AX158" s="26">
        <v>0</v>
      </c>
      <c r="AY158" s="24">
        <v>0.68626262626262624</v>
      </c>
      <c r="AZ158" s="24">
        <v>0.66498316498316501</v>
      </c>
      <c r="BA158" s="31">
        <v>0</v>
      </c>
      <c r="BB158" s="33">
        <v>0.22000000000000003</v>
      </c>
      <c r="BD158" s="26">
        <v>0.41000000000000003</v>
      </c>
      <c r="BE158" s="26">
        <v>0</v>
      </c>
      <c r="BF158" s="26" t="s">
        <v>729</v>
      </c>
      <c r="BH158" s="34">
        <v>0</v>
      </c>
      <c r="BI158" s="34">
        <v>0.12</v>
      </c>
      <c r="BJ158" s="34" t="s">
        <v>259</v>
      </c>
      <c r="BK158" s="34">
        <v>0.12</v>
      </c>
      <c r="BL158" s="21"/>
      <c r="BM158" s="35">
        <v>0.29000000000000004</v>
      </c>
    </row>
    <row r="159" spans="1:65" x14ac:dyDescent="0.25">
      <c r="A159" s="4" t="s">
        <v>63</v>
      </c>
      <c r="B159" s="4">
        <v>71927</v>
      </c>
      <c r="C159" s="4" t="s">
        <v>219</v>
      </c>
      <c r="D159" s="19" t="s">
        <v>255</v>
      </c>
      <c r="E159" s="20">
        <v>49856</v>
      </c>
      <c r="F159" s="20" t="s">
        <v>578</v>
      </c>
      <c r="G159" s="20" t="s">
        <v>579</v>
      </c>
      <c r="H159" s="2">
        <v>45760</v>
      </c>
      <c r="I159" s="2" t="s">
        <v>353</v>
      </c>
      <c r="J159" s="2" t="s">
        <v>353</v>
      </c>
      <c r="K159" s="21">
        <v>18</v>
      </c>
      <c r="L159" s="21">
        <v>534600</v>
      </c>
      <c r="M159" s="21">
        <v>0</v>
      </c>
      <c r="N159" s="21">
        <v>694</v>
      </c>
      <c r="O159" s="21">
        <v>0</v>
      </c>
      <c r="P159" s="21">
        <v>482338</v>
      </c>
      <c r="Q159" s="22">
        <v>349.28674351585016</v>
      </c>
      <c r="R159" s="22">
        <v>300</v>
      </c>
      <c r="S159" s="23">
        <v>0</v>
      </c>
      <c r="T159" s="23">
        <v>0</v>
      </c>
      <c r="U159" s="24">
        <v>0.90224092779648335</v>
      </c>
      <c r="V159" s="25">
        <v>0.1</v>
      </c>
      <c r="W159" s="26">
        <v>0.1</v>
      </c>
      <c r="X159" s="27">
        <v>0.88888888888888884</v>
      </c>
      <c r="Y159" s="25">
        <v>0</v>
      </c>
      <c r="Z159" s="24">
        <v>0.94444444444444442</v>
      </c>
      <c r="AA159" s="25">
        <v>0</v>
      </c>
      <c r="AB159" s="28">
        <v>0</v>
      </c>
      <c r="AC159" s="28">
        <v>0</v>
      </c>
      <c r="AD159" s="28">
        <v>0</v>
      </c>
      <c r="AE159" s="25">
        <v>0.09</v>
      </c>
      <c r="AF159" s="26">
        <v>0.09</v>
      </c>
      <c r="AG159" s="29" t="s">
        <v>729</v>
      </c>
      <c r="AH159" s="30">
        <v>0.89999999999999991</v>
      </c>
      <c r="AI159" s="26">
        <v>0.1</v>
      </c>
      <c r="AJ159" s="21">
        <v>0</v>
      </c>
      <c r="AK159" s="21">
        <v>0</v>
      </c>
      <c r="AL159" s="26">
        <v>0.1</v>
      </c>
      <c r="AM159" s="24">
        <v>0.68822784810126569</v>
      </c>
      <c r="AN159" s="24">
        <v>0.65822784810126578</v>
      </c>
      <c r="AO159" s="31">
        <v>0.04</v>
      </c>
      <c r="AP159" s="31">
        <v>0</v>
      </c>
      <c r="AQ159" s="24">
        <v>0.81662337662337658</v>
      </c>
      <c r="AR159" s="27">
        <v>0.75324675324675328</v>
      </c>
      <c r="AS159" s="26">
        <v>0</v>
      </c>
      <c r="AT159" s="26">
        <v>0</v>
      </c>
      <c r="AU159" s="24">
        <v>0.97891036906854134</v>
      </c>
      <c r="AV159" s="32">
        <v>13</v>
      </c>
      <c r="AW159" s="26">
        <v>0</v>
      </c>
      <c r="AX159" s="26">
        <v>0</v>
      </c>
      <c r="AY159" s="24">
        <v>0.6833453237410072</v>
      </c>
      <c r="AZ159" s="24">
        <v>0.69064748201438853</v>
      </c>
      <c r="BA159" s="31">
        <v>0.1</v>
      </c>
      <c r="BB159" s="33">
        <v>0.34</v>
      </c>
      <c r="BD159" s="26">
        <v>0.53</v>
      </c>
      <c r="BE159" s="26">
        <v>0</v>
      </c>
      <c r="BF159" s="26" t="s">
        <v>729</v>
      </c>
      <c r="BH159" s="34">
        <v>0</v>
      </c>
      <c r="BI159" s="34">
        <v>0.09</v>
      </c>
      <c r="BJ159" s="34" t="s">
        <v>259</v>
      </c>
      <c r="BK159" s="34">
        <v>0.09</v>
      </c>
      <c r="BL159" s="21"/>
      <c r="BM159" s="35">
        <v>0.44000000000000006</v>
      </c>
    </row>
    <row r="160" spans="1:65" x14ac:dyDescent="0.25">
      <c r="A160" s="4" t="s">
        <v>63</v>
      </c>
      <c r="B160" s="4">
        <v>71928</v>
      </c>
      <c r="C160" s="4" t="s">
        <v>220</v>
      </c>
      <c r="D160" s="19" t="s">
        <v>255</v>
      </c>
      <c r="E160" s="20">
        <v>49857</v>
      </c>
      <c r="F160" s="20" t="s">
        <v>580</v>
      </c>
      <c r="G160" s="20" t="s">
        <v>581</v>
      </c>
      <c r="H160" s="2">
        <v>45760</v>
      </c>
      <c r="I160" s="2" t="s">
        <v>353</v>
      </c>
      <c r="J160" s="2" t="s">
        <v>353</v>
      </c>
      <c r="K160" s="21">
        <v>18</v>
      </c>
      <c r="L160" s="21">
        <v>534600</v>
      </c>
      <c r="M160" s="21">
        <v>0</v>
      </c>
      <c r="N160" s="21">
        <v>528</v>
      </c>
      <c r="O160" s="21">
        <v>0</v>
      </c>
      <c r="P160" s="21">
        <v>476254</v>
      </c>
      <c r="Q160" s="22">
        <v>416.95643939393938</v>
      </c>
      <c r="R160" s="22">
        <v>300</v>
      </c>
      <c r="S160" s="23">
        <v>0</v>
      </c>
      <c r="T160" s="23">
        <v>0</v>
      </c>
      <c r="U160" s="24">
        <v>0.89086045641601197</v>
      </c>
      <c r="V160" s="25">
        <v>0.1</v>
      </c>
      <c r="W160" s="26">
        <v>0.1</v>
      </c>
      <c r="X160" s="27">
        <v>0.72222222222222221</v>
      </c>
      <c r="Y160" s="25">
        <v>0</v>
      </c>
      <c r="Z160" s="24">
        <v>0.88888888888888884</v>
      </c>
      <c r="AA160" s="25">
        <v>0</v>
      </c>
      <c r="AB160" s="28">
        <v>0</v>
      </c>
      <c r="AC160" s="28">
        <v>0</v>
      </c>
      <c r="AD160" s="28">
        <v>0</v>
      </c>
      <c r="AE160" s="25">
        <v>0.09</v>
      </c>
      <c r="AF160" s="26">
        <v>0.09</v>
      </c>
      <c r="AG160" s="29" t="s">
        <v>729</v>
      </c>
      <c r="AH160" s="30">
        <v>0.86499999999999999</v>
      </c>
      <c r="AI160" s="26">
        <v>0.05</v>
      </c>
      <c r="AJ160" s="21">
        <v>0</v>
      </c>
      <c r="AK160" s="21">
        <v>0</v>
      </c>
      <c r="AL160" s="26">
        <v>0.1</v>
      </c>
      <c r="AM160" s="24">
        <v>0.66735294117647048</v>
      </c>
      <c r="AN160" s="24">
        <v>0.75</v>
      </c>
      <c r="AO160" s="31">
        <v>0.08</v>
      </c>
      <c r="AP160" s="31">
        <v>0.03</v>
      </c>
      <c r="AQ160" s="24">
        <v>0.79799999999999982</v>
      </c>
      <c r="AR160" s="27">
        <v>0.84615384615384615</v>
      </c>
      <c r="AS160" s="26">
        <v>0</v>
      </c>
      <c r="AT160" s="26">
        <v>0</v>
      </c>
      <c r="AU160" s="24">
        <v>0.92093023255813955</v>
      </c>
      <c r="AV160" s="32">
        <v>7</v>
      </c>
      <c r="AW160" s="26">
        <v>0</v>
      </c>
      <c r="AX160" s="26">
        <v>0</v>
      </c>
      <c r="AY160" s="24">
        <v>0.69327751196172249</v>
      </c>
      <c r="AZ160" s="24">
        <v>0.70574162679425834</v>
      </c>
      <c r="BA160" s="31">
        <v>0.1</v>
      </c>
      <c r="BB160" s="33">
        <v>0.32999999999999996</v>
      </c>
      <c r="BD160" s="26">
        <v>0.51999999999999991</v>
      </c>
      <c r="BE160" s="26">
        <v>0.03</v>
      </c>
      <c r="BF160" s="26" t="s">
        <v>729</v>
      </c>
      <c r="BH160" s="34">
        <v>0</v>
      </c>
      <c r="BI160" s="34">
        <v>0.03</v>
      </c>
      <c r="BJ160" s="34" t="s">
        <v>259</v>
      </c>
      <c r="BK160" s="34">
        <v>0.03</v>
      </c>
      <c r="BL160" s="21"/>
      <c r="BM160" s="35">
        <v>0.51999999999999991</v>
      </c>
    </row>
    <row r="161" spans="1:65" x14ac:dyDescent="0.25">
      <c r="A161" s="4" t="s">
        <v>63</v>
      </c>
      <c r="B161" s="4">
        <v>71993</v>
      </c>
      <c r="C161" s="4" t="s">
        <v>221</v>
      </c>
      <c r="D161" s="19" t="s">
        <v>255</v>
      </c>
      <c r="E161" s="20">
        <v>49869</v>
      </c>
      <c r="F161" s="20" t="s">
        <v>582</v>
      </c>
      <c r="G161" s="20" t="s">
        <v>583</v>
      </c>
      <c r="H161" s="2">
        <v>45760</v>
      </c>
      <c r="I161" s="2" t="s">
        <v>353</v>
      </c>
      <c r="J161" s="2" t="s">
        <v>353</v>
      </c>
      <c r="K161" s="21">
        <v>21</v>
      </c>
      <c r="L161" s="21">
        <v>623700</v>
      </c>
      <c r="M161" s="21">
        <v>0</v>
      </c>
      <c r="N161" s="21">
        <v>987</v>
      </c>
      <c r="O161" s="21">
        <v>0</v>
      </c>
      <c r="P161" s="21">
        <v>566700</v>
      </c>
      <c r="Q161" s="22">
        <v>323.39108409321176</v>
      </c>
      <c r="R161" s="22">
        <v>300</v>
      </c>
      <c r="S161" s="23">
        <v>0</v>
      </c>
      <c r="T161" s="23">
        <v>0</v>
      </c>
      <c r="U161" s="24">
        <v>0.90860990860990865</v>
      </c>
      <c r="V161" s="25">
        <v>0.1</v>
      </c>
      <c r="W161" s="26">
        <v>0.1</v>
      </c>
      <c r="X161" s="27">
        <v>0.7142857142857143</v>
      </c>
      <c r="Y161" s="25">
        <v>0</v>
      </c>
      <c r="Z161" s="24">
        <v>1</v>
      </c>
      <c r="AA161" s="25">
        <v>0.04</v>
      </c>
      <c r="AB161" s="28">
        <v>0</v>
      </c>
      <c r="AC161" s="28">
        <v>0</v>
      </c>
      <c r="AD161" s="28">
        <v>0</v>
      </c>
      <c r="AE161" s="25">
        <v>0.09</v>
      </c>
      <c r="AF161" s="26">
        <v>0.13</v>
      </c>
      <c r="AG161" s="29" t="s">
        <v>729</v>
      </c>
      <c r="AH161" s="30">
        <v>0.95</v>
      </c>
      <c r="AI161" s="26">
        <v>0.1</v>
      </c>
      <c r="AJ161" s="21">
        <v>0</v>
      </c>
      <c r="AK161" s="21">
        <v>0</v>
      </c>
      <c r="AL161" s="26">
        <v>0.1</v>
      </c>
      <c r="AM161" s="24">
        <v>0.68320388349514549</v>
      </c>
      <c r="AN161" s="24">
        <v>0.75728155339805825</v>
      </c>
      <c r="AO161" s="31">
        <v>0.08</v>
      </c>
      <c r="AP161" s="31">
        <v>0.03</v>
      </c>
      <c r="AQ161" s="24">
        <v>0.81452631578947365</v>
      </c>
      <c r="AR161" s="27">
        <v>0.84210526315789469</v>
      </c>
      <c r="AS161" s="26">
        <v>0.2</v>
      </c>
      <c r="AT161" s="26">
        <v>0.04</v>
      </c>
      <c r="AU161" s="24">
        <v>0.99243379571248425</v>
      </c>
      <c r="AV161" s="32">
        <v>1</v>
      </c>
      <c r="AW161" s="26">
        <v>0.05</v>
      </c>
      <c r="AX161" s="26">
        <v>0</v>
      </c>
      <c r="AY161" s="24">
        <v>0.70167095115681233</v>
      </c>
      <c r="AZ161" s="24">
        <v>0.69537275064267356</v>
      </c>
      <c r="BA161" s="31">
        <v>0.05</v>
      </c>
      <c r="BB161" s="33">
        <v>0.58000000000000007</v>
      </c>
      <c r="BD161" s="26">
        <v>0.81</v>
      </c>
      <c r="BE161" s="26">
        <v>7.0000000000000007E-2</v>
      </c>
      <c r="BF161" s="26" t="s">
        <v>729</v>
      </c>
      <c r="BH161" s="34">
        <v>0</v>
      </c>
      <c r="BI161" s="34">
        <v>0</v>
      </c>
      <c r="BJ161" s="34" t="s">
        <v>259</v>
      </c>
      <c r="BK161" s="34">
        <v>0</v>
      </c>
      <c r="BL161" s="21"/>
      <c r="BM161" s="35">
        <v>0.88000000000000012</v>
      </c>
    </row>
    <row r="162" spans="1:65" x14ac:dyDescent="0.25">
      <c r="A162" s="4" t="s">
        <v>63</v>
      </c>
      <c r="B162" s="4">
        <v>71967</v>
      </c>
      <c r="C162" s="4" t="s">
        <v>222</v>
      </c>
      <c r="D162" s="19" t="s">
        <v>255</v>
      </c>
      <c r="E162" s="20">
        <v>49868</v>
      </c>
      <c r="F162" s="20" t="s">
        <v>584</v>
      </c>
      <c r="G162" s="20" t="s">
        <v>585</v>
      </c>
      <c r="H162" s="2">
        <v>45760</v>
      </c>
      <c r="I162" s="2" t="s">
        <v>353</v>
      </c>
      <c r="J162" s="2" t="s">
        <v>353</v>
      </c>
      <c r="K162" s="21">
        <v>20</v>
      </c>
      <c r="L162" s="21">
        <v>594000</v>
      </c>
      <c r="M162" s="21">
        <v>0</v>
      </c>
      <c r="N162" s="21">
        <v>889</v>
      </c>
      <c r="O162" s="21">
        <v>0</v>
      </c>
      <c r="P162" s="21">
        <v>531763</v>
      </c>
      <c r="Q162" s="22">
        <v>366.38020247469069</v>
      </c>
      <c r="R162" s="22">
        <v>300</v>
      </c>
      <c r="S162" s="23">
        <v>0</v>
      </c>
      <c r="T162" s="23">
        <v>0</v>
      </c>
      <c r="U162" s="24">
        <v>0.89522390572390576</v>
      </c>
      <c r="V162" s="25">
        <v>0.1</v>
      </c>
      <c r="W162" s="26">
        <v>0.1</v>
      </c>
      <c r="X162" s="27">
        <v>0.9</v>
      </c>
      <c r="Y162" s="25">
        <v>0</v>
      </c>
      <c r="Z162" s="24">
        <v>0.9</v>
      </c>
      <c r="AA162" s="25">
        <v>0</v>
      </c>
      <c r="AB162" s="28">
        <v>0</v>
      </c>
      <c r="AC162" s="28">
        <v>0</v>
      </c>
      <c r="AD162" s="28">
        <v>0</v>
      </c>
      <c r="AE162" s="25">
        <v>0.09</v>
      </c>
      <c r="AF162" s="26">
        <v>0.09</v>
      </c>
      <c r="AG162" s="29" t="s">
        <v>729</v>
      </c>
      <c r="AH162" s="30">
        <v>0.875</v>
      </c>
      <c r="AI162" s="26">
        <v>0.05</v>
      </c>
      <c r="AJ162" s="21">
        <v>0</v>
      </c>
      <c r="AK162" s="21">
        <v>0</v>
      </c>
      <c r="AL162" s="26">
        <v>0.1</v>
      </c>
      <c r="AM162" s="24">
        <v>0.69</v>
      </c>
      <c r="AN162" s="24">
        <v>0.76666666666666672</v>
      </c>
      <c r="AO162" s="31">
        <v>0.08</v>
      </c>
      <c r="AP162" s="31">
        <v>0.03</v>
      </c>
      <c r="AQ162" s="24">
        <v>0.81887931034482753</v>
      </c>
      <c r="AR162" s="27">
        <v>0.77586206896551724</v>
      </c>
      <c r="AS162" s="26">
        <v>7.4999999999999997E-2</v>
      </c>
      <c r="AT162" s="26">
        <v>0</v>
      </c>
      <c r="AU162" s="24">
        <v>0.97664835164835162</v>
      </c>
      <c r="AV162" s="32">
        <v>6</v>
      </c>
      <c r="AW162" s="26">
        <v>0</v>
      </c>
      <c r="AX162" s="26">
        <v>0</v>
      </c>
      <c r="AY162" s="24">
        <v>0.70349095966620301</v>
      </c>
      <c r="AZ162" s="24">
        <v>0.69680111265646727</v>
      </c>
      <c r="BA162" s="31">
        <v>0.05</v>
      </c>
      <c r="BB162" s="33">
        <v>0.35499999999999998</v>
      </c>
      <c r="BD162" s="26">
        <v>0.54499999999999993</v>
      </c>
      <c r="BE162" s="26">
        <v>0.03</v>
      </c>
      <c r="BF162" s="26" t="s">
        <v>729</v>
      </c>
      <c r="BH162" s="34">
        <v>0</v>
      </c>
      <c r="BI162" s="34">
        <v>0.02</v>
      </c>
      <c r="BJ162" s="34" t="s">
        <v>259</v>
      </c>
      <c r="BK162" s="34">
        <v>0.02</v>
      </c>
      <c r="BL162" s="21"/>
      <c r="BM162" s="35">
        <v>0.55499999999999994</v>
      </c>
    </row>
    <row r="163" spans="1:65" x14ac:dyDescent="0.25">
      <c r="A163" s="4" t="s">
        <v>63</v>
      </c>
      <c r="B163" s="4">
        <v>71935</v>
      </c>
      <c r="C163" s="4" t="s">
        <v>223</v>
      </c>
      <c r="D163" s="19" t="s">
        <v>255</v>
      </c>
      <c r="E163" s="20">
        <v>49861</v>
      </c>
      <c r="F163" s="20" t="s">
        <v>586</v>
      </c>
      <c r="G163" s="20" t="s">
        <v>587</v>
      </c>
      <c r="H163" s="2">
        <v>45760</v>
      </c>
      <c r="I163" s="2" t="s">
        <v>353</v>
      </c>
      <c r="J163" s="2" t="s">
        <v>353</v>
      </c>
      <c r="K163" s="21">
        <v>20</v>
      </c>
      <c r="L163" s="21">
        <v>594000</v>
      </c>
      <c r="M163" s="21">
        <v>0</v>
      </c>
      <c r="N163" s="21">
        <v>823</v>
      </c>
      <c r="O163" s="21">
        <v>0</v>
      </c>
      <c r="P163" s="21">
        <v>519628</v>
      </c>
      <c r="Q163" s="22">
        <v>303.62454434993924</v>
      </c>
      <c r="R163" s="22">
        <v>300</v>
      </c>
      <c r="S163" s="23">
        <v>0.05</v>
      </c>
      <c r="T163" s="23">
        <v>0</v>
      </c>
      <c r="U163" s="24">
        <v>0.87479461279461279</v>
      </c>
      <c r="V163" s="25">
        <v>0.1</v>
      </c>
      <c r="W163" s="26">
        <v>0.15000000000000002</v>
      </c>
      <c r="X163" s="27">
        <v>0.75</v>
      </c>
      <c r="Y163" s="25">
        <v>0</v>
      </c>
      <c r="Z163" s="24">
        <v>1</v>
      </c>
      <c r="AA163" s="25">
        <v>0.04</v>
      </c>
      <c r="AB163" s="28">
        <v>0</v>
      </c>
      <c r="AC163" s="28">
        <v>0</v>
      </c>
      <c r="AD163" s="28">
        <v>0</v>
      </c>
      <c r="AE163" s="25">
        <v>0.09</v>
      </c>
      <c r="AF163" s="26">
        <v>0.13</v>
      </c>
      <c r="AG163" s="29" t="s">
        <v>729</v>
      </c>
      <c r="AH163" s="30">
        <v>0.97499999999999998</v>
      </c>
      <c r="AI163" s="26">
        <v>0.1</v>
      </c>
      <c r="AJ163" s="21">
        <v>0</v>
      </c>
      <c r="AK163" s="21">
        <v>0</v>
      </c>
      <c r="AL163" s="26">
        <v>0.1</v>
      </c>
      <c r="AM163" s="24">
        <v>0.67886363636363634</v>
      </c>
      <c r="AN163" s="24">
        <v>0.76136363636363635</v>
      </c>
      <c r="AO163" s="31">
        <v>0.08</v>
      </c>
      <c r="AP163" s="31">
        <v>0.03</v>
      </c>
      <c r="AQ163" s="24">
        <v>0.8118749999999999</v>
      </c>
      <c r="AR163" s="27">
        <v>0.83750000000000002</v>
      </c>
      <c r="AS163" s="26">
        <v>0</v>
      </c>
      <c r="AT163" s="26">
        <v>0</v>
      </c>
      <c r="AU163" s="24">
        <v>0.94374999999999998</v>
      </c>
      <c r="AV163" s="32">
        <v>7</v>
      </c>
      <c r="AW163" s="26">
        <v>0</v>
      </c>
      <c r="AX163" s="26">
        <v>0</v>
      </c>
      <c r="AY163" s="24">
        <v>0.69199999999999995</v>
      </c>
      <c r="AZ163" s="24">
        <v>0.67777777777777781</v>
      </c>
      <c r="BA163" s="31">
        <v>0.05</v>
      </c>
      <c r="BB163" s="33">
        <v>0.33</v>
      </c>
      <c r="BD163" s="26">
        <v>0.6100000000000001</v>
      </c>
      <c r="BE163" s="26">
        <v>0.03</v>
      </c>
      <c r="BF163" s="26" t="s">
        <v>729</v>
      </c>
      <c r="BH163" s="34">
        <v>0</v>
      </c>
      <c r="BI163" s="34">
        <v>0.03</v>
      </c>
      <c r="BJ163" s="34" t="s">
        <v>259</v>
      </c>
      <c r="BK163" s="34">
        <v>0.03</v>
      </c>
      <c r="BL163" s="21"/>
      <c r="BM163" s="35">
        <v>0.6100000000000001</v>
      </c>
    </row>
    <row r="164" spans="1:65" x14ac:dyDescent="0.25">
      <c r="A164" s="4" t="s">
        <v>63</v>
      </c>
      <c r="B164" s="4">
        <v>71936</v>
      </c>
      <c r="C164" s="4" t="s">
        <v>224</v>
      </c>
      <c r="D164" s="19" t="s">
        <v>255</v>
      </c>
      <c r="E164" s="20">
        <v>49862</v>
      </c>
      <c r="F164" s="20" t="s">
        <v>588</v>
      </c>
      <c r="G164" s="20" t="s">
        <v>589</v>
      </c>
      <c r="H164" s="2">
        <v>45760</v>
      </c>
      <c r="I164" s="2" t="s">
        <v>353</v>
      </c>
      <c r="J164" s="2" t="s">
        <v>353</v>
      </c>
      <c r="K164" s="21">
        <v>19</v>
      </c>
      <c r="L164" s="21">
        <v>564300</v>
      </c>
      <c r="M164" s="21">
        <v>0</v>
      </c>
      <c r="N164" s="21">
        <v>793</v>
      </c>
      <c r="O164" s="21">
        <v>0</v>
      </c>
      <c r="P164" s="21">
        <v>506200</v>
      </c>
      <c r="Q164" s="22">
        <v>309.77175283732663</v>
      </c>
      <c r="R164" s="22">
        <v>300</v>
      </c>
      <c r="S164" s="23">
        <v>0</v>
      </c>
      <c r="T164" s="23">
        <v>0</v>
      </c>
      <c r="U164" s="24">
        <v>0.89704058125110753</v>
      </c>
      <c r="V164" s="25">
        <v>0.1</v>
      </c>
      <c r="W164" s="26">
        <v>0.1</v>
      </c>
      <c r="X164" s="27">
        <v>0.68421052631578949</v>
      </c>
      <c r="Y164" s="25">
        <v>0</v>
      </c>
      <c r="Z164" s="24">
        <v>0.94736842105263153</v>
      </c>
      <c r="AA164" s="25">
        <v>0</v>
      </c>
      <c r="AB164" s="28">
        <v>0</v>
      </c>
      <c r="AC164" s="28">
        <v>0</v>
      </c>
      <c r="AD164" s="28">
        <v>0</v>
      </c>
      <c r="AE164" s="25">
        <v>0.09</v>
      </c>
      <c r="AF164" s="26">
        <v>0.09</v>
      </c>
      <c r="AG164" s="29" t="s">
        <v>729</v>
      </c>
      <c r="AH164" s="30">
        <v>0.82499999999999996</v>
      </c>
      <c r="AI164" s="26">
        <v>0.05</v>
      </c>
      <c r="AJ164" s="21">
        <v>0</v>
      </c>
      <c r="AK164" s="21">
        <v>0</v>
      </c>
      <c r="AL164" s="26">
        <v>0.1</v>
      </c>
      <c r="AM164" s="24">
        <v>0.68263157894736837</v>
      </c>
      <c r="AN164" s="24">
        <v>0.73684210526315785</v>
      </c>
      <c r="AO164" s="31">
        <v>0.08</v>
      </c>
      <c r="AP164" s="31">
        <v>0.03</v>
      </c>
      <c r="AQ164" s="24">
        <v>0.81246376811594201</v>
      </c>
      <c r="AR164" s="27">
        <v>0.85507246376811596</v>
      </c>
      <c r="AS164" s="26">
        <v>0</v>
      </c>
      <c r="AT164" s="26">
        <v>0</v>
      </c>
      <c r="AU164" s="24">
        <v>0.9231950844854071</v>
      </c>
      <c r="AV164" s="32">
        <v>10</v>
      </c>
      <c r="AW164" s="26">
        <v>0</v>
      </c>
      <c r="AX164" s="26">
        <v>0</v>
      </c>
      <c r="AY164" s="24">
        <v>0.69786936236391917</v>
      </c>
      <c r="AZ164" s="24">
        <v>0.70606531881804047</v>
      </c>
      <c r="BA164" s="31">
        <v>0.1</v>
      </c>
      <c r="BB164" s="33">
        <v>0.32999999999999996</v>
      </c>
      <c r="BD164" s="26">
        <v>0.51999999999999991</v>
      </c>
      <c r="BE164" s="26">
        <v>0.03</v>
      </c>
      <c r="BF164" s="26" t="s">
        <v>729</v>
      </c>
      <c r="BH164" s="34">
        <v>0</v>
      </c>
      <c r="BI164" s="34">
        <v>0.06</v>
      </c>
      <c r="BJ164" s="34" t="s">
        <v>259</v>
      </c>
      <c r="BK164" s="34">
        <v>0.06</v>
      </c>
      <c r="BL164" s="21"/>
      <c r="BM164" s="35">
        <v>0.48999999999999994</v>
      </c>
    </row>
    <row r="165" spans="1:65" x14ac:dyDescent="0.25">
      <c r="A165" s="4" t="s">
        <v>63</v>
      </c>
      <c r="B165" s="4">
        <v>72162</v>
      </c>
      <c r="C165" s="4" t="s">
        <v>225</v>
      </c>
      <c r="D165" s="19" t="s">
        <v>255</v>
      </c>
      <c r="E165" s="20">
        <v>49839</v>
      </c>
      <c r="F165" s="20" t="s">
        <v>590</v>
      </c>
      <c r="G165" s="20" t="s">
        <v>591</v>
      </c>
      <c r="H165" s="2">
        <v>45760</v>
      </c>
      <c r="I165" s="2" t="s">
        <v>353</v>
      </c>
      <c r="J165" s="2" t="s">
        <v>353</v>
      </c>
      <c r="K165" s="21">
        <v>22</v>
      </c>
      <c r="L165" s="21">
        <v>653400</v>
      </c>
      <c r="M165" s="21">
        <v>0</v>
      </c>
      <c r="N165" s="21">
        <v>929</v>
      </c>
      <c r="O165" s="21">
        <v>0</v>
      </c>
      <c r="P165" s="21">
        <v>512916</v>
      </c>
      <c r="Q165" s="22">
        <v>313.84068891280947</v>
      </c>
      <c r="R165" s="22">
        <v>300</v>
      </c>
      <c r="S165" s="23">
        <v>0</v>
      </c>
      <c r="T165" s="23">
        <v>0</v>
      </c>
      <c r="U165" s="24">
        <v>0.78499540863177231</v>
      </c>
      <c r="V165" s="25">
        <v>0.05</v>
      </c>
      <c r="W165" s="26">
        <v>0.05</v>
      </c>
      <c r="X165" s="27">
        <v>0.86363636363636365</v>
      </c>
      <c r="Y165" s="25">
        <v>0</v>
      </c>
      <c r="Z165" s="24">
        <v>0.95454545454545459</v>
      </c>
      <c r="AA165" s="25">
        <v>0.04</v>
      </c>
      <c r="AB165" s="28">
        <v>0</v>
      </c>
      <c r="AC165" s="28">
        <v>0</v>
      </c>
      <c r="AD165" s="28">
        <v>0</v>
      </c>
      <c r="AE165" s="25">
        <v>0.09</v>
      </c>
      <c r="AF165" s="26">
        <v>0.13</v>
      </c>
      <c r="AG165" s="29" t="s">
        <v>729</v>
      </c>
      <c r="AH165" s="30">
        <v>0.9</v>
      </c>
      <c r="AI165" s="26">
        <v>0.1</v>
      </c>
      <c r="AJ165" s="21">
        <v>0</v>
      </c>
      <c r="AK165" s="21">
        <v>0</v>
      </c>
      <c r="AL165" s="26">
        <v>0.1</v>
      </c>
      <c r="AM165" s="24">
        <v>0.67912621359223302</v>
      </c>
      <c r="AN165" s="24">
        <v>0.64077669902912626</v>
      </c>
      <c r="AO165" s="31">
        <v>0.04</v>
      </c>
      <c r="AP165" s="31">
        <v>0</v>
      </c>
      <c r="AQ165" s="24">
        <v>0.81010869565217392</v>
      </c>
      <c r="AR165" s="27">
        <v>0.80434782608695654</v>
      </c>
      <c r="AS165" s="26">
        <v>0.125</v>
      </c>
      <c r="AT165" s="26">
        <v>0</v>
      </c>
      <c r="AU165" s="24">
        <v>0.99060402684563753</v>
      </c>
      <c r="AV165" s="32">
        <v>9</v>
      </c>
      <c r="AW165" s="26">
        <v>0</v>
      </c>
      <c r="AX165" s="26">
        <v>0</v>
      </c>
      <c r="AY165" s="24">
        <v>0.69577445652173919</v>
      </c>
      <c r="AZ165" s="24">
        <v>0.72282608695652173</v>
      </c>
      <c r="BA165" s="31">
        <v>0.1</v>
      </c>
      <c r="BB165" s="33">
        <v>0.46499999999999997</v>
      </c>
      <c r="BD165" s="26">
        <v>0.64500000000000002</v>
      </c>
      <c r="BE165" s="26">
        <v>0</v>
      </c>
      <c r="BF165" s="26" t="s">
        <v>729</v>
      </c>
      <c r="BH165" s="34">
        <v>0</v>
      </c>
      <c r="BI165" s="34">
        <v>0.05</v>
      </c>
      <c r="BJ165" s="34" t="s">
        <v>259</v>
      </c>
      <c r="BK165" s="34">
        <v>0.05</v>
      </c>
      <c r="BL165" s="21"/>
      <c r="BM165" s="35">
        <v>0.59499999999999997</v>
      </c>
    </row>
    <row r="166" spans="1:65" x14ac:dyDescent="0.25">
      <c r="A166" s="4" t="s">
        <v>63</v>
      </c>
      <c r="B166" s="4">
        <v>72639</v>
      </c>
      <c r="C166" s="4" t="s">
        <v>226</v>
      </c>
      <c r="D166" s="19" t="s">
        <v>255</v>
      </c>
      <c r="E166" s="20">
        <v>49840</v>
      </c>
      <c r="F166" s="20" t="s">
        <v>592</v>
      </c>
      <c r="G166" s="20" t="s">
        <v>593</v>
      </c>
      <c r="H166" s="2">
        <v>45760</v>
      </c>
      <c r="I166" s="2" t="s">
        <v>353</v>
      </c>
      <c r="J166" s="2" t="s">
        <v>353</v>
      </c>
      <c r="K166" s="21">
        <v>20</v>
      </c>
      <c r="L166" s="21">
        <v>594000</v>
      </c>
      <c r="M166" s="21">
        <v>0</v>
      </c>
      <c r="N166" s="21">
        <v>877</v>
      </c>
      <c r="O166" s="21">
        <v>0</v>
      </c>
      <c r="P166" s="21">
        <v>506841</v>
      </c>
      <c r="Q166" s="22">
        <v>381.43899657924743</v>
      </c>
      <c r="R166" s="22">
        <v>300</v>
      </c>
      <c r="S166" s="23">
        <v>0</v>
      </c>
      <c r="T166" s="23">
        <v>0</v>
      </c>
      <c r="U166" s="24">
        <v>0.85326767676767679</v>
      </c>
      <c r="V166" s="25">
        <v>0.1</v>
      </c>
      <c r="W166" s="26">
        <v>0.1</v>
      </c>
      <c r="X166" s="27">
        <v>0.6</v>
      </c>
      <c r="Y166" s="25">
        <v>0</v>
      </c>
      <c r="Z166" s="24">
        <v>0.9</v>
      </c>
      <c r="AA166" s="25">
        <v>0</v>
      </c>
      <c r="AB166" s="28">
        <v>1</v>
      </c>
      <c r="AC166" s="28">
        <v>0</v>
      </c>
      <c r="AD166" s="28">
        <v>0</v>
      </c>
      <c r="AE166" s="25">
        <v>0</v>
      </c>
      <c r="AF166" s="26">
        <v>0</v>
      </c>
      <c r="AG166" s="29" t="s">
        <v>729</v>
      </c>
      <c r="AH166" s="30">
        <v>1</v>
      </c>
      <c r="AI166" s="26">
        <v>0.1</v>
      </c>
      <c r="AJ166" s="21">
        <v>0</v>
      </c>
      <c r="AK166" s="21">
        <v>0</v>
      </c>
      <c r="AL166" s="26">
        <v>0.1</v>
      </c>
      <c r="AM166" s="24">
        <v>0.67266666666666663</v>
      </c>
      <c r="AN166" s="24">
        <v>0.67619047619047623</v>
      </c>
      <c r="AO166" s="31">
        <v>0.08</v>
      </c>
      <c r="AP166" s="31">
        <v>0.03</v>
      </c>
      <c r="AQ166" s="24">
        <v>0.80374999999999996</v>
      </c>
      <c r="AR166" s="27">
        <v>0.72916666666666663</v>
      </c>
      <c r="AS166" s="26">
        <v>0</v>
      </c>
      <c r="AT166" s="26">
        <v>0</v>
      </c>
      <c r="AU166" s="24">
        <v>0.99039780521262</v>
      </c>
      <c r="AV166" s="32">
        <v>8</v>
      </c>
      <c r="AW166" s="26">
        <v>0</v>
      </c>
      <c r="AX166" s="26">
        <v>0</v>
      </c>
      <c r="AY166" s="24">
        <v>0.69219273743016752</v>
      </c>
      <c r="AZ166" s="24">
        <v>0.71508379888268159</v>
      </c>
      <c r="BA166" s="31">
        <v>0.1</v>
      </c>
      <c r="BB166" s="33">
        <v>0.38</v>
      </c>
      <c r="BD166" s="26">
        <v>0.48</v>
      </c>
      <c r="BE166" s="26">
        <v>0.03</v>
      </c>
      <c r="BF166" s="26" t="s">
        <v>729</v>
      </c>
      <c r="BH166" s="34">
        <v>0</v>
      </c>
      <c r="BI166" s="34">
        <v>0.04</v>
      </c>
      <c r="BJ166" s="34" t="s">
        <v>259</v>
      </c>
      <c r="BK166" s="34">
        <v>0.04</v>
      </c>
      <c r="BL166" s="21"/>
      <c r="BM166" s="35">
        <v>0.47000000000000003</v>
      </c>
    </row>
    <row r="167" spans="1:65" x14ac:dyDescent="0.25">
      <c r="A167" s="4" t="s">
        <v>63</v>
      </c>
      <c r="B167" s="4">
        <v>72194</v>
      </c>
      <c r="C167" s="4" t="s">
        <v>227</v>
      </c>
      <c r="D167" s="19" t="s">
        <v>255</v>
      </c>
      <c r="E167" s="20">
        <v>49841</v>
      </c>
      <c r="F167" s="20" t="s">
        <v>594</v>
      </c>
      <c r="G167" s="20" t="s">
        <v>595</v>
      </c>
      <c r="H167" s="2">
        <v>45760</v>
      </c>
      <c r="I167" s="2" t="s">
        <v>353</v>
      </c>
      <c r="J167" s="2" t="s">
        <v>353</v>
      </c>
      <c r="K167" s="21">
        <v>19</v>
      </c>
      <c r="L167" s="21">
        <v>564300</v>
      </c>
      <c r="M167" s="21">
        <v>0</v>
      </c>
      <c r="N167" s="21">
        <v>914</v>
      </c>
      <c r="O167" s="21">
        <v>0</v>
      </c>
      <c r="P167" s="21">
        <v>454603</v>
      </c>
      <c r="Q167" s="22">
        <v>289.91137855579871</v>
      </c>
      <c r="R167" s="22">
        <v>300</v>
      </c>
      <c r="S167" s="23">
        <v>0.1</v>
      </c>
      <c r="T167" s="23">
        <v>0.05</v>
      </c>
      <c r="U167" s="24">
        <v>0.80560517455254299</v>
      </c>
      <c r="V167" s="25">
        <v>0.05</v>
      </c>
      <c r="W167" s="26">
        <v>0.15000000000000002</v>
      </c>
      <c r="X167" s="27">
        <v>0.57894736842105265</v>
      </c>
      <c r="Y167" s="25">
        <v>0</v>
      </c>
      <c r="Z167" s="24">
        <v>0.84210526315789469</v>
      </c>
      <c r="AA167" s="25">
        <v>0</v>
      </c>
      <c r="AB167" s="28">
        <v>0</v>
      </c>
      <c r="AC167" s="28">
        <v>0</v>
      </c>
      <c r="AD167" s="28">
        <v>0</v>
      </c>
      <c r="AE167" s="25">
        <v>0.09</v>
      </c>
      <c r="AF167" s="26">
        <v>0.09</v>
      </c>
      <c r="AG167" s="29" t="s">
        <v>729</v>
      </c>
      <c r="AH167" s="30">
        <v>0.5</v>
      </c>
      <c r="AI167" s="26">
        <v>0</v>
      </c>
      <c r="AJ167" s="21">
        <v>0</v>
      </c>
      <c r="AK167" s="21">
        <v>0</v>
      </c>
      <c r="AL167" s="26">
        <v>0.1</v>
      </c>
      <c r="AM167" s="24">
        <v>0.6843089430894308</v>
      </c>
      <c r="AN167" s="24">
        <v>0.64227642276422769</v>
      </c>
      <c r="AO167" s="31">
        <v>0.04</v>
      </c>
      <c r="AP167" s="31">
        <v>0</v>
      </c>
      <c r="AQ167" s="24">
        <v>0.81543859649122796</v>
      </c>
      <c r="AR167" s="27">
        <v>0.77192982456140347</v>
      </c>
      <c r="AS167" s="26">
        <v>7.4999999999999997E-2</v>
      </c>
      <c r="AT167" s="26">
        <v>0</v>
      </c>
      <c r="AU167" s="24">
        <v>0.977979274611399</v>
      </c>
      <c r="AV167" s="32">
        <v>2</v>
      </c>
      <c r="AW167" s="26">
        <v>0.03</v>
      </c>
      <c r="AX167" s="26">
        <v>0</v>
      </c>
      <c r="AY167" s="24">
        <v>0.70773509933774836</v>
      </c>
      <c r="AZ167" s="24">
        <v>0.66622516556291389</v>
      </c>
      <c r="BA167" s="31">
        <v>0</v>
      </c>
      <c r="BB167" s="33">
        <v>0.245</v>
      </c>
      <c r="BD167" s="26">
        <v>0.48499999999999999</v>
      </c>
      <c r="BE167" s="26">
        <v>0.05</v>
      </c>
      <c r="BF167" s="26" t="s">
        <v>729</v>
      </c>
      <c r="BH167" s="34">
        <v>0</v>
      </c>
      <c r="BI167" s="34">
        <v>0</v>
      </c>
      <c r="BJ167" s="34" t="s">
        <v>259</v>
      </c>
      <c r="BK167" s="34">
        <v>0</v>
      </c>
      <c r="BL167" s="21"/>
      <c r="BM167" s="35">
        <v>0.53500000000000003</v>
      </c>
    </row>
    <row r="168" spans="1:65" x14ac:dyDescent="0.25">
      <c r="A168" s="4" t="s">
        <v>63</v>
      </c>
      <c r="B168" s="4">
        <v>72218</v>
      </c>
      <c r="C168" s="4" t="s">
        <v>228</v>
      </c>
      <c r="D168" s="19" t="s">
        <v>255</v>
      </c>
      <c r="E168" s="20">
        <v>49842</v>
      </c>
      <c r="F168" s="20" t="s">
        <v>596</v>
      </c>
      <c r="G168" s="20" t="s">
        <v>597</v>
      </c>
      <c r="H168" s="2">
        <v>45760</v>
      </c>
      <c r="I168" s="2" t="s">
        <v>353</v>
      </c>
      <c r="J168" s="2" t="s">
        <v>353</v>
      </c>
      <c r="K168" s="21">
        <v>19</v>
      </c>
      <c r="L168" s="21">
        <v>564300</v>
      </c>
      <c r="M168" s="21">
        <v>0</v>
      </c>
      <c r="N168" s="21">
        <v>796</v>
      </c>
      <c r="O168" s="21">
        <v>0</v>
      </c>
      <c r="P168" s="21">
        <v>490664</v>
      </c>
      <c r="Q168" s="22">
        <v>396.5540201005025</v>
      </c>
      <c r="R168" s="22">
        <v>300</v>
      </c>
      <c r="S168" s="23">
        <v>0</v>
      </c>
      <c r="T168" s="23">
        <v>0</v>
      </c>
      <c r="U168" s="24">
        <v>0.86950912635123156</v>
      </c>
      <c r="V168" s="25">
        <v>0.1</v>
      </c>
      <c r="W168" s="26">
        <v>0.1</v>
      </c>
      <c r="X168" s="27">
        <v>0.57894736842105265</v>
      </c>
      <c r="Y168" s="25">
        <v>0</v>
      </c>
      <c r="Z168" s="24">
        <v>0.89473684210526316</v>
      </c>
      <c r="AA168" s="25">
        <v>0</v>
      </c>
      <c r="AB168" s="28">
        <v>0</v>
      </c>
      <c r="AC168" s="28">
        <v>0</v>
      </c>
      <c r="AD168" s="28">
        <v>0</v>
      </c>
      <c r="AE168" s="25">
        <v>0.09</v>
      </c>
      <c r="AF168" s="26">
        <v>0.09</v>
      </c>
      <c r="AG168" s="29" t="s">
        <v>729</v>
      </c>
      <c r="AH168" s="30">
        <v>0.95</v>
      </c>
      <c r="AI168" s="26">
        <v>0.1</v>
      </c>
      <c r="AJ168" s="21">
        <v>0</v>
      </c>
      <c r="AK168" s="21">
        <v>0</v>
      </c>
      <c r="AL168" s="26">
        <v>0.1</v>
      </c>
      <c r="AM168" s="24">
        <v>0.68692307692307686</v>
      </c>
      <c r="AN168" s="24">
        <v>0.60439560439560436</v>
      </c>
      <c r="AO168" s="31">
        <v>0</v>
      </c>
      <c r="AP168" s="31">
        <v>0</v>
      </c>
      <c r="AQ168" s="24">
        <v>0.81679012345679003</v>
      </c>
      <c r="AR168" s="27">
        <v>0.76543209876543206</v>
      </c>
      <c r="AS168" s="26">
        <v>0.02</v>
      </c>
      <c r="AT168" s="26">
        <v>0</v>
      </c>
      <c r="AU168" s="24">
        <v>0.94614264919941771</v>
      </c>
      <c r="AV168" s="32">
        <v>16</v>
      </c>
      <c r="AW168" s="26">
        <v>0</v>
      </c>
      <c r="AX168" s="26">
        <v>0</v>
      </c>
      <c r="AY168" s="24">
        <v>0.70805022156573116</v>
      </c>
      <c r="AZ168" s="24">
        <v>0.7016248153618907</v>
      </c>
      <c r="BA168" s="31">
        <v>0.05</v>
      </c>
      <c r="BB168" s="33">
        <v>0.27</v>
      </c>
      <c r="BD168" s="26">
        <v>0.45999999999999996</v>
      </c>
      <c r="BE168" s="26">
        <v>0</v>
      </c>
      <c r="BF168" s="26" t="s">
        <v>729</v>
      </c>
      <c r="BH168" s="34">
        <v>0</v>
      </c>
      <c r="BI168" s="34">
        <v>0.12</v>
      </c>
      <c r="BJ168" s="34" t="s">
        <v>259</v>
      </c>
      <c r="BK168" s="34">
        <v>0.12</v>
      </c>
      <c r="BL168" s="21"/>
      <c r="BM168" s="35">
        <v>0.33999999999999997</v>
      </c>
    </row>
    <row r="169" spans="1:65" x14ac:dyDescent="0.25">
      <c r="A169" s="4" t="s">
        <v>63</v>
      </c>
      <c r="B169" s="4">
        <v>72337</v>
      </c>
      <c r="C169" s="4" t="s">
        <v>229</v>
      </c>
      <c r="D169" s="19" t="s">
        <v>255</v>
      </c>
      <c r="E169" s="20">
        <v>49860</v>
      </c>
      <c r="F169" s="20" t="s">
        <v>598</v>
      </c>
      <c r="G169" s="20" t="s">
        <v>599</v>
      </c>
      <c r="H169" s="2">
        <v>45760</v>
      </c>
      <c r="I169" s="2" t="s">
        <v>353</v>
      </c>
      <c r="J169" s="2" t="s">
        <v>353</v>
      </c>
      <c r="K169" s="21">
        <v>22</v>
      </c>
      <c r="L169" s="21">
        <v>653400</v>
      </c>
      <c r="M169" s="21">
        <v>0</v>
      </c>
      <c r="N169" s="21">
        <v>858</v>
      </c>
      <c r="O169" s="21">
        <v>0</v>
      </c>
      <c r="P169" s="21">
        <v>542893</v>
      </c>
      <c r="Q169" s="22">
        <v>288.34149184149186</v>
      </c>
      <c r="R169" s="22">
        <v>300</v>
      </c>
      <c r="S169" s="23">
        <v>0.1</v>
      </c>
      <c r="T169" s="23">
        <v>0.05</v>
      </c>
      <c r="U169" s="24">
        <v>0.83087389041934501</v>
      </c>
      <c r="V169" s="25">
        <v>0.1</v>
      </c>
      <c r="W169" s="26">
        <v>0.2</v>
      </c>
      <c r="X169" s="27">
        <v>0.63636363636363635</v>
      </c>
      <c r="Y169" s="25">
        <v>0</v>
      </c>
      <c r="Z169" s="24">
        <v>0.95454545454545459</v>
      </c>
      <c r="AA169" s="25">
        <v>0.04</v>
      </c>
      <c r="AB169" s="28">
        <v>0</v>
      </c>
      <c r="AC169" s="28">
        <v>0</v>
      </c>
      <c r="AD169" s="28">
        <v>0</v>
      </c>
      <c r="AE169" s="25">
        <v>0.09</v>
      </c>
      <c r="AF169" s="26">
        <v>0.13</v>
      </c>
      <c r="AG169" s="29" t="s">
        <v>729</v>
      </c>
      <c r="AH169" s="30">
        <v>0.875</v>
      </c>
      <c r="AI169" s="26">
        <v>0.05</v>
      </c>
      <c r="AJ169" s="21">
        <v>0</v>
      </c>
      <c r="AK169" s="21">
        <v>0</v>
      </c>
      <c r="AL169" s="26">
        <v>0.1</v>
      </c>
      <c r="AM169" s="24">
        <v>0.69</v>
      </c>
      <c r="AN169" s="24">
        <v>0.71</v>
      </c>
      <c r="AO169" s="31">
        <v>0.08</v>
      </c>
      <c r="AP169" s="31">
        <v>0.03</v>
      </c>
      <c r="AQ169" s="24">
        <v>0.82</v>
      </c>
      <c r="AR169" s="27">
        <v>0.81521739130434778</v>
      </c>
      <c r="AS169" s="26">
        <v>0.125</v>
      </c>
      <c r="AT169" s="26">
        <v>0</v>
      </c>
      <c r="AU169" s="24">
        <v>0.99120234604105573</v>
      </c>
      <c r="AV169" s="32">
        <v>14</v>
      </c>
      <c r="AW169" s="26">
        <v>0</v>
      </c>
      <c r="AX169" s="26">
        <v>0</v>
      </c>
      <c r="AY169" s="24">
        <v>0.69493293591654248</v>
      </c>
      <c r="AZ169" s="24">
        <v>0.72578241430700452</v>
      </c>
      <c r="BA169" s="31">
        <v>0.1</v>
      </c>
      <c r="BB169" s="33">
        <v>0.45500000000000007</v>
      </c>
      <c r="BD169" s="26">
        <v>0.78500000000000014</v>
      </c>
      <c r="BE169" s="26">
        <v>0.08</v>
      </c>
      <c r="BF169" s="26" t="s">
        <v>729</v>
      </c>
      <c r="BH169" s="34">
        <v>0</v>
      </c>
      <c r="BI169" s="34">
        <v>0.1</v>
      </c>
      <c r="BJ169" s="34" t="s">
        <v>259</v>
      </c>
      <c r="BK169" s="34">
        <v>0.1</v>
      </c>
      <c r="BL169" s="21"/>
      <c r="BM169" s="35">
        <v>0.76500000000000012</v>
      </c>
    </row>
    <row r="170" spans="1:65" x14ac:dyDescent="0.25">
      <c r="A170" s="4" t="s">
        <v>63</v>
      </c>
      <c r="B170" s="4">
        <v>72316</v>
      </c>
      <c r="C170" s="4" t="s">
        <v>230</v>
      </c>
      <c r="D170" s="19" t="s">
        <v>255</v>
      </c>
      <c r="E170" s="20">
        <v>49859</v>
      </c>
      <c r="F170" s="20" t="s">
        <v>600</v>
      </c>
      <c r="G170" s="20" t="s">
        <v>601</v>
      </c>
      <c r="H170" s="2">
        <v>45760</v>
      </c>
      <c r="I170" s="2" t="s">
        <v>353</v>
      </c>
      <c r="J170" s="2" t="s">
        <v>353</v>
      </c>
      <c r="K170" s="21">
        <v>18</v>
      </c>
      <c r="L170" s="21">
        <v>534600</v>
      </c>
      <c r="M170" s="21">
        <v>7200</v>
      </c>
      <c r="N170" s="21">
        <v>732</v>
      </c>
      <c r="O170" s="21">
        <v>0</v>
      </c>
      <c r="P170" s="21">
        <v>423903</v>
      </c>
      <c r="Q170" s="22">
        <v>282.35655737704917</v>
      </c>
      <c r="R170" s="22">
        <v>300</v>
      </c>
      <c r="S170" s="23">
        <v>0.1</v>
      </c>
      <c r="T170" s="23">
        <v>0.05</v>
      </c>
      <c r="U170" s="24">
        <v>0.80375995449374293</v>
      </c>
      <c r="V170" s="25">
        <v>0.05</v>
      </c>
      <c r="W170" s="26">
        <v>0.15000000000000002</v>
      </c>
      <c r="X170" s="27">
        <v>0.83333333333333337</v>
      </c>
      <c r="Y170" s="25">
        <v>0</v>
      </c>
      <c r="Z170" s="24">
        <v>0.94444444444444442</v>
      </c>
      <c r="AA170" s="25">
        <v>0</v>
      </c>
      <c r="AB170" s="28">
        <v>0</v>
      </c>
      <c r="AC170" s="28">
        <v>0</v>
      </c>
      <c r="AD170" s="28">
        <v>0</v>
      </c>
      <c r="AE170" s="25">
        <v>0.09</v>
      </c>
      <c r="AF170" s="26">
        <v>0.09</v>
      </c>
      <c r="AG170" s="29" t="s">
        <v>729</v>
      </c>
      <c r="AH170" s="30">
        <v>1</v>
      </c>
      <c r="AI170" s="26">
        <v>0.1</v>
      </c>
      <c r="AJ170" s="21">
        <v>0</v>
      </c>
      <c r="AK170" s="21">
        <v>0</v>
      </c>
      <c r="AL170" s="26">
        <v>0.1</v>
      </c>
      <c r="AM170" s="24">
        <v>0.67249999999999988</v>
      </c>
      <c r="AN170" s="24">
        <v>0.64583333333333337</v>
      </c>
      <c r="AO170" s="31">
        <v>0.04</v>
      </c>
      <c r="AP170" s="31">
        <v>0</v>
      </c>
      <c r="AQ170" s="24">
        <v>0.80247191011235941</v>
      </c>
      <c r="AR170" s="27">
        <v>0.7640449438202247</v>
      </c>
      <c r="AS170" s="26">
        <v>7.4999999999999997E-2</v>
      </c>
      <c r="AT170" s="26">
        <v>0</v>
      </c>
      <c r="AU170" s="24">
        <v>0.97545008183306059</v>
      </c>
      <c r="AV170" s="32">
        <v>5</v>
      </c>
      <c r="AW170" s="26">
        <v>0</v>
      </c>
      <c r="AX170" s="26">
        <v>0</v>
      </c>
      <c r="AY170" s="24">
        <v>0.68579545454545465</v>
      </c>
      <c r="AZ170" s="24">
        <v>0.68831168831168832</v>
      </c>
      <c r="BA170" s="31">
        <v>0.1</v>
      </c>
      <c r="BB170" s="33">
        <v>0.41500000000000004</v>
      </c>
      <c r="BD170" s="26">
        <v>0.65500000000000003</v>
      </c>
      <c r="BE170" s="26">
        <v>0.05</v>
      </c>
      <c r="BF170" s="26" t="s">
        <v>729</v>
      </c>
      <c r="BH170" s="34">
        <v>0</v>
      </c>
      <c r="BI170" s="34">
        <v>0.01</v>
      </c>
      <c r="BJ170" s="34" t="s">
        <v>259</v>
      </c>
      <c r="BK170" s="34">
        <v>0.01</v>
      </c>
      <c r="BL170" s="21"/>
      <c r="BM170" s="35">
        <v>0.69500000000000006</v>
      </c>
    </row>
    <row r="171" spans="1:65" x14ac:dyDescent="0.25">
      <c r="A171" s="4" t="s">
        <v>63</v>
      </c>
      <c r="B171" s="4">
        <v>72223</v>
      </c>
      <c r="C171" s="4" t="s">
        <v>231</v>
      </c>
      <c r="D171" s="19" t="s">
        <v>255</v>
      </c>
      <c r="E171" s="20">
        <v>49843</v>
      </c>
      <c r="F171" s="20" t="s">
        <v>602</v>
      </c>
      <c r="G171" s="20" t="s">
        <v>603</v>
      </c>
      <c r="H171" s="2">
        <v>45760</v>
      </c>
      <c r="I171" s="2" t="s">
        <v>353</v>
      </c>
      <c r="J171" s="2" t="s">
        <v>353</v>
      </c>
      <c r="K171" s="21">
        <v>20</v>
      </c>
      <c r="L171" s="21">
        <v>594000</v>
      </c>
      <c r="M171" s="21">
        <v>0</v>
      </c>
      <c r="N171" s="21">
        <v>766</v>
      </c>
      <c r="O171" s="21">
        <v>0</v>
      </c>
      <c r="P171" s="21">
        <v>525789</v>
      </c>
      <c r="Q171" s="22">
        <v>461.34073107049608</v>
      </c>
      <c r="R171" s="22">
        <v>300</v>
      </c>
      <c r="S171" s="23">
        <v>0</v>
      </c>
      <c r="T171" s="23">
        <v>0</v>
      </c>
      <c r="U171" s="24">
        <v>0.88516666666666666</v>
      </c>
      <c r="V171" s="25">
        <v>0.1</v>
      </c>
      <c r="W171" s="26">
        <v>0.1</v>
      </c>
      <c r="X171" s="27">
        <v>0.9</v>
      </c>
      <c r="Y171" s="25">
        <v>0</v>
      </c>
      <c r="Z171" s="24">
        <v>0.85</v>
      </c>
      <c r="AA171" s="25">
        <v>0</v>
      </c>
      <c r="AB171" s="28">
        <v>1</v>
      </c>
      <c r="AC171" s="28">
        <v>0</v>
      </c>
      <c r="AD171" s="28">
        <v>0</v>
      </c>
      <c r="AE171" s="25">
        <v>0</v>
      </c>
      <c r="AF171" s="26">
        <v>0</v>
      </c>
      <c r="AG171" s="29" t="s">
        <v>729</v>
      </c>
      <c r="AH171" s="30">
        <v>0.72500000000000009</v>
      </c>
      <c r="AI171" s="26">
        <v>0</v>
      </c>
      <c r="AJ171" s="21">
        <v>0</v>
      </c>
      <c r="AK171" s="21">
        <v>0</v>
      </c>
      <c r="AL171" s="26">
        <v>0.1</v>
      </c>
      <c r="AM171" s="24">
        <v>0.67675675675675673</v>
      </c>
      <c r="AN171" s="24">
        <v>0.67567567567567566</v>
      </c>
      <c r="AO171" s="31">
        <v>0.06</v>
      </c>
      <c r="AP171" s="31">
        <v>0</v>
      </c>
      <c r="AQ171" s="24">
        <v>0.80699999999999994</v>
      </c>
      <c r="AR171" s="27">
        <v>0.74285714285714288</v>
      </c>
      <c r="AS171" s="26">
        <v>0</v>
      </c>
      <c r="AT171" s="26">
        <v>0</v>
      </c>
      <c r="AU171" s="24">
        <v>0.84929356357927788</v>
      </c>
      <c r="AV171" s="32">
        <v>15</v>
      </c>
      <c r="AW171" s="26">
        <v>0</v>
      </c>
      <c r="AX171" s="26">
        <v>0</v>
      </c>
      <c r="AY171" s="24">
        <v>0.69926868044515111</v>
      </c>
      <c r="AZ171" s="24">
        <v>0.70111287758346585</v>
      </c>
      <c r="BA171" s="31">
        <v>0.1</v>
      </c>
      <c r="BB171" s="33">
        <v>0.26</v>
      </c>
      <c r="BD171" s="26">
        <v>0.36</v>
      </c>
      <c r="BE171" s="26">
        <v>0</v>
      </c>
      <c r="BF171" s="26" t="s">
        <v>729</v>
      </c>
      <c r="BH171" s="34">
        <v>0</v>
      </c>
      <c r="BI171" s="34">
        <v>0.11</v>
      </c>
      <c r="BJ171" s="34" t="s">
        <v>259</v>
      </c>
      <c r="BK171" s="34">
        <v>0.11</v>
      </c>
      <c r="BL171" s="21"/>
      <c r="BM171" s="35">
        <v>0.25</v>
      </c>
    </row>
    <row r="172" spans="1:65" x14ac:dyDescent="0.25">
      <c r="A172" s="4" t="s">
        <v>63</v>
      </c>
      <c r="B172" s="4">
        <v>71997</v>
      </c>
      <c r="C172" s="4" t="s">
        <v>232</v>
      </c>
      <c r="D172" s="19" t="s">
        <v>255</v>
      </c>
      <c r="E172" s="20">
        <v>49875</v>
      </c>
      <c r="F172" s="20" t="s">
        <v>604</v>
      </c>
      <c r="G172" s="20" t="s">
        <v>605</v>
      </c>
      <c r="H172" s="2">
        <v>45760</v>
      </c>
      <c r="I172" s="2" t="s">
        <v>353</v>
      </c>
      <c r="J172" s="2" t="s">
        <v>353</v>
      </c>
      <c r="K172" s="21">
        <v>2</v>
      </c>
      <c r="L172" s="21">
        <v>59400</v>
      </c>
      <c r="M172" s="21">
        <v>0</v>
      </c>
      <c r="N172" s="21">
        <v>86</v>
      </c>
      <c r="O172" s="21">
        <v>0</v>
      </c>
      <c r="P172" s="21">
        <v>52624</v>
      </c>
      <c r="Q172" s="22">
        <v>440.25581395348837</v>
      </c>
      <c r="R172" s="22">
        <v>300</v>
      </c>
      <c r="S172" s="23">
        <v>0</v>
      </c>
      <c r="T172" s="23">
        <v>0</v>
      </c>
      <c r="U172" s="24">
        <v>0.88592592592592589</v>
      </c>
      <c r="V172" s="25">
        <v>0.1</v>
      </c>
      <c r="W172" s="26">
        <v>0.1</v>
      </c>
      <c r="X172" s="27">
        <v>0.5</v>
      </c>
      <c r="Y172" s="25">
        <v>0</v>
      </c>
      <c r="Z172" s="24">
        <v>0.5</v>
      </c>
      <c r="AA172" s="25">
        <v>0</v>
      </c>
      <c r="AB172" s="28">
        <v>2</v>
      </c>
      <c r="AC172" s="28">
        <v>0</v>
      </c>
      <c r="AD172" s="28">
        <v>0</v>
      </c>
      <c r="AE172" s="25">
        <v>0</v>
      </c>
      <c r="AF172" s="26">
        <v>0</v>
      </c>
      <c r="AG172" s="29" t="s">
        <v>729</v>
      </c>
      <c r="AH172" s="30" t="s">
        <v>277</v>
      </c>
      <c r="AI172" s="26">
        <v>0.1</v>
      </c>
      <c r="AJ172" s="21">
        <v>0</v>
      </c>
      <c r="AK172" s="21">
        <v>0</v>
      </c>
      <c r="AL172" s="26">
        <v>0.1</v>
      </c>
      <c r="AM172" s="24">
        <v>0.69</v>
      </c>
      <c r="AN172" s="24">
        <v>0.5</v>
      </c>
      <c r="AO172" s="31">
        <v>0</v>
      </c>
      <c r="AP172" s="31">
        <v>0</v>
      </c>
      <c r="AQ172" s="24">
        <v>0.82</v>
      </c>
      <c r="AR172" s="27">
        <v>0.625</v>
      </c>
      <c r="AS172" s="26">
        <v>0</v>
      </c>
      <c r="AT172" s="26">
        <v>0</v>
      </c>
      <c r="AU172" s="24">
        <v>0.94594594594594594</v>
      </c>
      <c r="AV172" s="32">
        <v>8</v>
      </c>
      <c r="AW172" s="26">
        <v>0</v>
      </c>
      <c r="AX172" s="26">
        <v>0</v>
      </c>
      <c r="AY172" s="24">
        <v>0.74</v>
      </c>
      <c r="AZ172" s="24">
        <v>0.69565217391304346</v>
      </c>
      <c r="BA172" s="31">
        <v>0</v>
      </c>
      <c r="BB172" s="33">
        <v>0.2</v>
      </c>
      <c r="BD172" s="26">
        <v>0.30000000000000004</v>
      </c>
      <c r="BE172" s="26">
        <v>0</v>
      </c>
      <c r="BF172" s="26" t="s">
        <v>729</v>
      </c>
      <c r="BH172" s="34">
        <v>0.05</v>
      </c>
      <c r="BI172" s="34">
        <v>0.04</v>
      </c>
      <c r="BJ172" s="34" t="s">
        <v>259</v>
      </c>
      <c r="BK172" s="34">
        <v>0.09</v>
      </c>
      <c r="BL172" s="21"/>
      <c r="BM172" s="35">
        <v>0.21000000000000005</v>
      </c>
    </row>
    <row r="173" spans="1:65" x14ac:dyDescent="0.25">
      <c r="A173" s="4" t="s">
        <v>63</v>
      </c>
      <c r="B173" s="4">
        <v>72353</v>
      </c>
      <c r="C173" s="4" t="s">
        <v>233</v>
      </c>
      <c r="D173" s="19" t="s">
        <v>255</v>
      </c>
      <c r="E173" s="20">
        <v>49879</v>
      </c>
      <c r="F173" s="20" t="s">
        <v>606</v>
      </c>
      <c r="G173" s="20" t="s">
        <v>607</v>
      </c>
      <c r="H173" s="2">
        <v>45760</v>
      </c>
      <c r="I173" s="2" t="s">
        <v>353</v>
      </c>
      <c r="J173" s="2" t="s">
        <v>353</v>
      </c>
      <c r="K173" s="21">
        <v>19</v>
      </c>
      <c r="L173" s="21">
        <v>564300</v>
      </c>
      <c r="M173" s="21">
        <v>0</v>
      </c>
      <c r="N173" s="21">
        <v>964</v>
      </c>
      <c r="O173" s="21">
        <v>0</v>
      </c>
      <c r="P173" s="21">
        <v>527959</v>
      </c>
      <c r="Q173" s="22">
        <v>348.02385892116183</v>
      </c>
      <c r="R173" s="22">
        <v>300</v>
      </c>
      <c r="S173" s="23">
        <v>0</v>
      </c>
      <c r="T173" s="23">
        <v>0</v>
      </c>
      <c r="U173" s="24">
        <v>0.93559985823143721</v>
      </c>
      <c r="V173" s="25">
        <v>0.1</v>
      </c>
      <c r="W173" s="26">
        <v>0.1</v>
      </c>
      <c r="X173" s="27">
        <v>0.89473684210526316</v>
      </c>
      <c r="Y173" s="25">
        <v>0</v>
      </c>
      <c r="Z173" s="24">
        <v>0.78947368421052633</v>
      </c>
      <c r="AA173" s="25">
        <v>0</v>
      </c>
      <c r="AB173" s="28">
        <v>0</v>
      </c>
      <c r="AC173" s="28">
        <v>0</v>
      </c>
      <c r="AD173" s="28">
        <v>0</v>
      </c>
      <c r="AE173" s="25">
        <v>0.09</v>
      </c>
      <c r="AF173" s="26">
        <v>0.09</v>
      </c>
      <c r="AG173" s="29" t="s">
        <v>729</v>
      </c>
      <c r="AH173" s="30">
        <v>0.75</v>
      </c>
      <c r="AI173" s="26">
        <v>0</v>
      </c>
      <c r="AJ173" s="21">
        <v>0</v>
      </c>
      <c r="AK173" s="21">
        <v>0</v>
      </c>
      <c r="AL173" s="26">
        <v>0.1</v>
      </c>
      <c r="AM173" s="24">
        <v>0.68351851851851841</v>
      </c>
      <c r="AN173" s="24">
        <v>0.73148148148148151</v>
      </c>
      <c r="AO173" s="31">
        <v>0.08</v>
      </c>
      <c r="AP173" s="31">
        <v>0.03</v>
      </c>
      <c r="AQ173" s="24">
        <v>0.8134343434343434</v>
      </c>
      <c r="AR173" s="27">
        <v>0.74747474747474751</v>
      </c>
      <c r="AS173" s="26">
        <v>0</v>
      </c>
      <c r="AT173" s="26">
        <v>0</v>
      </c>
      <c r="AU173" s="24">
        <v>0.94607843137254899</v>
      </c>
      <c r="AV173" s="32">
        <v>11</v>
      </c>
      <c r="AW173" s="26">
        <v>0</v>
      </c>
      <c r="AX173" s="26">
        <v>0</v>
      </c>
      <c r="AY173" s="24">
        <v>0.70137037037037042</v>
      </c>
      <c r="AZ173" s="24">
        <v>0.74567901234567902</v>
      </c>
      <c r="BA173" s="31">
        <v>0.1</v>
      </c>
      <c r="BB173" s="33">
        <v>0.28000000000000003</v>
      </c>
      <c r="BD173" s="26">
        <v>0.47</v>
      </c>
      <c r="BE173" s="26">
        <v>0.03</v>
      </c>
      <c r="BF173" s="26" t="s">
        <v>729</v>
      </c>
      <c r="BH173" s="34">
        <v>0</v>
      </c>
      <c r="BI173" s="34">
        <v>7.0000000000000007E-2</v>
      </c>
      <c r="BJ173" s="34" t="s">
        <v>259</v>
      </c>
      <c r="BK173" s="34">
        <v>7.0000000000000007E-2</v>
      </c>
      <c r="BL173" s="21"/>
      <c r="BM173" s="35">
        <v>0.43</v>
      </c>
    </row>
    <row r="174" spans="1:65" x14ac:dyDescent="0.25">
      <c r="A174" s="4" t="s">
        <v>63</v>
      </c>
      <c r="B174" s="4">
        <v>72309</v>
      </c>
      <c r="C174" s="4" t="s">
        <v>234</v>
      </c>
      <c r="D174" s="19" t="s">
        <v>255</v>
      </c>
      <c r="E174" s="20">
        <v>49845</v>
      </c>
      <c r="F174" s="20" t="s">
        <v>608</v>
      </c>
      <c r="G174" s="20" t="s">
        <v>609</v>
      </c>
      <c r="H174" s="2">
        <v>45760</v>
      </c>
      <c r="I174" s="2" t="s">
        <v>353</v>
      </c>
      <c r="J174" s="2" t="s">
        <v>353</v>
      </c>
      <c r="K174" s="21">
        <v>20</v>
      </c>
      <c r="L174" s="21">
        <v>594000</v>
      </c>
      <c r="M174" s="21">
        <v>0</v>
      </c>
      <c r="N174" s="21">
        <v>1227</v>
      </c>
      <c r="O174" s="21">
        <v>0</v>
      </c>
      <c r="P174" s="21">
        <v>520297</v>
      </c>
      <c r="Q174" s="22">
        <v>247.90301548492258</v>
      </c>
      <c r="R174" s="22">
        <v>300</v>
      </c>
      <c r="S174" s="23">
        <v>0.1</v>
      </c>
      <c r="T174" s="23">
        <v>0.05</v>
      </c>
      <c r="U174" s="24">
        <v>0.87592087542087538</v>
      </c>
      <c r="V174" s="25">
        <v>0.1</v>
      </c>
      <c r="W174" s="26">
        <v>0.2</v>
      </c>
      <c r="X174" s="27">
        <v>0.95</v>
      </c>
      <c r="Y174" s="25">
        <v>0.04</v>
      </c>
      <c r="Z174" s="24">
        <v>0.9</v>
      </c>
      <c r="AA174" s="25">
        <v>0</v>
      </c>
      <c r="AB174" s="28">
        <v>0</v>
      </c>
      <c r="AC174" s="28">
        <v>0</v>
      </c>
      <c r="AD174" s="28">
        <v>0</v>
      </c>
      <c r="AE174" s="25">
        <v>0.09</v>
      </c>
      <c r="AF174" s="26">
        <v>0.13</v>
      </c>
      <c r="AG174" s="29" t="s">
        <v>729</v>
      </c>
      <c r="AH174" s="30">
        <v>0.9</v>
      </c>
      <c r="AI174" s="26">
        <v>0.1</v>
      </c>
      <c r="AJ174" s="21">
        <v>0</v>
      </c>
      <c r="AK174" s="21">
        <v>0</v>
      </c>
      <c r="AL174" s="26">
        <v>0.1</v>
      </c>
      <c r="AM174" s="24">
        <v>0.68798561151079118</v>
      </c>
      <c r="AN174" s="24">
        <v>0.58992805755395683</v>
      </c>
      <c r="AO174" s="31">
        <v>0</v>
      </c>
      <c r="AP174" s="31">
        <v>0</v>
      </c>
      <c r="AQ174" s="24">
        <v>0.81796874999999991</v>
      </c>
      <c r="AR174" s="27">
        <v>0.7109375</v>
      </c>
      <c r="AS174" s="26">
        <v>0</v>
      </c>
      <c r="AT174" s="26">
        <v>0</v>
      </c>
      <c r="AU174" s="24">
        <v>0.99611650485436898</v>
      </c>
      <c r="AV174" s="32">
        <v>11</v>
      </c>
      <c r="AW174" s="26">
        <v>0</v>
      </c>
      <c r="AX174" s="26">
        <v>0</v>
      </c>
      <c r="AY174" s="24">
        <v>0.7028336557059961</v>
      </c>
      <c r="AZ174" s="24">
        <v>0.74177949709864599</v>
      </c>
      <c r="BA174" s="31">
        <v>0.1</v>
      </c>
      <c r="BB174" s="33">
        <v>0.30000000000000004</v>
      </c>
      <c r="BD174" s="26">
        <v>0.63000000000000012</v>
      </c>
      <c r="BE174" s="26">
        <v>0.05</v>
      </c>
      <c r="BF174" s="26" t="s">
        <v>729</v>
      </c>
      <c r="BH174" s="34">
        <v>0</v>
      </c>
      <c r="BI174" s="34">
        <v>7.0000000000000007E-2</v>
      </c>
      <c r="BJ174" s="34" t="s">
        <v>259</v>
      </c>
      <c r="BK174" s="34">
        <v>7.0000000000000007E-2</v>
      </c>
      <c r="BL174" s="21"/>
      <c r="BM174" s="35">
        <v>0.6100000000000001</v>
      </c>
    </row>
    <row r="175" spans="1:65" x14ac:dyDescent="0.25">
      <c r="A175" s="4" t="s">
        <v>63</v>
      </c>
      <c r="B175" s="4">
        <v>72344</v>
      </c>
      <c r="C175" s="4" t="s">
        <v>235</v>
      </c>
      <c r="D175" s="19" t="s">
        <v>255</v>
      </c>
      <c r="E175" s="20">
        <v>49864</v>
      </c>
      <c r="F175" s="20" t="s">
        <v>610</v>
      </c>
      <c r="G175" s="20" t="s">
        <v>611</v>
      </c>
      <c r="H175" s="2">
        <v>45760</v>
      </c>
      <c r="I175" s="2" t="s">
        <v>353</v>
      </c>
      <c r="J175" s="2" t="s">
        <v>353</v>
      </c>
      <c r="K175" s="21">
        <v>17</v>
      </c>
      <c r="L175" s="21">
        <v>504900</v>
      </c>
      <c r="M175" s="21">
        <v>0</v>
      </c>
      <c r="N175" s="21">
        <v>495</v>
      </c>
      <c r="O175" s="21">
        <v>14</v>
      </c>
      <c r="P175" s="21">
        <v>439319</v>
      </c>
      <c r="Q175" s="22">
        <v>381.26915520628683</v>
      </c>
      <c r="R175" s="22">
        <v>300</v>
      </c>
      <c r="S175" s="23">
        <v>0</v>
      </c>
      <c r="T175" s="23">
        <v>0</v>
      </c>
      <c r="U175" s="24">
        <v>0.87011091305208954</v>
      </c>
      <c r="V175" s="25">
        <v>0.1</v>
      </c>
      <c r="W175" s="26">
        <v>0.1</v>
      </c>
      <c r="X175" s="27">
        <v>0.88235294117647056</v>
      </c>
      <c r="Y175" s="25">
        <v>0</v>
      </c>
      <c r="Z175" s="24">
        <v>0.88235294117647056</v>
      </c>
      <c r="AA175" s="25">
        <v>0</v>
      </c>
      <c r="AB175" s="28">
        <v>0</v>
      </c>
      <c r="AC175" s="28">
        <v>0</v>
      </c>
      <c r="AD175" s="28">
        <v>0</v>
      </c>
      <c r="AE175" s="25">
        <v>0.09</v>
      </c>
      <c r="AF175" s="26">
        <v>0.09</v>
      </c>
      <c r="AG175" s="29" t="s">
        <v>729</v>
      </c>
      <c r="AH175" s="30">
        <v>0.95</v>
      </c>
      <c r="AI175" s="26">
        <v>0.1</v>
      </c>
      <c r="AJ175" s="21">
        <v>0</v>
      </c>
      <c r="AK175" s="21">
        <v>0</v>
      </c>
      <c r="AL175" s="26">
        <v>0.1</v>
      </c>
      <c r="AM175" s="24">
        <v>0.68308641975308637</v>
      </c>
      <c r="AN175" s="24">
        <v>0.70370370370370372</v>
      </c>
      <c r="AO175" s="31">
        <v>0.08</v>
      </c>
      <c r="AP175" s="31">
        <v>0.03</v>
      </c>
      <c r="AQ175" s="24">
        <v>0.81277777777777771</v>
      </c>
      <c r="AR175" s="27">
        <v>0.79166666666666663</v>
      </c>
      <c r="AS175" s="26">
        <v>7.4999999999999997E-2</v>
      </c>
      <c r="AT175" s="26">
        <v>0</v>
      </c>
      <c r="AU175" s="24">
        <v>0.98368298368298368</v>
      </c>
      <c r="AV175" s="32">
        <v>14</v>
      </c>
      <c r="AW175" s="26">
        <v>0</v>
      </c>
      <c r="AX175" s="26">
        <v>0</v>
      </c>
      <c r="AY175" s="24">
        <v>0.72661764705882359</v>
      </c>
      <c r="AZ175" s="24">
        <v>0.70833333333333337</v>
      </c>
      <c r="BA175" s="31">
        <v>0.05</v>
      </c>
      <c r="BB175" s="33">
        <v>0.40499999999999997</v>
      </c>
      <c r="BD175" s="26">
        <v>0.59499999999999997</v>
      </c>
      <c r="BE175" s="26">
        <v>0.03</v>
      </c>
      <c r="BF175" s="26" t="s">
        <v>729</v>
      </c>
      <c r="BH175" s="34">
        <v>0</v>
      </c>
      <c r="BI175" s="34">
        <v>0.1</v>
      </c>
      <c r="BJ175" s="34" t="s">
        <v>259</v>
      </c>
      <c r="BK175" s="34">
        <v>0.1</v>
      </c>
      <c r="BL175" s="21"/>
      <c r="BM175" s="35">
        <v>0.52500000000000002</v>
      </c>
    </row>
    <row r="176" spans="1:65" x14ac:dyDescent="0.25">
      <c r="A176" s="4" t="s">
        <v>63</v>
      </c>
      <c r="B176" s="4">
        <v>72506</v>
      </c>
      <c r="C176" s="4" t="s">
        <v>236</v>
      </c>
      <c r="D176" s="19" t="s">
        <v>255</v>
      </c>
      <c r="E176" s="20">
        <v>49885</v>
      </c>
      <c r="F176" s="20" t="s">
        <v>612</v>
      </c>
      <c r="G176" s="20" t="s">
        <v>613</v>
      </c>
      <c r="H176" s="2">
        <v>45760</v>
      </c>
      <c r="I176" s="2" t="s">
        <v>353</v>
      </c>
      <c r="J176" s="2" t="s">
        <v>353</v>
      </c>
      <c r="K176" s="21">
        <v>17</v>
      </c>
      <c r="L176" s="21">
        <v>504900</v>
      </c>
      <c r="M176" s="21">
        <v>7200</v>
      </c>
      <c r="N176" s="21">
        <v>638</v>
      </c>
      <c r="O176" s="21">
        <v>0</v>
      </c>
      <c r="P176" s="21">
        <v>467487</v>
      </c>
      <c r="Q176" s="22">
        <v>317.4561128526646</v>
      </c>
      <c r="R176" s="22">
        <v>300</v>
      </c>
      <c r="S176" s="23">
        <v>0</v>
      </c>
      <c r="T176" s="23">
        <v>0</v>
      </c>
      <c r="U176" s="24">
        <v>0.93929475587703437</v>
      </c>
      <c r="V176" s="25">
        <v>0.1</v>
      </c>
      <c r="W176" s="26">
        <v>0.1</v>
      </c>
      <c r="X176" s="27">
        <v>0.88235294117647056</v>
      </c>
      <c r="Y176" s="25">
        <v>0</v>
      </c>
      <c r="Z176" s="24">
        <v>0.94117647058823528</v>
      </c>
      <c r="AA176" s="25">
        <v>0</v>
      </c>
      <c r="AB176" s="28">
        <v>1</v>
      </c>
      <c r="AC176" s="28">
        <v>0</v>
      </c>
      <c r="AD176" s="28">
        <v>0</v>
      </c>
      <c r="AE176" s="25">
        <v>0</v>
      </c>
      <c r="AF176" s="26">
        <v>0</v>
      </c>
      <c r="AG176" s="29" t="s">
        <v>729</v>
      </c>
      <c r="AH176" s="30">
        <v>0.83000000000000007</v>
      </c>
      <c r="AI176" s="26">
        <v>0.05</v>
      </c>
      <c r="AJ176" s="21">
        <v>0</v>
      </c>
      <c r="AK176" s="21">
        <v>0</v>
      </c>
      <c r="AL176" s="26">
        <v>0.1</v>
      </c>
      <c r="AM176" s="24">
        <v>0.6785714285714286</v>
      </c>
      <c r="AN176" s="24">
        <v>0.73469387755102045</v>
      </c>
      <c r="AO176" s="31">
        <v>0.08</v>
      </c>
      <c r="AP176" s="31">
        <v>0.03</v>
      </c>
      <c r="AQ176" s="24">
        <v>0.80869565217391293</v>
      </c>
      <c r="AR176" s="27">
        <v>0.80434782608695654</v>
      </c>
      <c r="AS176" s="26">
        <v>0.125</v>
      </c>
      <c r="AT176" s="26">
        <v>0</v>
      </c>
      <c r="AU176" s="24">
        <v>0.9792060491493384</v>
      </c>
      <c r="AV176" s="32">
        <v>7</v>
      </c>
      <c r="AW176" s="26">
        <v>0</v>
      </c>
      <c r="AX176" s="26">
        <v>0</v>
      </c>
      <c r="AY176" s="24">
        <v>0.69686046511627908</v>
      </c>
      <c r="AZ176" s="24">
        <v>0.68023255813953487</v>
      </c>
      <c r="BA176" s="31">
        <v>0.05</v>
      </c>
      <c r="BB176" s="33">
        <v>0.40500000000000003</v>
      </c>
      <c r="BD176" s="26">
        <v>0.505</v>
      </c>
      <c r="BE176" s="26">
        <v>0.03</v>
      </c>
      <c r="BF176" s="26" t="s">
        <v>729</v>
      </c>
      <c r="BH176" s="34">
        <v>0</v>
      </c>
      <c r="BI176" s="34">
        <v>0.03</v>
      </c>
      <c r="BJ176" s="34" t="s">
        <v>259</v>
      </c>
      <c r="BK176" s="34">
        <v>0.03</v>
      </c>
      <c r="BL176" s="21"/>
      <c r="BM176" s="35">
        <v>0.505</v>
      </c>
    </row>
    <row r="177" spans="1:65" x14ac:dyDescent="0.25">
      <c r="A177" s="4" t="s">
        <v>63</v>
      </c>
      <c r="B177" s="4">
        <v>72461</v>
      </c>
      <c r="C177" s="4" t="s">
        <v>237</v>
      </c>
      <c r="D177" s="19" t="s">
        <v>255</v>
      </c>
      <c r="E177" s="20">
        <v>49884</v>
      </c>
      <c r="F177" s="20" t="s">
        <v>614</v>
      </c>
      <c r="G177" s="20" t="s">
        <v>615</v>
      </c>
      <c r="H177" s="2">
        <v>45760</v>
      </c>
      <c r="I177" s="2" t="s">
        <v>353</v>
      </c>
      <c r="J177" s="2" t="s">
        <v>353</v>
      </c>
      <c r="K177" s="21">
        <v>14</v>
      </c>
      <c r="L177" s="21">
        <v>415800</v>
      </c>
      <c r="M177" s="21">
        <v>7200</v>
      </c>
      <c r="N177" s="21">
        <v>393</v>
      </c>
      <c r="O177" s="21">
        <v>6</v>
      </c>
      <c r="P177" s="21">
        <v>336052</v>
      </c>
      <c r="Q177" s="22">
        <v>399.21804511278197</v>
      </c>
      <c r="R177" s="22">
        <v>300</v>
      </c>
      <c r="S177" s="23">
        <v>0</v>
      </c>
      <c r="T177" s="23">
        <v>0</v>
      </c>
      <c r="U177" s="24">
        <v>0.8224473813020069</v>
      </c>
      <c r="V177" s="25">
        <v>0.05</v>
      </c>
      <c r="W177" s="26">
        <v>0.05</v>
      </c>
      <c r="X177" s="27">
        <v>0.5714285714285714</v>
      </c>
      <c r="Y177" s="25">
        <v>0</v>
      </c>
      <c r="Z177" s="24">
        <v>1</v>
      </c>
      <c r="AA177" s="25">
        <v>0.04</v>
      </c>
      <c r="AB177" s="28">
        <v>1</v>
      </c>
      <c r="AC177" s="28">
        <v>0</v>
      </c>
      <c r="AD177" s="28">
        <v>0</v>
      </c>
      <c r="AE177" s="25">
        <v>0</v>
      </c>
      <c r="AF177" s="26">
        <v>0.04</v>
      </c>
      <c r="AG177" s="29" t="s">
        <v>729</v>
      </c>
      <c r="AH177" s="30">
        <v>0.82499999999999996</v>
      </c>
      <c r="AI177" s="26">
        <v>0.05</v>
      </c>
      <c r="AJ177" s="21">
        <v>0</v>
      </c>
      <c r="AK177" s="21">
        <v>0</v>
      </c>
      <c r="AL177" s="26">
        <v>0.1</v>
      </c>
      <c r="AM177" s="24">
        <v>0.6877777777777776</v>
      </c>
      <c r="AN177" s="24">
        <v>0.76190476190476186</v>
      </c>
      <c r="AO177" s="31">
        <v>0.08</v>
      </c>
      <c r="AP177" s="31">
        <v>0.03</v>
      </c>
      <c r="AQ177" s="24">
        <v>0.81775862068965499</v>
      </c>
      <c r="AR177" s="27">
        <v>0.82758620689655171</v>
      </c>
      <c r="AS177" s="26">
        <v>0.2</v>
      </c>
      <c r="AT177" s="26">
        <v>0</v>
      </c>
      <c r="AU177" s="24">
        <v>0.9826086956521739</v>
      </c>
      <c r="AV177" s="32">
        <v>1</v>
      </c>
      <c r="AW177" s="26">
        <v>0.05</v>
      </c>
      <c r="AX177" s="26">
        <v>0</v>
      </c>
      <c r="AY177" s="24">
        <v>0.72927927927927927</v>
      </c>
      <c r="AZ177" s="24">
        <v>0.7357357357357357</v>
      </c>
      <c r="BA177" s="31">
        <v>0.1</v>
      </c>
      <c r="BB177" s="33">
        <v>0.57999999999999996</v>
      </c>
      <c r="BD177" s="26">
        <v>0.67</v>
      </c>
      <c r="BE177" s="26">
        <v>0.03</v>
      </c>
      <c r="BF177" s="26" t="s">
        <v>729</v>
      </c>
      <c r="BH177" s="34">
        <v>0</v>
      </c>
      <c r="BI177" s="34">
        <v>0</v>
      </c>
      <c r="BJ177" s="34" t="s">
        <v>259</v>
      </c>
      <c r="BK177" s="34">
        <v>0</v>
      </c>
      <c r="BL177" s="21"/>
      <c r="BM177" s="35">
        <v>0.70000000000000007</v>
      </c>
    </row>
    <row r="178" spans="1:65" x14ac:dyDescent="0.25">
      <c r="A178" s="4" t="s">
        <v>63</v>
      </c>
      <c r="B178" s="4">
        <v>72422</v>
      </c>
      <c r="C178" s="4" t="s">
        <v>238</v>
      </c>
      <c r="D178" s="19" t="s">
        <v>255</v>
      </c>
      <c r="E178" s="20">
        <v>49883</v>
      </c>
      <c r="F178" s="20" t="s">
        <v>616</v>
      </c>
      <c r="G178" s="20" t="s">
        <v>617</v>
      </c>
      <c r="H178" s="2">
        <v>45760</v>
      </c>
      <c r="I178" s="2" t="s">
        <v>353</v>
      </c>
      <c r="J178" s="2" t="s">
        <v>353</v>
      </c>
      <c r="K178" s="21">
        <v>20</v>
      </c>
      <c r="L178" s="21">
        <v>594000</v>
      </c>
      <c r="M178" s="21">
        <v>0</v>
      </c>
      <c r="N178" s="21">
        <v>1037</v>
      </c>
      <c r="O178" s="21">
        <v>0</v>
      </c>
      <c r="P178" s="21">
        <v>543784</v>
      </c>
      <c r="Q178" s="22">
        <v>322.89006750241077</v>
      </c>
      <c r="R178" s="22">
        <v>300</v>
      </c>
      <c r="S178" s="23">
        <v>0</v>
      </c>
      <c r="T178" s="23">
        <v>0</v>
      </c>
      <c r="U178" s="24">
        <v>0.91546127946127942</v>
      </c>
      <c r="V178" s="25">
        <v>0.1</v>
      </c>
      <c r="W178" s="26">
        <v>0.1</v>
      </c>
      <c r="X178" s="27">
        <v>0.9</v>
      </c>
      <c r="Y178" s="25">
        <v>0</v>
      </c>
      <c r="Z178" s="24">
        <v>1</v>
      </c>
      <c r="AA178" s="25">
        <v>0.04</v>
      </c>
      <c r="AB178" s="28">
        <v>0</v>
      </c>
      <c r="AC178" s="28">
        <v>0</v>
      </c>
      <c r="AD178" s="28">
        <v>0</v>
      </c>
      <c r="AE178" s="25">
        <v>0.09</v>
      </c>
      <c r="AF178" s="26">
        <v>0.13</v>
      </c>
      <c r="AG178" s="29" t="s">
        <v>729</v>
      </c>
      <c r="AH178" s="30">
        <v>0.88500000000000001</v>
      </c>
      <c r="AI178" s="26">
        <v>0.05</v>
      </c>
      <c r="AJ178" s="21">
        <v>0</v>
      </c>
      <c r="AK178" s="21">
        <v>0</v>
      </c>
      <c r="AL178" s="26">
        <v>0.1</v>
      </c>
      <c r="AM178" s="24">
        <v>0.68059701492537317</v>
      </c>
      <c r="AN178" s="24">
        <v>0.61940298507462688</v>
      </c>
      <c r="AO178" s="31">
        <v>0</v>
      </c>
      <c r="AP178" s="31">
        <v>0</v>
      </c>
      <c r="AQ178" s="24">
        <v>0.80934426229508194</v>
      </c>
      <c r="AR178" s="27">
        <v>0.76229508196721307</v>
      </c>
      <c r="AS178" s="26">
        <v>7.4999999999999997E-2</v>
      </c>
      <c r="AT178" s="26">
        <v>0</v>
      </c>
      <c r="AU178" s="24">
        <v>0.9850746268656716</v>
      </c>
      <c r="AV178" s="32">
        <v>11</v>
      </c>
      <c r="AW178" s="26">
        <v>0</v>
      </c>
      <c r="AX178" s="26">
        <v>0</v>
      </c>
      <c r="AY178" s="24">
        <v>0.70615294117647065</v>
      </c>
      <c r="AZ178" s="24">
        <v>0.73529411764705888</v>
      </c>
      <c r="BA178" s="31">
        <v>0.1</v>
      </c>
      <c r="BB178" s="33">
        <v>0.32499999999999996</v>
      </c>
      <c r="BD178" s="26">
        <v>0.55499999999999994</v>
      </c>
      <c r="BE178" s="26">
        <v>0</v>
      </c>
      <c r="BF178" s="26" t="s">
        <v>729</v>
      </c>
      <c r="BH178" s="34">
        <v>0</v>
      </c>
      <c r="BI178" s="34">
        <v>7.0000000000000007E-2</v>
      </c>
      <c r="BJ178" s="34" t="s">
        <v>259</v>
      </c>
      <c r="BK178" s="34">
        <v>7.0000000000000007E-2</v>
      </c>
      <c r="BL178" s="21"/>
      <c r="BM178" s="35">
        <v>0.48499999999999993</v>
      </c>
    </row>
    <row r="179" spans="1:65" x14ac:dyDescent="0.25">
      <c r="A179" s="4" t="s">
        <v>63</v>
      </c>
      <c r="B179" s="4">
        <v>72160</v>
      </c>
      <c r="C179" s="4" t="s">
        <v>239</v>
      </c>
      <c r="D179" s="19" t="s">
        <v>255</v>
      </c>
      <c r="E179" s="20">
        <v>400208</v>
      </c>
      <c r="F179" s="20" t="s">
        <v>618</v>
      </c>
      <c r="G179" s="20" t="s">
        <v>619</v>
      </c>
      <c r="H179" s="2">
        <v>45789</v>
      </c>
      <c r="I179" s="2" t="s">
        <v>258</v>
      </c>
      <c r="J179" s="2" t="s">
        <v>258</v>
      </c>
      <c r="K179" s="21">
        <v>17</v>
      </c>
      <c r="L179" s="21">
        <v>504900</v>
      </c>
      <c r="M179" s="21">
        <v>0</v>
      </c>
      <c r="N179" s="21">
        <v>574</v>
      </c>
      <c r="O179" s="21">
        <v>39</v>
      </c>
      <c r="P179" s="21">
        <v>501096</v>
      </c>
      <c r="Q179" s="22">
        <v>361.62969004893966</v>
      </c>
      <c r="R179" s="22">
        <v>300</v>
      </c>
      <c r="S179" s="23">
        <v>0</v>
      </c>
      <c r="T179" s="23">
        <v>0</v>
      </c>
      <c r="U179" s="24">
        <v>0.99246583481877604</v>
      </c>
      <c r="V179" s="25">
        <v>0.1</v>
      </c>
      <c r="W179" s="26">
        <v>0.1</v>
      </c>
      <c r="X179" s="27">
        <v>0.88235294117647056</v>
      </c>
      <c r="Y179" s="25">
        <v>0</v>
      </c>
      <c r="Z179" s="24">
        <v>1</v>
      </c>
      <c r="AA179" s="25">
        <v>0.04</v>
      </c>
      <c r="AB179" s="28">
        <v>0</v>
      </c>
      <c r="AC179" s="28">
        <v>0</v>
      </c>
      <c r="AD179" s="28">
        <v>0</v>
      </c>
      <c r="AE179" s="25">
        <v>0.09</v>
      </c>
      <c r="AF179" s="26">
        <v>0.13</v>
      </c>
      <c r="AG179" s="29" t="s">
        <v>729</v>
      </c>
      <c r="AH179" s="30">
        <v>1</v>
      </c>
      <c r="AI179" s="26">
        <v>0.1</v>
      </c>
      <c r="AJ179" s="21">
        <v>0</v>
      </c>
      <c r="AK179" s="21">
        <v>0</v>
      </c>
      <c r="AL179" s="26">
        <v>0.1</v>
      </c>
      <c r="AM179" s="24">
        <v>0.6885567010309277</v>
      </c>
      <c r="AN179" s="24">
        <v>0.7010309278350515</v>
      </c>
      <c r="AO179" s="31">
        <v>0.08</v>
      </c>
      <c r="AP179" s="31">
        <v>0.03</v>
      </c>
      <c r="AQ179" s="24">
        <v>0.82</v>
      </c>
      <c r="AR179" s="27">
        <v>0.80681818181818177</v>
      </c>
      <c r="AS179" s="26">
        <v>0.125</v>
      </c>
      <c r="AT179" s="26">
        <v>0</v>
      </c>
      <c r="AU179" s="24">
        <v>0.96577946768060841</v>
      </c>
      <c r="AV179" s="32">
        <v>3</v>
      </c>
      <c r="AW179" s="26">
        <v>0.01</v>
      </c>
      <c r="AX179" s="26">
        <v>0</v>
      </c>
      <c r="AY179" s="24">
        <v>0.73999999999999988</v>
      </c>
      <c r="AZ179" s="24">
        <v>0.75413223140495866</v>
      </c>
      <c r="BA179" s="31">
        <v>0.1</v>
      </c>
      <c r="BB179" s="33">
        <v>0.51500000000000001</v>
      </c>
      <c r="BD179" s="26">
        <v>0.745</v>
      </c>
      <c r="BE179" s="26">
        <v>0.03</v>
      </c>
      <c r="BF179" s="26" t="s">
        <v>729</v>
      </c>
      <c r="BH179" s="34">
        <v>0</v>
      </c>
      <c r="BI179" s="34">
        <v>0</v>
      </c>
      <c r="BJ179" s="34" t="s">
        <v>259</v>
      </c>
      <c r="BK179" s="34">
        <v>0</v>
      </c>
      <c r="BL179" s="21"/>
      <c r="BM179" s="35">
        <v>0.77500000000000002</v>
      </c>
    </row>
    <row r="180" spans="1:65" x14ac:dyDescent="0.25">
      <c r="A180" s="4" t="s">
        <v>63</v>
      </c>
      <c r="B180" s="4">
        <v>72649</v>
      </c>
      <c r="C180" s="4" t="s">
        <v>240</v>
      </c>
      <c r="D180" s="19" t="s">
        <v>255</v>
      </c>
      <c r="E180" s="20">
        <v>400253</v>
      </c>
      <c r="F180" s="20" t="s">
        <v>620</v>
      </c>
      <c r="G180" s="20" t="s">
        <v>621</v>
      </c>
      <c r="H180" s="2">
        <v>45786</v>
      </c>
      <c r="I180" s="2" t="s">
        <v>258</v>
      </c>
      <c r="J180" s="2" t="s">
        <v>258</v>
      </c>
      <c r="K180" s="21">
        <v>8</v>
      </c>
      <c r="L180" s="21">
        <v>237600</v>
      </c>
      <c r="M180" s="21">
        <v>0</v>
      </c>
      <c r="N180" s="21">
        <v>308</v>
      </c>
      <c r="O180" s="21">
        <v>0</v>
      </c>
      <c r="P180" s="21">
        <v>222363</v>
      </c>
      <c r="Q180" s="22">
        <v>525.32467532467535</v>
      </c>
      <c r="R180" s="22">
        <v>300</v>
      </c>
      <c r="S180" s="23">
        <v>0</v>
      </c>
      <c r="T180" s="23">
        <v>0</v>
      </c>
      <c r="U180" s="24">
        <v>0.93587121212121216</v>
      </c>
      <c r="V180" s="25">
        <v>0.1</v>
      </c>
      <c r="W180" s="26">
        <v>0.1</v>
      </c>
      <c r="X180" s="27">
        <v>1</v>
      </c>
      <c r="Y180" s="25">
        <v>0.04</v>
      </c>
      <c r="Z180" s="24">
        <v>1</v>
      </c>
      <c r="AA180" s="25">
        <v>0.04</v>
      </c>
      <c r="AB180" s="28">
        <v>2</v>
      </c>
      <c r="AC180" s="28">
        <v>0</v>
      </c>
      <c r="AD180" s="28">
        <v>0</v>
      </c>
      <c r="AE180" s="25">
        <v>0</v>
      </c>
      <c r="AF180" s="26">
        <v>0.08</v>
      </c>
      <c r="AG180" s="29" t="s">
        <v>729</v>
      </c>
      <c r="AH180" s="30">
        <v>1</v>
      </c>
      <c r="AI180" s="26">
        <v>0.1</v>
      </c>
      <c r="AJ180" s="21">
        <v>0</v>
      </c>
      <c r="AK180" s="21">
        <v>0</v>
      </c>
      <c r="AL180" s="26">
        <v>0.1</v>
      </c>
      <c r="AM180" s="24">
        <v>0.69</v>
      </c>
      <c r="AN180" s="24">
        <v>0.64444444444444449</v>
      </c>
      <c r="AO180" s="31">
        <v>0.04</v>
      </c>
      <c r="AP180" s="31">
        <v>0</v>
      </c>
      <c r="AQ180" s="24">
        <v>0.82</v>
      </c>
      <c r="AR180" s="27">
        <v>0.81395348837209303</v>
      </c>
      <c r="AS180" s="26">
        <v>0</v>
      </c>
      <c r="AT180" s="26">
        <v>0</v>
      </c>
      <c r="AU180" s="24">
        <v>0.8848920863309353</v>
      </c>
      <c r="AV180" s="32">
        <v>5</v>
      </c>
      <c r="AW180" s="26">
        <v>0</v>
      </c>
      <c r="AX180" s="26">
        <v>0</v>
      </c>
      <c r="AY180" s="24">
        <v>0.74</v>
      </c>
      <c r="AZ180" s="24">
        <v>0.76173285198555951</v>
      </c>
      <c r="BA180" s="31">
        <v>0.1</v>
      </c>
      <c r="BB180" s="33">
        <v>0.34</v>
      </c>
      <c r="BD180" s="26">
        <v>0.52</v>
      </c>
      <c r="BE180" s="26">
        <v>0</v>
      </c>
      <c r="BF180" s="26" t="s">
        <v>729</v>
      </c>
      <c r="BH180" s="34">
        <v>0.05</v>
      </c>
      <c r="BI180" s="34">
        <v>0.01</v>
      </c>
      <c r="BJ180" s="34" t="s">
        <v>259</v>
      </c>
      <c r="BK180" s="34">
        <v>6.0000000000000005E-2</v>
      </c>
      <c r="BL180" s="21"/>
      <c r="BM180" s="35">
        <v>0.46</v>
      </c>
    </row>
    <row r="181" spans="1:65" x14ac:dyDescent="0.25">
      <c r="A181" s="4" t="s">
        <v>63</v>
      </c>
      <c r="B181" s="4">
        <v>71048</v>
      </c>
      <c r="C181" s="4" t="s">
        <v>241</v>
      </c>
      <c r="D181" s="19" t="s">
        <v>255</v>
      </c>
      <c r="E181" s="20">
        <v>400209</v>
      </c>
      <c r="F181" s="20" t="s">
        <v>622</v>
      </c>
      <c r="G181" s="20" t="s">
        <v>623</v>
      </c>
      <c r="H181" s="2">
        <v>45789</v>
      </c>
      <c r="I181" s="2" t="s">
        <v>258</v>
      </c>
      <c r="J181" s="2" t="s">
        <v>258</v>
      </c>
      <c r="K181" s="21">
        <v>19</v>
      </c>
      <c r="L181" s="21">
        <v>564300</v>
      </c>
      <c r="M181" s="21">
        <v>7200</v>
      </c>
      <c r="N181" s="21">
        <v>612</v>
      </c>
      <c r="O181" s="21">
        <v>9</v>
      </c>
      <c r="P181" s="21">
        <v>497071</v>
      </c>
      <c r="Q181" s="22">
        <v>333.60386473429952</v>
      </c>
      <c r="R181" s="22">
        <v>300</v>
      </c>
      <c r="S181" s="23">
        <v>0</v>
      </c>
      <c r="T181" s="23">
        <v>0</v>
      </c>
      <c r="U181" s="24">
        <v>0.89224735236043795</v>
      </c>
      <c r="V181" s="25">
        <v>0.1</v>
      </c>
      <c r="W181" s="26">
        <v>0.1</v>
      </c>
      <c r="X181" s="27">
        <v>0.68421052631578949</v>
      </c>
      <c r="Y181" s="25">
        <v>0</v>
      </c>
      <c r="Z181" s="24">
        <v>0.89473684210526316</v>
      </c>
      <c r="AA181" s="25">
        <v>0</v>
      </c>
      <c r="AB181" s="28">
        <v>0</v>
      </c>
      <c r="AC181" s="28">
        <v>0</v>
      </c>
      <c r="AD181" s="28">
        <v>0</v>
      </c>
      <c r="AE181" s="25">
        <v>0.09</v>
      </c>
      <c r="AF181" s="26">
        <v>0.09</v>
      </c>
      <c r="AG181" s="29" t="s">
        <v>729</v>
      </c>
      <c r="AH181" s="30">
        <v>1</v>
      </c>
      <c r="AI181" s="26">
        <v>0.1</v>
      </c>
      <c r="AJ181" s="21">
        <v>0</v>
      </c>
      <c r="AK181" s="21">
        <v>0</v>
      </c>
      <c r="AL181" s="26">
        <v>0.1</v>
      </c>
      <c r="AM181" s="24">
        <v>0.68999999999999984</v>
      </c>
      <c r="AN181" s="24">
        <v>0.69696969696969702</v>
      </c>
      <c r="AO181" s="31">
        <v>0.08</v>
      </c>
      <c r="AP181" s="31">
        <v>0.03</v>
      </c>
      <c r="AQ181" s="24">
        <v>0.81999999999999984</v>
      </c>
      <c r="AR181" s="27">
        <v>0.78021978021978022</v>
      </c>
      <c r="AS181" s="26">
        <v>7.4999999999999997E-2</v>
      </c>
      <c r="AT181" s="26">
        <v>0</v>
      </c>
      <c r="AU181" s="24">
        <v>0.99240986717267554</v>
      </c>
      <c r="AV181" s="32">
        <v>4</v>
      </c>
      <c r="AW181" s="26">
        <v>0</v>
      </c>
      <c r="AX181" s="26">
        <v>0</v>
      </c>
      <c r="AY181" s="24">
        <v>0.74</v>
      </c>
      <c r="AZ181" s="24">
        <v>0.72673267326732671</v>
      </c>
      <c r="BA181" s="31">
        <v>0.05</v>
      </c>
      <c r="BB181" s="33">
        <v>0.40499999999999997</v>
      </c>
      <c r="BD181" s="26">
        <v>0.59499999999999997</v>
      </c>
      <c r="BE181" s="26">
        <v>0.03</v>
      </c>
      <c r="BF181" s="26" t="s">
        <v>729</v>
      </c>
      <c r="BH181" s="34">
        <v>0</v>
      </c>
      <c r="BI181" s="34">
        <v>0</v>
      </c>
      <c r="BJ181" s="34" t="s">
        <v>259</v>
      </c>
      <c r="BK181" s="34">
        <v>0</v>
      </c>
      <c r="BL181" s="21"/>
      <c r="BM181" s="35">
        <v>0.625</v>
      </c>
    </row>
    <row r="182" spans="1:65" x14ac:dyDescent="0.25">
      <c r="A182" s="4" t="s">
        <v>63</v>
      </c>
      <c r="B182" s="4">
        <v>72871</v>
      </c>
      <c r="C182" s="4" t="s">
        <v>242</v>
      </c>
      <c r="D182" s="19" t="s">
        <v>255</v>
      </c>
      <c r="E182" s="20">
        <v>400248</v>
      </c>
      <c r="F182" s="20" t="s">
        <v>624</v>
      </c>
      <c r="G182" s="20" t="s">
        <v>625</v>
      </c>
      <c r="H182" s="2">
        <v>45786</v>
      </c>
      <c r="I182" s="2" t="s">
        <v>258</v>
      </c>
      <c r="J182" s="2" t="s">
        <v>258</v>
      </c>
      <c r="K182" s="21">
        <v>21</v>
      </c>
      <c r="L182" s="21">
        <v>623700</v>
      </c>
      <c r="M182" s="21">
        <v>0</v>
      </c>
      <c r="N182" s="21">
        <v>815</v>
      </c>
      <c r="O182" s="21">
        <v>0</v>
      </c>
      <c r="P182" s="21">
        <v>585918</v>
      </c>
      <c r="Q182" s="22">
        <v>384.84049079754601</v>
      </c>
      <c r="R182" s="22">
        <v>300</v>
      </c>
      <c r="S182" s="23">
        <v>0</v>
      </c>
      <c r="T182" s="23">
        <v>0</v>
      </c>
      <c r="U182" s="24">
        <v>0.93942279942279938</v>
      </c>
      <c r="V182" s="25">
        <v>0.1</v>
      </c>
      <c r="W182" s="26">
        <v>0.1</v>
      </c>
      <c r="X182" s="27">
        <v>0.95238095238095233</v>
      </c>
      <c r="Y182" s="25">
        <v>0.04</v>
      </c>
      <c r="Z182" s="24">
        <v>0.95238095238095233</v>
      </c>
      <c r="AA182" s="25">
        <v>0.04</v>
      </c>
      <c r="AB182" s="28">
        <v>0</v>
      </c>
      <c r="AC182" s="28">
        <v>0</v>
      </c>
      <c r="AD182" s="28">
        <v>0</v>
      </c>
      <c r="AE182" s="25">
        <v>0.09</v>
      </c>
      <c r="AF182" s="26">
        <v>0.17</v>
      </c>
      <c r="AG182" s="29" t="s">
        <v>729</v>
      </c>
      <c r="AH182" s="30">
        <v>0.98</v>
      </c>
      <c r="AI182" s="26">
        <v>0.1</v>
      </c>
      <c r="AJ182" s="21">
        <v>0</v>
      </c>
      <c r="AK182" s="21">
        <v>0</v>
      </c>
      <c r="AL182" s="26">
        <v>0.1</v>
      </c>
      <c r="AM182" s="24">
        <v>0.69</v>
      </c>
      <c r="AN182" s="24">
        <v>0.59036144578313254</v>
      </c>
      <c r="AO182" s="31">
        <v>0</v>
      </c>
      <c r="AP182" s="31">
        <v>0</v>
      </c>
      <c r="AQ182" s="24">
        <v>0.82</v>
      </c>
      <c r="AR182" s="27">
        <v>0.64864864864864868</v>
      </c>
      <c r="AS182" s="26">
        <v>0</v>
      </c>
      <c r="AT182" s="26">
        <v>0</v>
      </c>
      <c r="AU182" s="24">
        <v>0.96850393700787396</v>
      </c>
      <c r="AV182" s="32">
        <v>7</v>
      </c>
      <c r="AW182" s="26">
        <v>0</v>
      </c>
      <c r="AX182" s="26">
        <v>0</v>
      </c>
      <c r="AY182" s="24">
        <v>0.74</v>
      </c>
      <c r="AZ182" s="24">
        <v>0.80161290322580647</v>
      </c>
      <c r="BA182" s="31">
        <v>0.1</v>
      </c>
      <c r="BB182" s="33">
        <v>0.30000000000000004</v>
      </c>
      <c r="BD182" s="26">
        <v>0.57000000000000006</v>
      </c>
      <c r="BE182" s="26">
        <v>0</v>
      </c>
      <c r="BF182" s="26" t="s">
        <v>729</v>
      </c>
      <c r="BH182" s="34">
        <v>0</v>
      </c>
      <c r="BI182" s="34">
        <v>0.03</v>
      </c>
      <c r="BJ182" s="34" t="s">
        <v>259</v>
      </c>
      <c r="BK182" s="34">
        <v>0.03</v>
      </c>
      <c r="BL182" s="21"/>
      <c r="BM182" s="35">
        <v>0.54</v>
      </c>
    </row>
    <row r="183" spans="1:65" x14ac:dyDescent="0.25">
      <c r="A183" s="4" t="s">
        <v>63</v>
      </c>
      <c r="B183" s="4">
        <v>73523</v>
      </c>
      <c r="C183" s="4" t="s">
        <v>243</v>
      </c>
      <c r="D183" s="19" t="s">
        <v>255</v>
      </c>
      <c r="E183" s="20">
        <v>400219</v>
      </c>
      <c r="F183" s="20" t="s">
        <v>626</v>
      </c>
      <c r="G183" s="20" t="s">
        <v>627</v>
      </c>
      <c r="H183" s="2">
        <v>45789</v>
      </c>
      <c r="I183" s="2" t="s">
        <v>258</v>
      </c>
      <c r="J183" s="2" t="s">
        <v>258</v>
      </c>
      <c r="K183" s="21">
        <v>21</v>
      </c>
      <c r="L183" s="21">
        <v>623700</v>
      </c>
      <c r="M183" s="21">
        <v>0</v>
      </c>
      <c r="N183" s="21">
        <v>632</v>
      </c>
      <c r="O183" s="21">
        <v>22</v>
      </c>
      <c r="P183" s="21">
        <v>572662</v>
      </c>
      <c r="Q183" s="22">
        <v>398.72629969418961</v>
      </c>
      <c r="R183" s="22">
        <v>300</v>
      </c>
      <c r="S183" s="23">
        <v>0</v>
      </c>
      <c r="T183" s="23">
        <v>0</v>
      </c>
      <c r="U183" s="24">
        <v>0.91816899150232478</v>
      </c>
      <c r="V183" s="25">
        <v>0.1</v>
      </c>
      <c r="W183" s="26">
        <v>0.1</v>
      </c>
      <c r="X183" s="27">
        <v>0.95238095238095233</v>
      </c>
      <c r="Y183" s="25">
        <v>0.04</v>
      </c>
      <c r="Z183" s="24">
        <v>0.95238095238095233</v>
      </c>
      <c r="AA183" s="25">
        <v>0.04</v>
      </c>
      <c r="AB183" s="28">
        <v>0</v>
      </c>
      <c r="AC183" s="28">
        <v>0</v>
      </c>
      <c r="AD183" s="28">
        <v>0</v>
      </c>
      <c r="AE183" s="25">
        <v>0.09</v>
      </c>
      <c r="AF183" s="26">
        <v>0.17</v>
      </c>
      <c r="AG183" s="29" t="s">
        <v>729</v>
      </c>
      <c r="AH183" s="30">
        <v>0.89999999999999991</v>
      </c>
      <c r="AI183" s="26">
        <v>0.1</v>
      </c>
      <c r="AJ183" s="21">
        <v>0</v>
      </c>
      <c r="AK183" s="21">
        <v>0</v>
      </c>
      <c r="AL183" s="26">
        <v>0.1</v>
      </c>
      <c r="AM183" s="24">
        <v>0.68871559633027513</v>
      </c>
      <c r="AN183" s="24">
        <v>0.77064220183486243</v>
      </c>
      <c r="AO183" s="31">
        <v>0.08</v>
      </c>
      <c r="AP183" s="31">
        <v>0.03</v>
      </c>
      <c r="AQ183" s="24">
        <v>0.81872549019607832</v>
      </c>
      <c r="AR183" s="27">
        <v>0.89215686274509809</v>
      </c>
      <c r="AS183" s="26">
        <v>0.2</v>
      </c>
      <c r="AT183" s="26">
        <v>0.1</v>
      </c>
      <c r="AU183" s="24">
        <v>0.98366606170598914</v>
      </c>
      <c r="AV183" s="32">
        <v>2</v>
      </c>
      <c r="AW183" s="26">
        <v>0.03</v>
      </c>
      <c r="AX183" s="26">
        <v>0</v>
      </c>
      <c r="AY183" s="24">
        <v>0.74</v>
      </c>
      <c r="AZ183" s="24">
        <v>0.76515151515151514</v>
      </c>
      <c r="BA183" s="31">
        <v>0.1</v>
      </c>
      <c r="BB183" s="33">
        <v>0.61</v>
      </c>
      <c r="BD183" s="26">
        <v>0.88</v>
      </c>
      <c r="BE183" s="26">
        <v>0.13</v>
      </c>
      <c r="BF183" s="26" t="s">
        <v>729</v>
      </c>
      <c r="BH183" s="34">
        <v>0</v>
      </c>
      <c r="BI183" s="34">
        <v>0</v>
      </c>
      <c r="BJ183" s="34" t="s">
        <v>259</v>
      </c>
      <c r="BK183" s="34">
        <v>0</v>
      </c>
      <c r="BL183" s="21"/>
      <c r="BM183" s="35">
        <v>1.01</v>
      </c>
    </row>
    <row r="184" spans="1:65" x14ac:dyDescent="0.25">
      <c r="A184" s="4" t="s">
        <v>63</v>
      </c>
      <c r="B184" s="4">
        <v>72333</v>
      </c>
      <c r="C184" s="4" t="s">
        <v>244</v>
      </c>
      <c r="D184" s="19" t="s">
        <v>255</v>
      </c>
      <c r="E184" s="20">
        <v>400211</v>
      </c>
      <c r="F184" s="20" t="s">
        <v>628</v>
      </c>
      <c r="G184" s="20" t="s">
        <v>629</v>
      </c>
      <c r="H184" s="2">
        <v>45792</v>
      </c>
      <c r="I184" s="2" t="s">
        <v>258</v>
      </c>
      <c r="J184" s="2" t="s">
        <v>258</v>
      </c>
      <c r="K184" s="21">
        <v>21</v>
      </c>
      <c r="L184" s="21">
        <v>623700</v>
      </c>
      <c r="M184" s="21">
        <v>0</v>
      </c>
      <c r="N184" s="21">
        <v>822</v>
      </c>
      <c r="O184" s="21">
        <v>0</v>
      </c>
      <c r="P184" s="21">
        <v>583382</v>
      </c>
      <c r="Q184" s="22">
        <v>353.28345498783455</v>
      </c>
      <c r="R184" s="22">
        <v>300</v>
      </c>
      <c r="S184" s="23">
        <v>0</v>
      </c>
      <c r="T184" s="23">
        <v>0</v>
      </c>
      <c r="U184" s="24">
        <v>0.93535674202340868</v>
      </c>
      <c r="V184" s="25">
        <v>0.1</v>
      </c>
      <c r="W184" s="26">
        <v>0.1</v>
      </c>
      <c r="X184" s="27">
        <v>0.7142857142857143</v>
      </c>
      <c r="Y184" s="25">
        <v>0</v>
      </c>
      <c r="Z184" s="24">
        <v>0.95238095238095233</v>
      </c>
      <c r="AA184" s="25">
        <v>0.04</v>
      </c>
      <c r="AB184" s="28">
        <v>0</v>
      </c>
      <c r="AC184" s="28">
        <v>0</v>
      </c>
      <c r="AD184" s="28">
        <v>0</v>
      </c>
      <c r="AE184" s="25">
        <v>0.09</v>
      </c>
      <c r="AF184" s="26">
        <v>0.13</v>
      </c>
      <c r="AG184" s="29" t="s">
        <v>729</v>
      </c>
      <c r="AH184" s="30">
        <v>0.92500000000000004</v>
      </c>
      <c r="AI184" s="26">
        <v>0.1</v>
      </c>
      <c r="AJ184" s="21">
        <v>0</v>
      </c>
      <c r="AK184" s="21">
        <v>0</v>
      </c>
      <c r="AL184" s="26">
        <v>0.1</v>
      </c>
      <c r="AM184" s="24">
        <v>0.69</v>
      </c>
      <c r="AN184" s="24">
        <v>0.65853658536585369</v>
      </c>
      <c r="AO184" s="31">
        <v>0.04</v>
      </c>
      <c r="AP184" s="31">
        <v>0</v>
      </c>
      <c r="AQ184" s="24">
        <v>0.82</v>
      </c>
      <c r="AR184" s="27">
        <v>0.74576271186440679</v>
      </c>
      <c r="AS184" s="26">
        <v>0</v>
      </c>
      <c r="AT184" s="26">
        <v>0</v>
      </c>
      <c r="AU184" s="24">
        <v>0.98048780487804876</v>
      </c>
      <c r="AV184" s="32">
        <v>8</v>
      </c>
      <c r="AW184" s="26">
        <v>0</v>
      </c>
      <c r="AX184" s="26">
        <v>0</v>
      </c>
      <c r="AY184" s="24">
        <v>0.74</v>
      </c>
      <c r="AZ184" s="24">
        <v>0.73833333333333329</v>
      </c>
      <c r="BA184" s="31">
        <v>0.05</v>
      </c>
      <c r="BB184" s="33">
        <v>0.29000000000000004</v>
      </c>
      <c r="BD184" s="26">
        <v>0.52</v>
      </c>
      <c r="BE184" s="26">
        <v>0</v>
      </c>
      <c r="BF184" s="26" t="s">
        <v>729</v>
      </c>
      <c r="BH184" s="34">
        <v>0</v>
      </c>
      <c r="BI184" s="34">
        <v>0.04</v>
      </c>
      <c r="BJ184" s="34" t="s">
        <v>259</v>
      </c>
      <c r="BK184" s="34">
        <v>0.04</v>
      </c>
      <c r="BL184" s="21"/>
      <c r="BM184" s="35">
        <v>0.48000000000000004</v>
      </c>
    </row>
    <row r="185" spans="1:65" x14ac:dyDescent="0.25">
      <c r="A185" s="4" t="s">
        <v>63</v>
      </c>
      <c r="B185" s="4">
        <v>71989</v>
      </c>
      <c r="C185" s="4" t="s">
        <v>245</v>
      </c>
      <c r="D185" s="19" t="s">
        <v>255</v>
      </c>
      <c r="E185" s="20">
        <v>400212</v>
      </c>
      <c r="F185" s="20" t="s">
        <v>630</v>
      </c>
      <c r="G185" s="20" t="s">
        <v>631</v>
      </c>
      <c r="H185" s="2">
        <v>45789</v>
      </c>
      <c r="I185" s="2" t="s">
        <v>258</v>
      </c>
      <c r="J185" s="2" t="s">
        <v>258</v>
      </c>
      <c r="K185" s="21">
        <v>22</v>
      </c>
      <c r="L185" s="21">
        <v>653400</v>
      </c>
      <c r="M185" s="21">
        <v>0</v>
      </c>
      <c r="N185" s="21">
        <v>790</v>
      </c>
      <c r="O185" s="21">
        <v>30</v>
      </c>
      <c r="P185" s="21">
        <v>614853</v>
      </c>
      <c r="Q185" s="22">
        <v>333.4682926829268</v>
      </c>
      <c r="R185" s="22">
        <v>300</v>
      </c>
      <c r="S185" s="23">
        <v>0</v>
      </c>
      <c r="T185" s="23">
        <v>0</v>
      </c>
      <c r="U185" s="24">
        <v>0.94100550964187324</v>
      </c>
      <c r="V185" s="25">
        <v>0.1</v>
      </c>
      <c r="W185" s="26">
        <v>0.1</v>
      </c>
      <c r="X185" s="27">
        <v>0.77272727272727271</v>
      </c>
      <c r="Y185" s="25">
        <v>0</v>
      </c>
      <c r="Z185" s="24">
        <v>0.90909090909090906</v>
      </c>
      <c r="AA185" s="25">
        <v>0</v>
      </c>
      <c r="AB185" s="28">
        <v>0</v>
      </c>
      <c r="AC185" s="28">
        <v>0</v>
      </c>
      <c r="AD185" s="28">
        <v>0</v>
      </c>
      <c r="AE185" s="25">
        <v>0.09</v>
      </c>
      <c r="AF185" s="26">
        <v>0.09</v>
      </c>
      <c r="AG185" s="29" t="s">
        <v>729</v>
      </c>
      <c r="AH185" s="30">
        <v>0.92500000000000004</v>
      </c>
      <c r="AI185" s="26">
        <v>0.1</v>
      </c>
      <c r="AJ185" s="21">
        <v>0</v>
      </c>
      <c r="AK185" s="21">
        <v>0</v>
      </c>
      <c r="AL185" s="26">
        <v>0.1</v>
      </c>
      <c r="AM185" s="24">
        <v>0.69</v>
      </c>
      <c r="AN185" s="24">
        <v>0.640625</v>
      </c>
      <c r="AO185" s="31">
        <v>0.04</v>
      </c>
      <c r="AP185" s="31">
        <v>0</v>
      </c>
      <c r="AQ185" s="24">
        <v>0.82</v>
      </c>
      <c r="AR185" s="27">
        <v>0.79838709677419351</v>
      </c>
      <c r="AS185" s="26">
        <v>7.4999999999999997E-2</v>
      </c>
      <c r="AT185" s="26">
        <v>0</v>
      </c>
      <c r="AU185" s="24">
        <v>0.97638888888888886</v>
      </c>
      <c r="AV185" s="32">
        <v>11</v>
      </c>
      <c r="AW185" s="26">
        <v>0</v>
      </c>
      <c r="AX185" s="26">
        <v>0</v>
      </c>
      <c r="AY185" s="24">
        <v>0.74</v>
      </c>
      <c r="AZ185" s="24">
        <v>0.75111773472429211</v>
      </c>
      <c r="BA185" s="31">
        <v>0.1</v>
      </c>
      <c r="BB185" s="33">
        <v>0.41500000000000004</v>
      </c>
      <c r="BD185" s="26">
        <v>0.60499999999999998</v>
      </c>
      <c r="BE185" s="26">
        <v>0</v>
      </c>
      <c r="BF185" s="26" t="s">
        <v>729</v>
      </c>
      <c r="BH185" s="34">
        <v>0</v>
      </c>
      <c r="BI185" s="34">
        <v>7.0000000000000007E-2</v>
      </c>
      <c r="BJ185" s="34" t="s">
        <v>259</v>
      </c>
      <c r="BK185" s="34">
        <v>7.0000000000000007E-2</v>
      </c>
      <c r="BL185" s="21"/>
      <c r="BM185" s="35">
        <v>0.53499999999999992</v>
      </c>
    </row>
    <row r="186" spans="1:65" x14ac:dyDescent="0.25">
      <c r="A186" s="4" t="s">
        <v>63</v>
      </c>
      <c r="B186" s="4">
        <v>73452</v>
      </c>
      <c r="C186" s="4" t="s">
        <v>246</v>
      </c>
      <c r="D186" s="19" t="s">
        <v>255</v>
      </c>
      <c r="E186" s="20">
        <v>400255</v>
      </c>
      <c r="F186" s="20" t="s">
        <v>632</v>
      </c>
      <c r="G186" s="20" t="s">
        <v>633</v>
      </c>
      <c r="H186" s="2">
        <v>45786</v>
      </c>
      <c r="I186" s="2" t="s">
        <v>258</v>
      </c>
      <c r="J186" s="2" t="s">
        <v>258</v>
      </c>
      <c r="K186" s="21">
        <v>19</v>
      </c>
      <c r="L186" s="21">
        <v>564300</v>
      </c>
      <c r="M186" s="21">
        <v>0</v>
      </c>
      <c r="N186" s="21">
        <v>907</v>
      </c>
      <c r="O186" s="21">
        <v>15</v>
      </c>
      <c r="P186" s="21">
        <v>542806</v>
      </c>
      <c r="Q186" s="22">
        <v>316.80911062906722</v>
      </c>
      <c r="R186" s="22">
        <v>300</v>
      </c>
      <c r="S186" s="23">
        <v>0</v>
      </c>
      <c r="T186" s="23">
        <v>0</v>
      </c>
      <c r="U186" s="24">
        <v>0.9619103313840156</v>
      </c>
      <c r="V186" s="25">
        <v>0.1</v>
      </c>
      <c r="W186" s="26">
        <v>0.1</v>
      </c>
      <c r="X186" s="27">
        <v>1</v>
      </c>
      <c r="Y186" s="25">
        <v>0.04</v>
      </c>
      <c r="Z186" s="24">
        <v>1</v>
      </c>
      <c r="AA186" s="25">
        <v>0.04</v>
      </c>
      <c r="AB186" s="28">
        <v>0</v>
      </c>
      <c r="AC186" s="28">
        <v>0</v>
      </c>
      <c r="AD186" s="28">
        <v>0</v>
      </c>
      <c r="AE186" s="25">
        <v>0.09</v>
      </c>
      <c r="AF186" s="26">
        <v>0.17</v>
      </c>
      <c r="AG186" s="29" t="s">
        <v>729</v>
      </c>
      <c r="AH186" s="30">
        <v>0.92500000000000004</v>
      </c>
      <c r="AI186" s="26">
        <v>0.1</v>
      </c>
      <c r="AJ186" s="21">
        <v>0</v>
      </c>
      <c r="AK186" s="21">
        <v>0</v>
      </c>
      <c r="AL186" s="26">
        <v>0.1</v>
      </c>
      <c r="AM186" s="24">
        <v>0.68766666666666654</v>
      </c>
      <c r="AN186" s="24">
        <v>0.7416666666666667</v>
      </c>
      <c r="AO186" s="31">
        <v>0.08</v>
      </c>
      <c r="AP186" s="31">
        <v>0.03</v>
      </c>
      <c r="AQ186" s="24">
        <v>0.81767857142857125</v>
      </c>
      <c r="AR186" s="27">
        <v>0.8125</v>
      </c>
      <c r="AS186" s="26">
        <v>0.125</v>
      </c>
      <c r="AT186" s="26">
        <v>0</v>
      </c>
      <c r="AU186" s="24">
        <v>0.96820809248554918</v>
      </c>
      <c r="AV186" s="32">
        <v>5</v>
      </c>
      <c r="AW186" s="26">
        <v>0</v>
      </c>
      <c r="AX186" s="26">
        <v>0</v>
      </c>
      <c r="AY186" s="24">
        <v>0.74</v>
      </c>
      <c r="AZ186" s="24">
        <v>0.76168929110105577</v>
      </c>
      <c r="BA186" s="31">
        <v>0.1</v>
      </c>
      <c r="BB186" s="33">
        <v>0.505</v>
      </c>
      <c r="BD186" s="26">
        <v>0.77500000000000002</v>
      </c>
      <c r="BE186" s="26">
        <v>0.03</v>
      </c>
      <c r="BF186" s="26" t="s">
        <v>729</v>
      </c>
      <c r="BH186" s="34">
        <v>0</v>
      </c>
      <c r="BI186" s="34">
        <v>0.01</v>
      </c>
      <c r="BJ186" s="34" t="s">
        <v>259</v>
      </c>
      <c r="BK186" s="34">
        <v>0.01</v>
      </c>
      <c r="BL186" s="21"/>
      <c r="BM186" s="35">
        <v>0.79500000000000004</v>
      </c>
    </row>
    <row r="187" spans="1:65" x14ac:dyDescent="0.25">
      <c r="A187" s="4" t="s">
        <v>63</v>
      </c>
      <c r="B187" s="4">
        <v>72906</v>
      </c>
      <c r="C187" s="4" t="s">
        <v>247</v>
      </c>
      <c r="D187" s="19" t="s">
        <v>255</v>
      </c>
      <c r="E187" s="20">
        <v>400218</v>
      </c>
      <c r="F187" s="20" t="s">
        <v>634</v>
      </c>
      <c r="G187" s="20" t="s">
        <v>635</v>
      </c>
      <c r="H187" s="2">
        <v>45789</v>
      </c>
      <c r="I187" s="2" t="s">
        <v>258</v>
      </c>
      <c r="J187" s="2" t="s">
        <v>258</v>
      </c>
      <c r="K187" s="21">
        <v>15</v>
      </c>
      <c r="L187" s="21">
        <v>445500</v>
      </c>
      <c r="M187" s="21">
        <v>0</v>
      </c>
      <c r="N187" s="21">
        <v>519</v>
      </c>
      <c r="O187" s="21">
        <v>36</v>
      </c>
      <c r="P187" s="21">
        <v>387697</v>
      </c>
      <c r="Q187" s="22">
        <v>356.36036036036035</v>
      </c>
      <c r="R187" s="22">
        <v>300</v>
      </c>
      <c r="S187" s="23">
        <v>0</v>
      </c>
      <c r="T187" s="23">
        <v>0</v>
      </c>
      <c r="U187" s="24">
        <v>0.87025140291806957</v>
      </c>
      <c r="V187" s="25">
        <v>0.1</v>
      </c>
      <c r="W187" s="26">
        <v>0.1</v>
      </c>
      <c r="X187" s="27">
        <v>0.73333333333333328</v>
      </c>
      <c r="Y187" s="25">
        <v>0</v>
      </c>
      <c r="Z187" s="24">
        <v>1</v>
      </c>
      <c r="AA187" s="25">
        <v>0.04</v>
      </c>
      <c r="AB187" s="28">
        <v>0</v>
      </c>
      <c r="AC187" s="28">
        <v>5</v>
      </c>
      <c r="AD187" s="28">
        <v>1</v>
      </c>
      <c r="AE187" s="25">
        <v>0</v>
      </c>
      <c r="AF187" s="26">
        <v>0.04</v>
      </c>
      <c r="AG187" s="29" t="s">
        <v>729</v>
      </c>
      <c r="AH187" s="30">
        <v>0.4</v>
      </c>
      <c r="AI187" s="26">
        <v>0</v>
      </c>
      <c r="AJ187" s="21">
        <v>0</v>
      </c>
      <c r="AK187" s="21">
        <v>0</v>
      </c>
      <c r="AL187" s="26">
        <v>0.1</v>
      </c>
      <c r="AM187" s="24">
        <v>0.69</v>
      </c>
      <c r="AN187" s="24">
        <v>0.61702127659574468</v>
      </c>
      <c r="AO187" s="31">
        <v>0</v>
      </c>
      <c r="AP187" s="31">
        <v>0</v>
      </c>
      <c r="AQ187" s="24">
        <v>0.82</v>
      </c>
      <c r="AR187" s="27">
        <v>0.73809523809523814</v>
      </c>
      <c r="AS187" s="26">
        <v>0</v>
      </c>
      <c r="AT187" s="26">
        <v>0</v>
      </c>
      <c r="AU187" s="24">
        <v>0.99159663865546221</v>
      </c>
      <c r="AV187" s="32">
        <v>8</v>
      </c>
      <c r="AW187" s="26">
        <v>0</v>
      </c>
      <c r="AX187" s="26">
        <v>0</v>
      </c>
      <c r="AY187" s="24">
        <v>0.74</v>
      </c>
      <c r="AZ187" s="24">
        <v>0.68385650224215244</v>
      </c>
      <c r="BA187" s="31">
        <v>0</v>
      </c>
      <c r="BB187" s="33">
        <v>0.1</v>
      </c>
      <c r="BD187" s="26">
        <v>0.24000000000000002</v>
      </c>
      <c r="BE187" s="26">
        <v>0</v>
      </c>
      <c r="BF187" s="26" t="s">
        <v>729</v>
      </c>
      <c r="BH187" s="34">
        <v>0.2</v>
      </c>
      <c r="BI187" s="34">
        <v>0.04</v>
      </c>
      <c r="BJ187" s="34" t="s">
        <v>259</v>
      </c>
      <c r="BK187" s="34">
        <v>0.2</v>
      </c>
      <c r="BL187" s="21"/>
      <c r="BM187" s="35">
        <v>4.0000000000000008E-2</v>
      </c>
    </row>
    <row r="188" spans="1:65" x14ac:dyDescent="0.25">
      <c r="A188" s="4" t="s">
        <v>63</v>
      </c>
      <c r="B188" s="4">
        <v>71416</v>
      </c>
      <c r="C188" s="4" t="s">
        <v>248</v>
      </c>
      <c r="D188" s="19" t="s">
        <v>255</v>
      </c>
      <c r="E188" s="20">
        <v>400213</v>
      </c>
      <c r="F188" s="20" t="s">
        <v>636</v>
      </c>
      <c r="G188" s="20" t="s">
        <v>637</v>
      </c>
      <c r="H188" s="2">
        <v>45792</v>
      </c>
      <c r="I188" s="2" t="s">
        <v>258</v>
      </c>
      <c r="J188" s="2" t="s">
        <v>258</v>
      </c>
      <c r="K188" s="21">
        <v>22</v>
      </c>
      <c r="L188" s="21">
        <v>653400</v>
      </c>
      <c r="M188" s="21">
        <v>0</v>
      </c>
      <c r="N188" s="21">
        <v>761</v>
      </c>
      <c r="O188" s="21">
        <v>0</v>
      </c>
      <c r="P188" s="21">
        <v>596210</v>
      </c>
      <c r="Q188" s="22">
        <v>399.06307490144548</v>
      </c>
      <c r="R188" s="22">
        <v>300</v>
      </c>
      <c r="S188" s="23">
        <v>0</v>
      </c>
      <c r="T188" s="23">
        <v>0</v>
      </c>
      <c r="U188" s="24">
        <v>0.91247321701867157</v>
      </c>
      <c r="V188" s="25">
        <v>0.1</v>
      </c>
      <c r="W188" s="26">
        <v>0.1</v>
      </c>
      <c r="X188" s="27">
        <v>1</v>
      </c>
      <c r="Y188" s="25">
        <v>0.04</v>
      </c>
      <c r="Z188" s="24">
        <v>1</v>
      </c>
      <c r="AA188" s="25">
        <v>0.04</v>
      </c>
      <c r="AB188" s="28">
        <v>0</v>
      </c>
      <c r="AC188" s="28">
        <v>0</v>
      </c>
      <c r="AD188" s="28">
        <v>0</v>
      </c>
      <c r="AE188" s="25">
        <v>0.09</v>
      </c>
      <c r="AF188" s="26">
        <v>0.17</v>
      </c>
      <c r="AG188" s="29" t="s">
        <v>729</v>
      </c>
      <c r="AH188" s="30">
        <v>0.93500000000000005</v>
      </c>
      <c r="AI188" s="26">
        <v>0.1</v>
      </c>
      <c r="AJ188" s="21">
        <v>0</v>
      </c>
      <c r="AK188" s="21">
        <v>0</v>
      </c>
      <c r="AL188" s="26">
        <v>0.1</v>
      </c>
      <c r="AM188" s="24">
        <v>0.68999999999999984</v>
      </c>
      <c r="AN188" s="24">
        <v>0.72727272727272729</v>
      </c>
      <c r="AO188" s="31">
        <v>0.08</v>
      </c>
      <c r="AP188" s="31">
        <v>0.03</v>
      </c>
      <c r="AQ188" s="24">
        <v>0.81999999999999984</v>
      </c>
      <c r="AR188" s="27">
        <v>0.8539325842696629</v>
      </c>
      <c r="AS188" s="26">
        <v>0.2</v>
      </c>
      <c r="AT188" s="26">
        <v>0.06</v>
      </c>
      <c r="AU188" s="24">
        <v>0.97381342062193121</v>
      </c>
      <c r="AV188" s="32">
        <v>18</v>
      </c>
      <c r="AW188" s="26">
        <v>0</v>
      </c>
      <c r="AX188" s="26">
        <v>0</v>
      </c>
      <c r="AY188" s="24">
        <v>0.74</v>
      </c>
      <c r="AZ188" s="24">
        <v>0.76500000000000001</v>
      </c>
      <c r="BA188" s="31">
        <v>0.1</v>
      </c>
      <c r="BB188" s="33">
        <v>0.57999999999999996</v>
      </c>
      <c r="BD188" s="26">
        <v>0.85</v>
      </c>
      <c r="BE188" s="26">
        <v>0.09</v>
      </c>
      <c r="BF188" s="26" t="s">
        <v>729</v>
      </c>
      <c r="BH188" s="34">
        <v>0</v>
      </c>
      <c r="BI188" s="34">
        <v>0.14000000000000001</v>
      </c>
      <c r="BJ188" s="34" t="s">
        <v>259</v>
      </c>
      <c r="BK188" s="34">
        <v>0.14000000000000001</v>
      </c>
      <c r="BL188" s="21"/>
      <c r="BM188" s="35">
        <v>0.79999999999999993</v>
      </c>
    </row>
    <row r="189" spans="1:65" x14ac:dyDescent="0.25">
      <c r="A189" s="4" t="s">
        <v>63</v>
      </c>
      <c r="B189" s="4">
        <v>72567</v>
      </c>
      <c r="C189" s="4" t="s">
        <v>249</v>
      </c>
      <c r="D189" s="19" t="s">
        <v>255</v>
      </c>
      <c r="E189" s="20">
        <v>400215</v>
      </c>
      <c r="F189" s="20" t="s">
        <v>638</v>
      </c>
      <c r="G189" s="20" t="s">
        <v>639</v>
      </c>
      <c r="H189" s="2">
        <v>45789</v>
      </c>
      <c r="I189" s="2" t="s">
        <v>258</v>
      </c>
      <c r="J189" s="2" t="s">
        <v>258</v>
      </c>
      <c r="K189" s="21">
        <v>22</v>
      </c>
      <c r="L189" s="21">
        <v>653400</v>
      </c>
      <c r="M189" s="21">
        <v>0</v>
      </c>
      <c r="N189" s="21">
        <v>782</v>
      </c>
      <c r="O189" s="21">
        <v>36</v>
      </c>
      <c r="P189" s="21">
        <v>614236</v>
      </c>
      <c r="Q189" s="22">
        <v>357.27383863080684</v>
      </c>
      <c r="R189" s="22">
        <v>300</v>
      </c>
      <c r="S189" s="23">
        <v>0</v>
      </c>
      <c r="T189" s="23">
        <v>0</v>
      </c>
      <c r="U189" s="24">
        <v>0.94006121824303646</v>
      </c>
      <c r="V189" s="25">
        <v>0.1</v>
      </c>
      <c r="W189" s="26">
        <v>0.1</v>
      </c>
      <c r="X189" s="27">
        <v>0.86363636363636365</v>
      </c>
      <c r="Y189" s="25">
        <v>0</v>
      </c>
      <c r="Z189" s="24">
        <v>1</v>
      </c>
      <c r="AA189" s="25">
        <v>0.04</v>
      </c>
      <c r="AB189" s="28">
        <v>0</v>
      </c>
      <c r="AC189" s="28">
        <v>0</v>
      </c>
      <c r="AD189" s="28">
        <v>0</v>
      </c>
      <c r="AE189" s="25">
        <v>0.09</v>
      </c>
      <c r="AF189" s="26">
        <v>0.13</v>
      </c>
      <c r="AG189" s="29" t="s">
        <v>729</v>
      </c>
      <c r="AH189" s="30">
        <v>0.875</v>
      </c>
      <c r="AI189" s="26">
        <v>0.05</v>
      </c>
      <c r="AJ189" s="21">
        <v>0</v>
      </c>
      <c r="AK189" s="21">
        <v>0</v>
      </c>
      <c r="AL189" s="26">
        <v>0.1</v>
      </c>
      <c r="AM189" s="24">
        <v>0.69</v>
      </c>
      <c r="AN189" s="24">
        <v>0.765625</v>
      </c>
      <c r="AO189" s="31">
        <v>0.08</v>
      </c>
      <c r="AP189" s="31">
        <v>0.03</v>
      </c>
      <c r="AQ189" s="24">
        <v>0.82</v>
      </c>
      <c r="AR189" s="27">
        <v>0.84799999999999998</v>
      </c>
      <c r="AS189" s="26">
        <v>0.2</v>
      </c>
      <c r="AT189" s="26">
        <v>0.04</v>
      </c>
      <c r="AU189" s="24">
        <v>0.99363057324840764</v>
      </c>
      <c r="AV189" s="32">
        <v>4</v>
      </c>
      <c r="AW189" s="26">
        <v>0</v>
      </c>
      <c r="AX189" s="26">
        <v>0</v>
      </c>
      <c r="AY189" s="24">
        <v>0.74</v>
      </c>
      <c r="AZ189" s="24">
        <v>0.72711864406779658</v>
      </c>
      <c r="BA189" s="31">
        <v>0.05</v>
      </c>
      <c r="BB189" s="33">
        <v>0.48</v>
      </c>
      <c r="BD189" s="26">
        <v>0.71</v>
      </c>
      <c r="BE189" s="26">
        <v>7.0000000000000007E-2</v>
      </c>
      <c r="BF189" s="26" t="s">
        <v>729</v>
      </c>
      <c r="BH189" s="34">
        <v>0</v>
      </c>
      <c r="BI189" s="34">
        <v>0</v>
      </c>
      <c r="BJ189" s="34" t="s">
        <v>259</v>
      </c>
      <c r="BK189" s="34">
        <v>0</v>
      </c>
      <c r="BL189" s="21"/>
      <c r="BM189" s="35">
        <v>0.78</v>
      </c>
    </row>
    <row r="190" spans="1:65" x14ac:dyDescent="0.25">
      <c r="A190" s="4" t="s">
        <v>63</v>
      </c>
      <c r="B190" s="4">
        <v>73484</v>
      </c>
      <c r="C190" s="4" t="s">
        <v>250</v>
      </c>
      <c r="D190" s="19" t="s">
        <v>255</v>
      </c>
      <c r="E190" s="20">
        <v>400257</v>
      </c>
      <c r="F190" s="20" t="s">
        <v>640</v>
      </c>
      <c r="G190" s="20" t="s">
        <v>641</v>
      </c>
      <c r="H190" s="2">
        <v>45786</v>
      </c>
      <c r="I190" s="2" t="s">
        <v>258</v>
      </c>
      <c r="J190" s="2" t="s">
        <v>258</v>
      </c>
      <c r="K190" s="21">
        <v>20</v>
      </c>
      <c r="L190" s="21">
        <v>594000</v>
      </c>
      <c r="M190" s="21">
        <v>0</v>
      </c>
      <c r="N190" s="21">
        <v>911</v>
      </c>
      <c r="O190" s="21">
        <v>0</v>
      </c>
      <c r="P190" s="21">
        <v>519979</v>
      </c>
      <c r="Q190" s="22">
        <v>340.41822173435787</v>
      </c>
      <c r="R190" s="22">
        <v>300</v>
      </c>
      <c r="S190" s="23">
        <v>0</v>
      </c>
      <c r="T190" s="23">
        <v>0</v>
      </c>
      <c r="U190" s="24">
        <v>0.87538552188552188</v>
      </c>
      <c r="V190" s="25">
        <v>0.1</v>
      </c>
      <c r="W190" s="26">
        <v>0.1</v>
      </c>
      <c r="X190" s="27">
        <v>0.75</v>
      </c>
      <c r="Y190" s="25">
        <v>0</v>
      </c>
      <c r="Z190" s="24">
        <v>0.95</v>
      </c>
      <c r="AA190" s="25">
        <v>0.04</v>
      </c>
      <c r="AB190" s="28">
        <v>0</v>
      </c>
      <c r="AC190" s="28">
        <v>0</v>
      </c>
      <c r="AD190" s="28">
        <v>0</v>
      </c>
      <c r="AE190" s="25">
        <v>0.09</v>
      </c>
      <c r="AF190" s="26">
        <v>0.13</v>
      </c>
      <c r="AG190" s="29" t="s">
        <v>729</v>
      </c>
      <c r="AH190" s="30">
        <v>0.77500000000000002</v>
      </c>
      <c r="AI190" s="26">
        <v>0</v>
      </c>
      <c r="AJ190" s="21">
        <v>0</v>
      </c>
      <c r="AK190" s="21">
        <v>0</v>
      </c>
      <c r="AL190" s="26">
        <v>0.1</v>
      </c>
      <c r="AM190" s="24">
        <v>0.69</v>
      </c>
      <c r="AN190" s="24">
        <v>0.7068965517241379</v>
      </c>
      <c r="AO190" s="31">
        <v>0.08</v>
      </c>
      <c r="AP190" s="31">
        <v>0.03</v>
      </c>
      <c r="AQ190" s="24">
        <v>0.82</v>
      </c>
      <c r="AR190" s="27">
        <v>0.79661016949152541</v>
      </c>
      <c r="AS190" s="26">
        <v>7.4999999999999997E-2</v>
      </c>
      <c r="AT190" s="26">
        <v>0</v>
      </c>
      <c r="AU190" s="24">
        <v>0.98206896551724143</v>
      </c>
      <c r="AV190" s="32">
        <v>14</v>
      </c>
      <c r="AW190" s="26">
        <v>0</v>
      </c>
      <c r="AX190" s="26">
        <v>0</v>
      </c>
      <c r="AY190" s="24">
        <v>0.74</v>
      </c>
      <c r="AZ190" s="24">
        <v>0.7426160337552743</v>
      </c>
      <c r="BA190" s="31">
        <v>0.1</v>
      </c>
      <c r="BB190" s="33">
        <v>0.35499999999999998</v>
      </c>
      <c r="BD190" s="26">
        <v>0.58499999999999996</v>
      </c>
      <c r="BE190" s="26">
        <v>0.03</v>
      </c>
      <c r="BF190" s="26" t="s">
        <v>729</v>
      </c>
      <c r="BH190" s="34">
        <v>0</v>
      </c>
      <c r="BI190" s="34">
        <v>0.1</v>
      </c>
      <c r="BJ190" s="34" t="s">
        <v>259</v>
      </c>
      <c r="BK190" s="34">
        <v>0.1</v>
      </c>
      <c r="BM190" s="35">
        <v>0.51500000000000001</v>
      </c>
    </row>
    <row r="191" spans="1:65" x14ac:dyDescent="0.25">
      <c r="A191" s="4" t="s">
        <v>63</v>
      </c>
      <c r="B191" s="4">
        <v>72230</v>
      </c>
      <c r="C191" s="4" t="s">
        <v>251</v>
      </c>
      <c r="D191" s="19" t="s">
        <v>255</v>
      </c>
      <c r="E191" s="20">
        <v>400247</v>
      </c>
      <c r="F191" s="20" t="s">
        <v>642</v>
      </c>
      <c r="G191" s="20" t="s">
        <v>643</v>
      </c>
      <c r="H191" s="2">
        <v>45789</v>
      </c>
      <c r="I191" s="2" t="s">
        <v>258</v>
      </c>
      <c r="J191" s="2" t="s">
        <v>258</v>
      </c>
      <c r="K191" s="21">
        <v>18</v>
      </c>
      <c r="L191" s="21">
        <v>534600</v>
      </c>
      <c r="M191" s="21">
        <v>0</v>
      </c>
      <c r="N191" s="21">
        <v>624</v>
      </c>
      <c r="O191" s="21">
        <v>38</v>
      </c>
      <c r="P191" s="21">
        <v>507738</v>
      </c>
      <c r="Q191" s="22">
        <v>346.23262839879152</v>
      </c>
      <c r="R191" s="22">
        <v>300</v>
      </c>
      <c r="S191" s="23">
        <v>0</v>
      </c>
      <c r="T191" s="23">
        <v>0</v>
      </c>
      <c r="U191" s="24">
        <v>0.94975308641975309</v>
      </c>
      <c r="V191" s="25">
        <v>0.1</v>
      </c>
      <c r="W191" s="26">
        <v>0.1</v>
      </c>
      <c r="X191" s="27">
        <v>0.94444444444444442</v>
      </c>
      <c r="Y191" s="25">
        <v>0</v>
      </c>
      <c r="Z191" s="24">
        <v>0.88888888888888884</v>
      </c>
      <c r="AA191" s="25">
        <v>0</v>
      </c>
      <c r="AB191" s="28">
        <v>3</v>
      </c>
      <c r="AC191" s="28">
        <v>0</v>
      </c>
      <c r="AD191" s="28">
        <v>0</v>
      </c>
      <c r="AE191" s="25">
        <v>0</v>
      </c>
      <c r="AF191" s="26">
        <v>0</v>
      </c>
      <c r="AG191" s="29" t="s">
        <v>729</v>
      </c>
      <c r="AH191" s="30">
        <v>0.88</v>
      </c>
      <c r="AI191" s="26">
        <v>0.05</v>
      </c>
      <c r="AJ191" s="21">
        <v>0</v>
      </c>
      <c r="AK191" s="21">
        <v>0</v>
      </c>
      <c r="AL191" s="26">
        <v>0.1</v>
      </c>
      <c r="AM191" s="24">
        <v>0.69</v>
      </c>
      <c r="AN191" s="24">
        <v>0.71304347826086956</v>
      </c>
      <c r="AO191" s="31">
        <v>0.08</v>
      </c>
      <c r="AP191" s="31">
        <v>0.03</v>
      </c>
      <c r="AQ191" s="24">
        <v>0.82</v>
      </c>
      <c r="AR191" s="27">
        <v>0.79047619047619044</v>
      </c>
      <c r="AS191" s="26">
        <v>7.4999999999999997E-2</v>
      </c>
      <c r="AT191" s="26">
        <v>0</v>
      </c>
      <c r="AU191" s="24">
        <v>0.977112676056338</v>
      </c>
      <c r="AV191" s="32">
        <v>3</v>
      </c>
      <c r="AW191" s="26">
        <v>0.01</v>
      </c>
      <c r="AX191" s="26">
        <v>0</v>
      </c>
      <c r="AY191" s="24">
        <v>0.74</v>
      </c>
      <c r="AZ191" s="24">
        <v>0.75932835820895528</v>
      </c>
      <c r="BA191" s="31">
        <v>0.1</v>
      </c>
      <c r="BB191" s="33">
        <v>0.41500000000000004</v>
      </c>
      <c r="BD191" s="26">
        <v>0.51500000000000001</v>
      </c>
      <c r="BE191" s="26">
        <v>0.03</v>
      </c>
      <c r="BF191" s="26" t="s">
        <v>729</v>
      </c>
      <c r="BH191" s="34">
        <v>0.1</v>
      </c>
      <c r="BI191" s="34">
        <v>0</v>
      </c>
      <c r="BJ191" s="34" t="s">
        <v>259</v>
      </c>
      <c r="BK191" s="34">
        <v>0.1</v>
      </c>
      <c r="BM191" s="35">
        <v>0.44500000000000006</v>
      </c>
    </row>
    <row r="192" spans="1:65" x14ac:dyDescent="0.25">
      <c r="A192" s="4" t="s">
        <v>63</v>
      </c>
      <c r="B192" s="4">
        <v>75137</v>
      </c>
      <c r="C192" s="4" t="s">
        <v>252</v>
      </c>
      <c r="D192" s="19" t="s">
        <v>255</v>
      </c>
      <c r="E192" s="20">
        <v>400256</v>
      </c>
      <c r="F192" s="20" t="s">
        <v>644</v>
      </c>
      <c r="G192" s="20" t="s">
        <v>645</v>
      </c>
      <c r="H192" s="2">
        <v>45786</v>
      </c>
      <c r="I192" s="2" t="s">
        <v>258</v>
      </c>
      <c r="J192" s="2" t="s">
        <v>258</v>
      </c>
      <c r="K192" s="21">
        <v>20</v>
      </c>
      <c r="L192" s="21">
        <v>594000</v>
      </c>
      <c r="M192" s="21">
        <v>0</v>
      </c>
      <c r="N192" s="21">
        <v>840</v>
      </c>
      <c r="O192" s="21">
        <v>3</v>
      </c>
      <c r="P192" s="21">
        <v>519094</v>
      </c>
      <c r="Q192" s="22">
        <v>380.6761565836299</v>
      </c>
      <c r="R192" s="22">
        <v>300</v>
      </c>
      <c r="S192" s="23">
        <v>0</v>
      </c>
      <c r="T192" s="23">
        <v>0</v>
      </c>
      <c r="U192" s="24">
        <v>0.87389562289562295</v>
      </c>
      <c r="V192" s="25">
        <v>0.1</v>
      </c>
      <c r="W192" s="26">
        <v>0.1</v>
      </c>
      <c r="X192" s="27">
        <v>1</v>
      </c>
      <c r="Y192" s="25">
        <v>0.04</v>
      </c>
      <c r="Z192" s="24">
        <v>1</v>
      </c>
      <c r="AA192" s="25">
        <v>0.04</v>
      </c>
      <c r="AB192" s="28">
        <v>0</v>
      </c>
      <c r="AC192" s="28">
        <v>0</v>
      </c>
      <c r="AD192" s="28">
        <v>0</v>
      </c>
      <c r="AE192" s="25">
        <v>0.09</v>
      </c>
      <c r="AF192" s="26">
        <v>0.17</v>
      </c>
      <c r="AG192" s="29" t="s">
        <v>729</v>
      </c>
      <c r="AH192" s="30">
        <v>1</v>
      </c>
      <c r="AI192" s="26">
        <v>0.1</v>
      </c>
      <c r="AJ192" s="21">
        <v>0</v>
      </c>
      <c r="AK192" s="21">
        <v>0</v>
      </c>
      <c r="AL192" s="26">
        <v>0.1</v>
      </c>
      <c r="AM192" s="24">
        <v>0.69</v>
      </c>
      <c r="AN192" s="24">
        <v>0.56451612903225812</v>
      </c>
      <c r="AO192" s="31">
        <v>0</v>
      </c>
      <c r="AP192" s="31">
        <v>0</v>
      </c>
      <c r="AQ192" s="24">
        <v>0.82</v>
      </c>
      <c r="AR192" s="27">
        <v>0.69911504424778759</v>
      </c>
      <c r="AS192" s="26">
        <v>0</v>
      </c>
      <c r="AT192" s="26">
        <v>0</v>
      </c>
      <c r="AU192" s="24">
        <v>0.98671978751660028</v>
      </c>
      <c r="AV192" s="32">
        <v>14</v>
      </c>
      <c r="AW192" s="26">
        <v>0</v>
      </c>
      <c r="AX192" s="26">
        <v>0</v>
      </c>
      <c r="AY192" s="24">
        <v>0.7400000000000001</v>
      </c>
      <c r="AZ192" s="24">
        <v>0.70080862533692723</v>
      </c>
      <c r="BA192" s="31">
        <v>0</v>
      </c>
      <c r="BB192" s="33">
        <v>0.2</v>
      </c>
      <c r="BD192" s="26">
        <v>0.47</v>
      </c>
      <c r="BE192" s="26">
        <v>0</v>
      </c>
      <c r="BF192" s="26" t="s">
        <v>729</v>
      </c>
      <c r="BH192" s="34">
        <v>0</v>
      </c>
      <c r="BI192" s="34">
        <v>0.1</v>
      </c>
      <c r="BJ192" s="34" t="s">
        <v>259</v>
      </c>
      <c r="BK192" s="34">
        <v>0.1</v>
      </c>
      <c r="BM192" s="35">
        <v>0.37</v>
      </c>
    </row>
    <row r="193" spans="1:65" x14ac:dyDescent="0.25">
      <c r="A193" s="4" t="s">
        <v>63</v>
      </c>
      <c r="B193" s="4">
        <v>78166</v>
      </c>
      <c r="C193" s="4" t="s">
        <v>647</v>
      </c>
      <c r="D193" s="19" t="s">
        <v>255</v>
      </c>
      <c r="E193" s="20">
        <v>400619</v>
      </c>
      <c r="F193" s="20" t="s">
        <v>702</v>
      </c>
      <c r="G193" s="20" t="s">
        <v>674</v>
      </c>
      <c r="H193" s="2">
        <v>45813</v>
      </c>
      <c r="I193" s="2" t="s">
        <v>258</v>
      </c>
      <c r="J193" s="2" t="s">
        <v>258</v>
      </c>
      <c r="K193" s="21">
        <v>12</v>
      </c>
      <c r="L193" s="21">
        <v>356400</v>
      </c>
      <c r="M193" s="21">
        <v>2700</v>
      </c>
      <c r="N193" s="21">
        <v>295</v>
      </c>
      <c r="O193" s="21">
        <v>0</v>
      </c>
      <c r="P193" s="21">
        <v>355996</v>
      </c>
      <c r="Q193" s="22">
        <v>526.14576271186445</v>
      </c>
      <c r="R193" s="22">
        <v>300</v>
      </c>
      <c r="S193" s="23">
        <v>0</v>
      </c>
      <c r="T193" s="23">
        <v>0</v>
      </c>
      <c r="U193" s="24">
        <v>1.0064913768730563</v>
      </c>
      <c r="V193" s="25">
        <v>0.1</v>
      </c>
      <c r="W193" s="26">
        <v>0.1</v>
      </c>
      <c r="X193" s="27">
        <v>0.33333333333333331</v>
      </c>
      <c r="Y193" s="25">
        <v>0</v>
      </c>
      <c r="Z193" s="24">
        <v>0.75</v>
      </c>
      <c r="AA193" s="25">
        <v>0</v>
      </c>
      <c r="AB193" s="28">
        <v>0</v>
      </c>
      <c r="AC193" s="28">
        <v>0</v>
      </c>
      <c r="AD193" s="28">
        <v>0</v>
      </c>
      <c r="AE193" s="25">
        <v>0.09</v>
      </c>
      <c r="AF193" s="26">
        <v>0.09</v>
      </c>
      <c r="AG193" s="29" t="s">
        <v>729</v>
      </c>
      <c r="AH193" s="30">
        <v>1</v>
      </c>
      <c r="AI193" s="26">
        <v>0.1</v>
      </c>
      <c r="AJ193" s="21">
        <v>0</v>
      </c>
      <c r="AK193" s="21">
        <v>0</v>
      </c>
      <c r="AL193" s="26">
        <v>0.1</v>
      </c>
      <c r="AM193" s="24">
        <v>0.69</v>
      </c>
      <c r="AN193" s="24">
        <v>0.72340425531914898</v>
      </c>
      <c r="AO193" s="31">
        <v>0.08</v>
      </c>
      <c r="AP193" s="31">
        <v>0.03</v>
      </c>
      <c r="AQ193" s="24">
        <v>0.82</v>
      </c>
      <c r="AR193" s="27">
        <v>0.88095238095238093</v>
      </c>
      <c r="AS193" s="26">
        <v>0</v>
      </c>
      <c r="AT193" s="26">
        <v>0</v>
      </c>
      <c r="AU193" s="24">
        <v>0.90322580645161288</v>
      </c>
      <c r="AV193" s="32">
        <v>1</v>
      </c>
      <c r="AW193" s="26">
        <v>0.05</v>
      </c>
      <c r="AX193" s="26">
        <v>0</v>
      </c>
      <c r="AY193" s="24">
        <v>0.74</v>
      </c>
      <c r="AZ193" s="24">
        <v>0.71111111111111114</v>
      </c>
      <c r="BA193" s="31">
        <v>0</v>
      </c>
      <c r="BB193" s="33">
        <v>0.33</v>
      </c>
      <c r="BD193" s="26">
        <v>0.52</v>
      </c>
      <c r="BE193" s="26">
        <v>0.03</v>
      </c>
      <c r="BF193" s="26" t="s">
        <v>729</v>
      </c>
      <c r="BH193" s="34">
        <v>0</v>
      </c>
      <c r="BI193" s="34">
        <v>0</v>
      </c>
      <c r="BJ193" s="34" t="s">
        <v>259</v>
      </c>
      <c r="BK193" s="34">
        <v>0</v>
      </c>
      <c r="BM193" s="35">
        <v>0.55000000000000004</v>
      </c>
    </row>
    <row r="194" spans="1:65" x14ac:dyDescent="0.25">
      <c r="A194" s="4" t="s">
        <v>63</v>
      </c>
      <c r="B194" s="4">
        <v>78171</v>
      </c>
      <c r="C194" s="4" t="s">
        <v>648</v>
      </c>
      <c r="D194" s="19" t="s">
        <v>255</v>
      </c>
      <c r="E194" s="20">
        <v>400624</v>
      </c>
      <c r="F194" s="20" t="s">
        <v>703</v>
      </c>
      <c r="G194" s="20" t="s">
        <v>675</v>
      </c>
      <c r="H194" s="2">
        <v>45813</v>
      </c>
      <c r="I194" s="2" t="s">
        <v>258</v>
      </c>
      <c r="J194" s="2" t="s">
        <v>258</v>
      </c>
      <c r="K194" s="21">
        <v>13</v>
      </c>
      <c r="L194" s="21">
        <v>386100</v>
      </c>
      <c r="M194" s="21">
        <v>3600</v>
      </c>
      <c r="N194" s="21">
        <v>302</v>
      </c>
      <c r="O194" s="21">
        <v>2</v>
      </c>
      <c r="P194" s="21">
        <v>375257</v>
      </c>
      <c r="Q194" s="22">
        <v>513.26973684210532</v>
      </c>
      <c r="R194" s="22">
        <v>300</v>
      </c>
      <c r="S194" s="23">
        <v>0</v>
      </c>
      <c r="T194" s="23">
        <v>0</v>
      </c>
      <c r="U194" s="24">
        <v>0.98106405228758164</v>
      </c>
      <c r="V194" s="25">
        <v>0.1</v>
      </c>
      <c r="W194" s="26">
        <v>0.1</v>
      </c>
      <c r="X194" s="27">
        <v>0.53846153846153844</v>
      </c>
      <c r="Y194" s="25">
        <v>0</v>
      </c>
      <c r="Z194" s="24">
        <v>0.84615384615384615</v>
      </c>
      <c r="AA194" s="25">
        <v>0</v>
      </c>
      <c r="AB194" s="28">
        <v>0</v>
      </c>
      <c r="AC194" s="28">
        <v>0</v>
      </c>
      <c r="AD194" s="28">
        <v>1</v>
      </c>
      <c r="AE194" s="25">
        <v>0.04</v>
      </c>
      <c r="AF194" s="26">
        <v>0.04</v>
      </c>
      <c r="AG194" s="29" t="s">
        <v>729</v>
      </c>
      <c r="AH194" s="30">
        <v>0.8</v>
      </c>
      <c r="AI194" s="26">
        <v>0.05</v>
      </c>
      <c r="AJ194" s="21">
        <v>0</v>
      </c>
      <c r="AK194" s="21">
        <v>0</v>
      </c>
      <c r="AL194" s="26">
        <v>0.1</v>
      </c>
      <c r="AM194" s="24">
        <v>0.69</v>
      </c>
      <c r="AN194" s="24">
        <v>0.81632653061224492</v>
      </c>
      <c r="AO194" s="31">
        <v>0.08</v>
      </c>
      <c r="AP194" s="31">
        <v>0.03</v>
      </c>
      <c r="AQ194" s="24">
        <v>0.82</v>
      </c>
      <c r="AR194" s="27">
        <v>0.86956521739130432</v>
      </c>
      <c r="AS194" s="26">
        <v>0.2</v>
      </c>
      <c r="AT194" s="26">
        <v>0.08</v>
      </c>
      <c r="AU194" s="24">
        <v>0.97602739726027399</v>
      </c>
      <c r="AV194" s="32">
        <v>11</v>
      </c>
      <c r="AW194" s="26">
        <v>0</v>
      </c>
      <c r="AX194" s="26">
        <v>0</v>
      </c>
      <c r="AY194" s="24">
        <v>0.74</v>
      </c>
      <c r="AZ194" s="24">
        <v>0.75</v>
      </c>
      <c r="BA194" s="31">
        <v>0.1</v>
      </c>
      <c r="BB194" s="33">
        <v>0.53</v>
      </c>
      <c r="BD194" s="26">
        <v>0.67</v>
      </c>
      <c r="BE194" s="26">
        <v>0.11</v>
      </c>
      <c r="BF194" s="26" t="s">
        <v>729</v>
      </c>
      <c r="BH194" s="34">
        <v>0</v>
      </c>
      <c r="BI194" s="34">
        <v>7.0000000000000007E-2</v>
      </c>
      <c r="BJ194" s="34" t="s">
        <v>259</v>
      </c>
      <c r="BK194" s="34">
        <v>7.0000000000000007E-2</v>
      </c>
      <c r="BM194" s="35">
        <v>0.71</v>
      </c>
    </row>
    <row r="195" spans="1:65" x14ac:dyDescent="0.25">
      <c r="A195" s="4" t="s">
        <v>63</v>
      </c>
      <c r="B195" s="4">
        <v>78165</v>
      </c>
      <c r="C195" s="4" t="s">
        <v>649</v>
      </c>
      <c r="D195" s="19" t="s">
        <v>255</v>
      </c>
      <c r="E195" s="20">
        <v>400618</v>
      </c>
      <c r="F195" s="20" t="s">
        <v>704</v>
      </c>
      <c r="G195" s="20" t="s">
        <v>676</v>
      </c>
      <c r="H195" s="2">
        <v>45813</v>
      </c>
      <c r="I195" s="2" t="s">
        <v>258</v>
      </c>
      <c r="J195" s="2" t="s">
        <v>258</v>
      </c>
      <c r="K195" s="21">
        <v>14</v>
      </c>
      <c r="L195" s="21">
        <v>415800</v>
      </c>
      <c r="M195" s="21">
        <v>3300</v>
      </c>
      <c r="N195" s="21">
        <v>458</v>
      </c>
      <c r="O195" s="21">
        <v>0</v>
      </c>
      <c r="P195" s="21">
        <v>412081</v>
      </c>
      <c r="Q195" s="22">
        <v>411.78820960698692</v>
      </c>
      <c r="R195" s="22">
        <v>300</v>
      </c>
      <c r="S195" s="23">
        <v>0</v>
      </c>
      <c r="T195" s="23">
        <v>0</v>
      </c>
      <c r="U195" s="24">
        <v>0.99898424242424244</v>
      </c>
      <c r="V195" s="25">
        <v>0.1</v>
      </c>
      <c r="W195" s="26">
        <v>0.1</v>
      </c>
      <c r="X195" s="27">
        <v>0.6428571428571429</v>
      </c>
      <c r="Y195" s="25">
        <v>0</v>
      </c>
      <c r="Z195" s="24">
        <v>0.8571428571428571</v>
      </c>
      <c r="AA195" s="25">
        <v>0</v>
      </c>
      <c r="AB195" s="28">
        <v>0</v>
      </c>
      <c r="AC195" s="28">
        <v>0</v>
      </c>
      <c r="AD195" s="28">
        <v>0</v>
      </c>
      <c r="AE195" s="25">
        <v>0.09</v>
      </c>
      <c r="AF195" s="26">
        <v>0.09</v>
      </c>
      <c r="AG195" s="29" t="s">
        <v>729</v>
      </c>
      <c r="AH195" s="30">
        <v>0.97499999999999998</v>
      </c>
      <c r="AI195" s="26">
        <v>0.1</v>
      </c>
      <c r="AJ195" s="21">
        <v>0</v>
      </c>
      <c r="AK195" s="21">
        <v>0</v>
      </c>
      <c r="AL195" s="26">
        <v>0.1</v>
      </c>
      <c r="AM195" s="24">
        <v>0.69</v>
      </c>
      <c r="AN195" s="24">
        <v>0.78481012658227844</v>
      </c>
      <c r="AO195" s="31">
        <v>0.08</v>
      </c>
      <c r="AP195" s="31">
        <v>0.03</v>
      </c>
      <c r="AQ195" s="24">
        <v>0.82</v>
      </c>
      <c r="AR195" s="27">
        <v>0.79220779220779225</v>
      </c>
      <c r="AS195" s="26">
        <v>7.4999999999999997E-2</v>
      </c>
      <c r="AT195" s="26">
        <v>0</v>
      </c>
      <c r="AU195" s="24">
        <v>0.97058823529411764</v>
      </c>
      <c r="AV195" s="32">
        <v>1</v>
      </c>
      <c r="AW195" s="26">
        <v>0.05</v>
      </c>
      <c r="AX195" s="26">
        <v>0</v>
      </c>
      <c r="AY195" s="24">
        <v>0.74</v>
      </c>
      <c r="AZ195" s="24">
        <v>0.76091954022988506</v>
      </c>
      <c r="BA195" s="31">
        <v>0.1</v>
      </c>
      <c r="BB195" s="33">
        <v>0.505</v>
      </c>
      <c r="BD195" s="26">
        <v>0.69499999999999995</v>
      </c>
      <c r="BE195" s="26">
        <v>0.03</v>
      </c>
      <c r="BF195" s="26" t="s">
        <v>729</v>
      </c>
      <c r="BH195" s="34">
        <v>0</v>
      </c>
      <c r="BI195" s="34">
        <v>0</v>
      </c>
      <c r="BJ195" s="34" t="s">
        <v>259</v>
      </c>
      <c r="BK195" s="34">
        <v>0</v>
      </c>
      <c r="BM195" s="35">
        <v>0.72499999999999998</v>
      </c>
    </row>
    <row r="196" spans="1:65" x14ac:dyDescent="0.25">
      <c r="A196" s="4" t="s">
        <v>63</v>
      </c>
      <c r="B196" s="4">
        <v>78179</v>
      </c>
      <c r="C196" s="4" t="s">
        <v>650</v>
      </c>
      <c r="D196" s="19" t="s">
        <v>255</v>
      </c>
      <c r="E196" s="20">
        <v>400632</v>
      </c>
      <c r="F196" s="20" t="s">
        <v>705</v>
      </c>
      <c r="G196" s="20" t="s">
        <v>677</v>
      </c>
      <c r="H196" s="2">
        <v>45813</v>
      </c>
      <c r="I196" s="2" t="s">
        <v>258</v>
      </c>
      <c r="J196" s="2" t="s">
        <v>258</v>
      </c>
      <c r="K196" s="21">
        <v>15</v>
      </c>
      <c r="L196" s="21">
        <v>445500</v>
      </c>
      <c r="M196" s="21">
        <v>3600</v>
      </c>
      <c r="N196" s="21">
        <v>416</v>
      </c>
      <c r="O196" s="21">
        <v>0</v>
      </c>
      <c r="P196" s="21">
        <v>426304</v>
      </c>
      <c r="Q196" s="22">
        <v>556.87740384615381</v>
      </c>
      <c r="R196" s="22">
        <v>300</v>
      </c>
      <c r="S196" s="23">
        <v>0</v>
      </c>
      <c r="T196" s="23">
        <v>0</v>
      </c>
      <c r="U196" s="24">
        <v>0.96470694727313877</v>
      </c>
      <c r="V196" s="25">
        <v>0.1</v>
      </c>
      <c r="W196" s="26">
        <v>0.1</v>
      </c>
      <c r="X196" s="27">
        <v>0.53333333333333333</v>
      </c>
      <c r="Y196" s="25">
        <v>0</v>
      </c>
      <c r="Z196" s="24">
        <v>0.8666666666666667</v>
      </c>
      <c r="AA196" s="25">
        <v>0</v>
      </c>
      <c r="AB196" s="28">
        <v>0</v>
      </c>
      <c r="AC196" s="28">
        <v>0</v>
      </c>
      <c r="AD196" s="28">
        <v>0</v>
      </c>
      <c r="AE196" s="25">
        <v>0.09</v>
      </c>
      <c r="AF196" s="26">
        <v>0.09</v>
      </c>
      <c r="AG196" s="29" t="s">
        <v>729</v>
      </c>
      <c r="AH196" s="30">
        <v>0.97499999999999998</v>
      </c>
      <c r="AI196" s="26">
        <v>0.1</v>
      </c>
      <c r="AJ196" s="21">
        <v>0</v>
      </c>
      <c r="AK196" s="21">
        <v>0</v>
      </c>
      <c r="AL196" s="26">
        <v>0.1</v>
      </c>
      <c r="AM196" s="24">
        <v>0.69</v>
      </c>
      <c r="AN196" s="24">
        <v>0.640625</v>
      </c>
      <c r="AO196" s="31">
        <v>0.04</v>
      </c>
      <c r="AP196" s="31">
        <v>0</v>
      </c>
      <c r="AQ196" s="24">
        <v>0.82</v>
      </c>
      <c r="AR196" s="27">
        <v>0.69491525423728817</v>
      </c>
      <c r="AS196" s="26">
        <v>0</v>
      </c>
      <c r="AT196" s="26">
        <v>0</v>
      </c>
      <c r="AU196" s="24">
        <v>0.93877551020408168</v>
      </c>
      <c r="AV196" s="32">
        <v>3</v>
      </c>
      <c r="AW196" s="26">
        <v>0.01</v>
      </c>
      <c r="AX196" s="26">
        <v>0</v>
      </c>
      <c r="AY196" s="24">
        <v>0.74</v>
      </c>
      <c r="AZ196" s="24">
        <v>0.75968992248062017</v>
      </c>
      <c r="BA196" s="31">
        <v>0.1</v>
      </c>
      <c r="BB196" s="33">
        <v>0.35</v>
      </c>
      <c r="BD196" s="26">
        <v>0.53999999999999992</v>
      </c>
      <c r="BE196" s="26">
        <v>0</v>
      </c>
      <c r="BF196" s="26" t="s">
        <v>729</v>
      </c>
      <c r="BH196" s="34">
        <v>0</v>
      </c>
      <c r="BI196" s="34">
        <v>0</v>
      </c>
      <c r="BJ196" s="34" t="s">
        <v>259</v>
      </c>
      <c r="BK196" s="34">
        <v>0</v>
      </c>
      <c r="BM196" s="35">
        <v>0.53999999999999992</v>
      </c>
    </row>
    <row r="197" spans="1:65" x14ac:dyDescent="0.25">
      <c r="A197" s="4" t="s">
        <v>63</v>
      </c>
      <c r="B197" s="4">
        <v>78173</v>
      </c>
      <c r="C197" s="4" t="s">
        <v>651</v>
      </c>
      <c r="D197" s="19" t="s">
        <v>255</v>
      </c>
      <c r="E197" s="20">
        <v>400626</v>
      </c>
      <c r="F197" s="20" t="s">
        <v>706</v>
      </c>
      <c r="G197" s="20" t="s">
        <v>678</v>
      </c>
      <c r="H197" s="2">
        <v>45813</v>
      </c>
      <c r="I197" s="2" t="s">
        <v>258</v>
      </c>
      <c r="J197" s="2" t="s">
        <v>258</v>
      </c>
      <c r="K197" s="21">
        <v>12</v>
      </c>
      <c r="L197" s="21">
        <v>356400</v>
      </c>
      <c r="M197" s="21">
        <v>2700</v>
      </c>
      <c r="N197" s="21">
        <v>326</v>
      </c>
      <c r="O197" s="21">
        <v>11</v>
      </c>
      <c r="P197" s="21">
        <v>348198</v>
      </c>
      <c r="Q197" s="22">
        <v>475.29080118694361</v>
      </c>
      <c r="R197" s="22">
        <v>300</v>
      </c>
      <c r="S197" s="23">
        <v>0</v>
      </c>
      <c r="T197" s="23">
        <v>0</v>
      </c>
      <c r="U197" s="24">
        <v>0.98444444444444446</v>
      </c>
      <c r="V197" s="25">
        <v>0.1</v>
      </c>
      <c r="W197" s="26">
        <v>0.1</v>
      </c>
      <c r="X197" s="27">
        <v>0.41666666666666669</v>
      </c>
      <c r="Y197" s="25">
        <v>0</v>
      </c>
      <c r="Z197" s="24">
        <v>0.83333333333333337</v>
      </c>
      <c r="AA197" s="25">
        <v>0</v>
      </c>
      <c r="AB197" s="28">
        <v>1</v>
      </c>
      <c r="AC197" s="28">
        <v>0</v>
      </c>
      <c r="AD197" s="28">
        <v>0</v>
      </c>
      <c r="AE197" s="25">
        <v>0</v>
      </c>
      <c r="AF197" s="26">
        <v>0</v>
      </c>
      <c r="AG197" s="29" t="s">
        <v>729</v>
      </c>
      <c r="AH197" s="30">
        <v>0</v>
      </c>
      <c r="AI197" s="26">
        <v>0</v>
      </c>
      <c r="AJ197" s="21">
        <v>0</v>
      </c>
      <c r="AK197" s="21">
        <v>0</v>
      </c>
      <c r="AL197" s="26">
        <v>0.1</v>
      </c>
      <c r="AM197" s="24">
        <v>0.69</v>
      </c>
      <c r="AN197" s="24">
        <v>0.76388888888888884</v>
      </c>
      <c r="AO197" s="31">
        <v>0.08</v>
      </c>
      <c r="AP197" s="31">
        <v>0.03</v>
      </c>
      <c r="AQ197" s="24">
        <v>0.82</v>
      </c>
      <c r="AR197" s="27">
        <v>0.91428571428571426</v>
      </c>
      <c r="AS197" s="26">
        <v>0.2</v>
      </c>
      <c r="AT197" s="26">
        <v>0.1</v>
      </c>
      <c r="AU197" s="24">
        <v>0.99339933993399343</v>
      </c>
      <c r="AV197" s="32">
        <v>4</v>
      </c>
      <c r="AW197" s="26">
        <v>0</v>
      </c>
      <c r="AX197" s="26">
        <v>0</v>
      </c>
      <c r="AY197" s="24">
        <v>0.74</v>
      </c>
      <c r="AZ197" s="24">
        <v>0.77</v>
      </c>
      <c r="BA197" s="31">
        <v>0.1</v>
      </c>
      <c r="BB197" s="33">
        <v>0.48</v>
      </c>
      <c r="BD197" s="26">
        <v>0.57999999999999996</v>
      </c>
      <c r="BE197" s="26">
        <v>0.13</v>
      </c>
      <c r="BF197" s="26" t="s">
        <v>729</v>
      </c>
      <c r="BH197" s="34">
        <v>0</v>
      </c>
      <c r="BI197" s="34">
        <v>0</v>
      </c>
      <c r="BJ197" s="34" t="s">
        <v>259</v>
      </c>
      <c r="BK197" s="34">
        <v>0</v>
      </c>
      <c r="BM197" s="35">
        <v>0.71</v>
      </c>
    </row>
    <row r="198" spans="1:65" x14ac:dyDescent="0.25">
      <c r="A198" s="4" t="s">
        <v>63</v>
      </c>
      <c r="B198" s="4">
        <v>78167</v>
      </c>
      <c r="C198" s="4" t="s">
        <v>652</v>
      </c>
      <c r="D198" s="19" t="s">
        <v>255</v>
      </c>
      <c r="E198" s="20">
        <v>400620</v>
      </c>
      <c r="F198" s="20" t="s">
        <v>707</v>
      </c>
      <c r="G198" s="20" t="s">
        <v>679</v>
      </c>
      <c r="H198" s="2">
        <v>45813</v>
      </c>
      <c r="I198" s="2" t="s">
        <v>258</v>
      </c>
      <c r="J198" s="2" t="s">
        <v>258</v>
      </c>
      <c r="K198" s="21">
        <v>15</v>
      </c>
      <c r="L198" s="21">
        <v>445500</v>
      </c>
      <c r="M198" s="21">
        <v>3600</v>
      </c>
      <c r="N198" s="21">
        <v>542</v>
      </c>
      <c r="O198" s="21">
        <v>0</v>
      </c>
      <c r="P198" s="21">
        <v>431454</v>
      </c>
      <c r="Q198" s="22">
        <v>370.69372693726939</v>
      </c>
      <c r="R198" s="22">
        <v>300</v>
      </c>
      <c r="S198" s="23">
        <v>0</v>
      </c>
      <c r="T198" s="23">
        <v>0</v>
      </c>
      <c r="U198" s="24">
        <v>0.97636116768499659</v>
      </c>
      <c r="V198" s="25">
        <v>0.1</v>
      </c>
      <c r="W198" s="26">
        <v>0.1</v>
      </c>
      <c r="X198" s="27">
        <v>0.8</v>
      </c>
      <c r="Y198" s="25">
        <v>0</v>
      </c>
      <c r="Z198" s="24">
        <v>0.8666666666666667</v>
      </c>
      <c r="AA198" s="25">
        <v>0</v>
      </c>
      <c r="AB198" s="28">
        <v>0</v>
      </c>
      <c r="AC198" s="28">
        <v>0</v>
      </c>
      <c r="AD198" s="28">
        <v>0</v>
      </c>
      <c r="AE198" s="25">
        <v>0.09</v>
      </c>
      <c r="AF198" s="26">
        <v>0.09</v>
      </c>
      <c r="AG198" s="29" t="s">
        <v>729</v>
      </c>
      <c r="AH198" s="30" t="s">
        <v>277</v>
      </c>
      <c r="AI198" s="26">
        <v>0.1</v>
      </c>
      <c r="AJ198" s="21">
        <v>0</v>
      </c>
      <c r="AK198" s="21">
        <v>0</v>
      </c>
      <c r="AL198" s="26">
        <v>0.1</v>
      </c>
      <c r="AM198" s="24">
        <v>0.68999999999999984</v>
      </c>
      <c r="AN198" s="24">
        <v>0.66666666666666663</v>
      </c>
      <c r="AO198" s="31">
        <v>0.04</v>
      </c>
      <c r="AP198" s="31">
        <v>0</v>
      </c>
      <c r="AQ198" s="24">
        <v>0.82</v>
      </c>
      <c r="AR198" s="27">
        <v>0.76842105263157889</v>
      </c>
      <c r="AS198" s="26">
        <v>0.02</v>
      </c>
      <c r="AT198" s="26">
        <v>0</v>
      </c>
      <c r="AU198" s="24">
        <v>0.97826086956521741</v>
      </c>
      <c r="AV198" s="32">
        <v>3</v>
      </c>
      <c r="AW198" s="26">
        <v>0.01</v>
      </c>
      <c r="AX198" s="26">
        <v>0</v>
      </c>
      <c r="AY198" s="24">
        <v>0.74</v>
      </c>
      <c r="AZ198" s="24">
        <v>0.76753507014028055</v>
      </c>
      <c r="BA198" s="31">
        <v>0.1</v>
      </c>
      <c r="BB198" s="33">
        <v>0.37</v>
      </c>
      <c r="BD198" s="26">
        <v>0.55999999999999994</v>
      </c>
      <c r="BE198" s="26">
        <v>0</v>
      </c>
      <c r="BF198" s="26" t="s">
        <v>729</v>
      </c>
      <c r="BH198" s="34">
        <v>0</v>
      </c>
      <c r="BI198" s="34">
        <v>0</v>
      </c>
      <c r="BJ198" s="34" t="s">
        <v>259</v>
      </c>
      <c r="BK198" s="34">
        <v>0</v>
      </c>
      <c r="BM198" s="35">
        <v>0.55999999999999994</v>
      </c>
    </row>
    <row r="199" spans="1:65" x14ac:dyDescent="0.25">
      <c r="A199" s="4" t="s">
        <v>63</v>
      </c>
      <c r="B199" s="4">
        <v>78181</v>
      </c>
      <c r="C199" s="4" t="s">
        <v>653</v>
      </c>
      <c r="D199" s="19" t="s">
        <v>255</v>
      </c>
      <c r="E199" s="20">
        <v>400634</v>
      </c>
      <c r="F199" s="20" t="s">
        <v>708</v>
      </c>
      <c r="G199" s="20" t="s">
        <v>680</v>
      </c>
      <c r="H199" s="2">
        <v>45813</v>
      </c>
      <c r="I199" s="2" t="s">
        <v>258</v>
      </c>
      <c r="J199" s="2" t="s">
        <v>258</v>
      </c>
      <c r="K199" s="21">
        <v>14</v>
      </c>
      <c r="L199" s="21">
        <v>415800</v>
      </c>
      <c r="M199" s="21">
        <v>3600</v>
      </c>
      <c r="N199" s="21">
        <v>428</v>
      </c>
      <c r="O199" s="21">
        <v>5</v>
      </c>
      <c r="P199" s="21">
        <v>395629</v>
      </c>
      <c r="Q199" s="22">
        <v>458.53579676674366</v>
      </c>
      <c r="R199" s="22">
        <v>300</v>
      </c>
      <c r="S199" s="23">
        <v>0</v>
      </c>
      <c r="T199" s="23">
        <v>0</v>
      </c>
      <c r="U199" s="24">
        <v>0.95979864143619598</v>
      </c>
      <c r="V199" s="25">
        <v>0.1</v>
      </c>
      <c r="W199" s="26">
        <v>0.1</v>
      </c>
      <c r="X199" s="27">
        <v>0.5714285714285714</v>
      </c>
      <c r="Y199" s="25">
        <v>0</v>
      </c>
      <c r="Z199" s="24">
        <v>0.6428571428571429</v>
      </c>
      <c r="AA199" s="25">
        <v>0</v>
      </c>
      <c r="AB199" s="28">
        <v>0</v>
      </c>
      <c r="AC199" s="28">
        <v>0</v>
      </c>
      <c r="AD199" s="28">
        <v>1</v>
      </c>
      <c r="AE199" s="25">
        <v>0.04</v>
      </c>
      <c r="AF199" s="26">
        <v>0.04</v>
      </c>
      <c r="AG199" s="29" t="s">
        <v>729</v>
      </c>
      <c r="AH199" s="30" t="s">
        <v>277</v>
      </c>
      <c r="AI199" s="26">
        <v>0.1</v>
      </c>
      <c r="AJ199" s="21">
        <v>0</v>
      </c>
      <c r="AK199" s="21">
        <v>0</v>
      </c>
      <c r="AL199" s="26">
        <v>0.1</v>
      </c>
      <c r="AM199" s="24">
        <v>0.69</v>
      </c>
      <c r="AN199" s="24">
        <v>0.79710144927536231</v>
      </c>
      <c r="AO199" s="31">
        <v>0.08</v>
      </c>
      <c r="AP199" s="31">
        <v>0.03</v>
      </c>
      <c r="AQ199" s="24">
        <v>0.82</v>
      </c>
      <c r="AR199" s="27">
        <v>0.83076923076923082</v>
      </c>
      <c r="AS199" s="26">
        <v>0</v>
      </c>
      <c r="AT199" s="26">
        <v>0</v>
      </c>
      <c r="AU199" s="24">
        <v>0.93811881188118806</v>
      </c>
      <c r="AV199" s="32">
        <v>9</v>
      </c>
      <c r="AW199" s="26">
        <v>0</v>
      </c>
      <c r="AX199" s="26">
        <v>0</v>
      </c>
      <c r="AY199" s="24">
        <v>0.74</v>
      </c>
      <c r="AZ199" s="24">
        <v>0.77468354430379749</v>
      </c>
      <c r="BA199" s="31">
        <v>0.1</v>
      </c>
      <c r="BB199" s="33">
        <v>0.38</v>
      </c>
      <c r="BD199" s="26">
        <v>0.52</v>
      </c>
      <c r="BE199" s="26">
        <v>0.03</v>
      </c>
      <c r="BF199" s="26" t="s">
        <v>729</v>
      </c>
      <c r="BH199" s="34">
        <v>0</v>
      </c>
      <c r="BI199" s="34">
        <v>0.05</v>
      </c>
      <c r="BJ199" s="34" t="s">
        <v>259</v>
      </c>
      <c r="BK199" s="34">
        <v>0.05</v>
      </c>
      <c r="BM199" s="35">
        <v>0.5</v>
      </c>
    </row>
    <row r="200" spans="1:65" x14ac:dyDescent="0.25">
      <c r="A200" s="4" t="s">
        <v>63</v>
      </c>
      <c r="B200" s="4">
        <v>78175</v>
      </c>
      <c r="C200" s="4" t="s">
        <v>654</v>
      </c>
      <c r="D200" s="19" t="s">
        <v>255</v>
      </c>
      <c r="E200" s="20">
        <v>400628</v>
      </c>
      <c r="F200" s="20" t="s">
        <v>709</v>
      </c>
      <c r="G200" s="20" t="s">
        <v>681</v>
      </c>
      <c r="H200" s="2">
        <v>45813</v>
      </c>
      <c r="I200" s="2" t="s">
        <v>258</v>
      </c>
      <c r="J200" s="2" t="s">
        <v>258</v>
      </c>
      <c r="K200" s="21">
        <v>14</v>
      </c>
      <c r="L200" s="21">
        <v>415800</v>
      </c>
      <c r="M200" s="21">
        <v>3600</v>
      </c>
      <c r="N200" s="21">
        <v>339</v>
      </c>
      <c r="O200" s="21">
        <v>2</v>
      </c>
      <c r="P200" s="21">
        <v>399894</v>
      </c>
      <c r="Q200" s="22">
        <v>519.08504398826983</v>
      </c>
      <c r="R200" s="22">
        <v>300</v>
      </c>
      <c r="S200" s="23">
        <v>0</v>
      </c>
      <c r="T200" s="23">
        <v>0</v>
      </c>
      <c r="U200" s="24">
        <v>0.97014556040756916</v>
      </c>
      <c r="V200" s="25">
        <v>0.1</v>
      </c>
      <c r="W200" s="26">
        <v>0.1</v>
      </c>
      <c r="X200" s="27">
        <v>0.6428571428571429</v>
      </c>
      <c r="Y200" s="25">
        <v>0</v>
      </c>
      <c r="Z200" s="24">
        <v>0.8571428571428571</v>
      </c>
      <c r="AA200" s="25">
        <v>0</v>
      </c>
      <c r="AB200" s="28">
        <v>0</v>
      </c>
      <c r="AC200" s="28">
        <v>0</v>
      </c>
      <c r="AD200" s="28">
        <v>0</v>
      </c>
      <c r="AE200" s="25">
        <v>0.09</v>
      </c>
      <c r="AF200" s="26">
        <v>0.09</v>
      </c>
      <c r="AG200" s="29" t="s">
        <v>729</v>
      </c>
      <c r="AH200" s="30">
        <v>1</v>
      </c>
      <c r="AI200" s="26">
        <v>0.1</v>
      </c>
      <c r="AJ200" s="21">
        <v>0</v>
      </c>
      <c r="AK200" s="21">
        <v>0</v>
      </c>
      <c r="AL200" s="26">
        <v>0.1</v>
      </c>
      <c r="AM200" s="24">
        <v>0.69</v>
      </c>
      <c r="AN200" s="24">
        <v>0.72916666666666663</v>
      </c>
      <c r="AO200" s="31">
        <v>0.08</v>
      </c>
      <c r="AP200" s="31">
        <v>0.03</v>
      </c>
      <c r="AQ200" s="24">
        <v>0.82</v>
      </c>
      <c r="AR200" s="27">
        <v>0.85416666666666663</v>
      </c>
      <c r="AS200" s="26">
        <v>0.2</v>
      </c>
      <c r="AT200" s="26">
        <v>0.06</v>
      </c>
      <c r="AU200" s="24">
        <v>0.96284829721362231</v>
      </c>
      <c r="AV200" s="32">
        <v>6</v>
      </c>
      <c r="AW200" s="26">
        <v>0</v>
      </c>
      <c r="AX200" s="26">
        <v>0</v>
      </c>
      <c r="AY200" s="24">
        <v>0.74</v>
      </c>
      <c r="AZ200" s="24">
        <v>0.75320512820512819</v>
      </c>
      <c r="BA200" s="31">
        <v>0.1</v>
      </c>
      <c r="BB200" s="33">
        <v>0.57999999999999996</v>
      </c>
      <c r="BD200" s="26">
        <v>0.76999999999999991</v>
      </c>
      <c r="BE200" s="26">
        <v>0.09</v>
      </c>
      <c r="BF200" s="26" t="s">
        <v>729</v>
      </c>
      <c r="BH200" s="34">
        <v>0</v>
      </c>
      <c r="BI200" s="34">
        <v>0.02</v>
      </c>
      <c r="BJ200" s="34" t="s">
        <v>259</v>
      </c>
      <c r="BK200" s="34">
        <v>0.02</v>
      </c>
      <c r="BM200" s="35">
        <v>0.83999999999999986</v>
      </c>
    </row>
    <row r="201" spans="1:65" x14ac:dyDescent="0.25">
      <c r="A201" s="4" t="s">
        <v>63</v>
      </c>
      <c r="B201" s="4">
        <v>78169</v>
      </c>
      <c r="C201" s="4" t="s">
        <v>655</v>
      </c>
      <c r="D201" s="19" t="s">
        <v>255</v>
      </c>
      <c r="E201" s="20">
        <v>400622</v>
      </c>
      <c r="F201" s="20" t="s">
        <v>710</v>
      </c>
      <c r="G201" s="20" t="s">
        <v>682</v>
      </c>
      <c r="H201" s="2">
        <v>45813</v>
      </c>
      <c r="I201" s="2" t="s">
        <v>258</v>
      </c>
      <c r="J201" s="2" t="s">
        <v>258</v>
      </c>
      <c r="K201" s="21">
        <v>15</v>
      </c>
      <c r="L201" s="21">
        <v>445500</v>
      </c>
      <c r="M201" s="21">
        <v>3600</v>
      </c>
      <c r="N201" s="21">
        <v>435</v>
      </c>
      <c r="O201" s="21">
        <v>3</v>
      </c>
      <c r="P201" s="21">
        <v>415611</v>
      </c>
      <c r="Q201" s="22">
        <v>502.31278538812785</v>
      </c>
      <c r="R201" s="22">
        <v>300</v>
      </c>
      <c r="S201" s="23">
        <v>0</v>
      </c>
      <c r="T201" s="23">
        <v>0</v>
      </c>
      <c r="U201" s="24">
        <v>0.94050916496945014</v>
      </c>
      <c r="V201" s="25">
        <v>0.1</v>
      </c>
      <c r="W201" s="26">
        <v>0.1</v>
      </c>
      <c r="X201" s="27">
        <v>0.6</v>
      </c>
      <c r="Y201" s="25">
        <v>0</v>
      </c>
      <c r="Z201" s="24">
        <v>0.8</v>
      </c>
      <c r="AA201" s="25">
        <v>0</v>
      </c>
      <c r="AB201" s="28">
        <v>0</v>
      </c>
      <c r="AC201" s="28">
        <v>0</v>
      </c>
      <c r="AD201" s="28">
        <v>0</v>
      </c>
      <c r="AE201" s="25">
        <v>0.09</v>
      </c>
      <c r="AF201" s="26">
        <v>0.09</v>
      </c>
      <c r="AG201" s="29" t="s">
        <v>729</v>
      </c>
      <c r="AH201" s="30" t="s">
        <v>277</v>
      </c>
      <c r="AI201" s="26">
        <v>0.1</v>
      </c>
      <c r="AJ201" s="21">
        <v>0</v>
      </c>
      <c r="AK201" s="21">
        <v>0</v>
      </c>
      <c r="AL201" s="26">
        <v>0.1</v>
      </c>
      <c r="AM201" s="24">
        <v>0.69</v>
      </c>
      <c r="AN201" s="24">
        <v>0.69333333333333336</v>
      </c>
      <c r="AO201" s="31">
        <v>0.08</v>
      </c>
      <c r="AP201" s="31">
        <v>0.03</v>
      </c>
      <c r="AQ201" s="24">
        <v>0.82</v>
      </c>
      <c r="AR201" s="27">
        <v>0.86111111111111116</v>
      </c>
      <c r="AS201" s="26">
        <v>0.2</v>
      </c>
      <c r="AT201" s="26">
        <v>0.08</v>
      </c>
      <c r="AU201" s="24">
        <v>0.96560196560196565</v>
      </c>
      <c r="AV201" s="32">
        <v>8</v>
      </c>
      <c r="AW201" s="26">
        <v>0</v>
      </c>
      <c r="AX201" s="26">
        <v>0</v>
      </c>
      <c r="AY201" s="24">
        <v>0.74</v>
      </c>
      <c r="AZ201" s="24">
        <v>0.76558603491271815</v>
      </c>
      <c r="BA201" s="31">
        <v>0.1</v>
      </c>
      <c r="BB201" s="33">
        <v>0.57999999999999996</v>
      </c>
      <c r="BD201" s="26">
        <v>0.76999999999999991</v>
      </c>
      <c r="BE201" s="26">
        <v>0.11</v>
      </c>
      <c r="BF201" s="26" t="s">
        <v>729</v>
      </c>
      <c r="BH201" s="34">
        <v>0</v>
      </c>
      <c r="BI201" s="34">
        <v>0.04</v>
      </c>
      <c r="BJ201" s="34" t="s">
        <v>259</v>
      </c>
      <c r="BK201" s="34">
        <v>0.04</v>
      </c>
      <c r="BM201" s="35">
        <v>0.83999999999999986</v>
      </c>
    </row>
    <row r="202" spans="1:65" x14ac:dyDescent="0.25">
      <c r="A202" s="4" t="s">
        <v>63</v>
      </c>
      <c r="B202" s="4">
        <v>78183</v>
      </c>
      <c r="C202" s="4" t="s">
        <v>656</v>
      </c>
      <c r="D202" s="19" t="s">
        <v>255</v>
      </c>
      <c r="E202" s="20">
        <v>400636</v>
      </c>
      <c r="F202" s="20" t="s">
        <v>711</v>
      </c>
      <c r="G202" s="20" t="s">
        <v>683</v>
      </c>
      <c r="H202" s="2">
        <v>45813</v>
      </c>
      <c r="I202" s="2" t="s">
        <v>258</v>
      </c>
      <c r="J202" s="2" t="s">
        <v>258</v>
      </c>
      <c r="K202" s="21">
        <v>16</v>
      </c>
      <c r="L202" s="21">
        <v>475200</v>
      </c>
      <c r="M202" s="21">
        <v>3600</v>
      </c>
      <c r="N202" s="21">
        <v>542</v>
      </c>
      <c r="O202" s="21">
        <v>2</v>
      </c>
      <c r="P202" s="21">
        <v>488271</v>
      </c>
      <c r="Q202" s="22">
        <v>440.28308823529414</v>
      </c>
      <c r="R202" s="22">
        <v>300</v>
      </c>
      <c r="S202" s="23">
        <v>0</v>
      </c>
      <c r="T202" s="23">
        <v>0</v>
      </c>
      <c r="U202" s="24">
        <v>1.0353498727735369</v>
      </c>
      <c r="V202" s="25">
        <v>0.1</v>
      </c>
      <c r="W202" s="26">
        <v>0.1</v>
      </c>
      <c r="X202" s="27">
        <v>0.9375</v>
      </c>
      <c r="Y202" s="25">
        <v>0</v>
      </c>
      <c r="Z202" s="24">
        <v>0.875</v>
      </c>
      <c r="AA202" s="25">
        <v>0</v>
      </c>
      <c r="AB202" s="28">
        <v>0</v>
      </c>
      <c r="AC202" s="28">
        <v>0</v>
      </c>
      <c r="AD202" s="28">
        <v>0</v>
      </c>
      <c r="AE202" s="25">
        <v>0.09</v>
      </c>
      <c r="AF202" s="26">
        <v>0.09</v>
      </c>
      <c r="AG202" s="29" t="s">
        <v>729</v>
      </c>
      <c r="AH202" s="30" t="s">
        <v>277</v>
      </c>
      <c r="AI202" s="26">
        <v>0.1</v>
      </c>
      <c r="AJ202" s="21">
        <v>0</v>
      </c>
      <c r="AK202" s="21">
        <v>0</v>
      </c>
      <c r="AL202" s="26">
        <v>0.1</v>
      </c>
      <c r="AM202" s="24">
        <v>0.69</v>
      </c>
      <c r="AN202" s="24">
        <v>0.74489795918367352</v>
      </c>
      <c r="AO202" s="31">
        <v>0.08</v>
      </c>
      <c r="AP202" s="31">
        <v>0.03</v>
      </c>
      <c r="AQ202" s="24">
        <v>0.82</v>
      </c>
      <c r="AR202" s="27">
        <v>0.87234042553191493</v>
      </c>
      <c r="AS202" s="26">
        <v>0.2</v>
      </c>
      <c r="AT202" s="26">
        <v>0.1</v>
      </c>
      <c r="AU202" s="24">
        <v>0.98399999999999999</v>
      </c>
      <c r="AV202" s="32">
        <v>8</v>
      </c>
      <c r="AW202" s="26">
        <v>0</v>
      </c>
      <c r="AX202" s="26">
        <v>0</v>
      </c>
      <c r="AY202" s="24">
        <v>0.74</v>
      </c>
      <c r="AZ202" s="24">
        <v>0.754601226993865</v>
      </c>
      <c r="BA202" s="31">
        <v>0.1</v>
      </c>
      <c r="BB202" s="33">
        <v>0.57999999999999996</v>
      </c>
      <c r="BD202" s="26">
        <v>0.76999999999999991</v>
      </c>
      <c r="BE202" s="26">
        <v>0.13</v>
      </c>
      <c r="BF202" s="26" t="s">
        <v>729</v>
      </c>
      <c r="BH202" s="34">
        <v>0</v>
      </c>
      <c r="BI202" s="34">
        <v>0.04</v>
      </c>
      <c r="BJ202" s="34" t="s">
        <v>259</v>
      </c>
      <c r="BK202" s="34">
        <v>0.04</v>
      </c>
      <c r="BM202" s="35">
        <v>0.85999999999999988</v>
      </c>
    </row>
    <row r="203" spans="1:65" x14ac:dyDescent="0.25">
      <c r="A203" s="4" t="s">
        <v>63</v>
      </c>
      <c r="B203" s="4">
        <v>78180</v>
      </c>
      <c r="C203" s="4" t="s">
        <v>657</v>
      </c>
      <c r="D203" s="19" t="s">
        <v>255</v>
      </c>
      <c r="E203" s="20">
        <v>400633</v>
      </c>
      <c r="F203" s="20" t="s">
        <v>712</v>
      </c>
      <c r="G203" s="20" t="s">
        <v>684</v>
      </c>
      <c r="H203" s="2">
        <v>45813</v>
      </c>
      <c r="I203" s="2" t="s">
        <v>258</v>
      </c>
      <c r="J203" s="2" t="s">
        <v>258</v>
      </c>
      <c r="K203" s="21">
        <v>14</v>
      </c>
      <c r="L203" s="21">
        <v>415800</v>
      </c>
      <c r="M203" s="21">
        <v>3600</v>
      </c>
      <c r="N203" s="21">
        <v>424</v>
      </c>
      <c r="O203" s="21">
        <v>9</v>
      </c>
      <c r="P203" s="21">
        <v>417277</v>
      </c>
      <c r="Q203" s="22">
        <v>356.00461893764435</v>
      </c>
      <c r="R203" s="22">
        <v>300</v>
      </c>
      <c r="S203" s="23">
        <v>0</v>
      </c>
      <c r="T203" s="23">
        <v>0</v>
      </c>
      <c r="U203" s="24">
        <v>1.0123168364871422</v>
      </c>
      <c r="V203" s="25">
        <v>0.1</v>
      </c>
      <c r="W203" s="26">
        <v>0.1</v>
      </c>
      <c r="X203" s="27">
        <v>0.7142857142857143</v>
      </c>
      <c r="Y203" s="25">
        <v>0</v>
      </c>
      <c r="Z203" s="24">
        <v>0.9285714285714286</v>
      </c>
      <c r="AA203" s="25">
        <v>0</v>
      </c>
      <c r="AB203" s="28">
        <v>0</v>
      </c>
      <c r="AC203" s="28">
        <v>0</v>
      </c>
      <c r="AD203" s="28">
        <v>0</v>
      </c>
      <c r="AE203" s="25">
        <v>0.09</v>
      </c>
      <c r="AF203" s="26">
        <v>0.09</v>
      </c>
      <c r="AG203" s="29" t="s">
        <v>729</v>
      </c>
      <c r="AH203" s="30">
        <v>0.875</v>
      </c>
      <c r="AI203" s="26">
        <v>0.05</v>
      </c>
      <c r="AJ203" s="21">
        <v>0</v>
      </c>
      <c r="AK203" s="21">
        <v>0</v>
      </c>
      <c r="AL203" s="26">
        <v>0.1</v>
      </c>
      <c r="AM203" s="24">
        <v>0.69</v>
      </c>
      <c r="AN203" s="24">
        <v>0.69863013698630139</v>
      </c>
      <c r="AO203" s="31">
        <v>0.08</v>
      </c>
      <c r="AP203" s="31">
        <v>0.03</v>
      </c>
      <c r="AQ203" s="24">
        <v>0.82</v>
      </c>
      <c r="AR203" s="27">
        <v>0.85915492957746475</v>
      </c>
      <c r="AS203" s="26">
        <v>0.2</v>
      </c>
      <c r="AT203" s="26">
        <v>0.06</v>
      </c>
      <c r="AU203" s="24">
        <v>0.96962025316455691</v>
      </c>
      <c r="AV203" s="32">
        <v>7</v>
      </c>
      <c r="AW203" s="26">
        <v>0</v>
      </c>
      <c r="AX203" s="26">
        <v>0</v>
      </c>
      <c r="AY203" s="24">
        <v>0.74</v>
      </c>
      <c r="AZ203" s="24">
        <v>0.79057591623036649</v>
      </c>
      <c r="BA203" s="31">
        <v>0.1</v>
      </c>
      <c r="BB203" s="33">
        <v>0.53</v>
      </c>
      <c r="BD203" s="26">
        <v>0.72</v>
      </c>
      <c r="BE203" s="26">
        <v>0.09</v>
      </c>
      <c r="BF203" s="26" t="s">
        <v>729</v>
      </c>
      <c r="BH203" s="34">
        <v>0</v>
      </c>
      <c r="BI203" s="34">
        <v>0.03</v>
      </c>
      <c r="BJ203" s="34" t="s">
        <v>259</v>
      </c>
      <c r="BK203" s="34">
        <v>0.03</v>
      </c>
      <c r="BM203" s="35">
        <v>0.77999999999999992</v>
      </c>
    </row>
    <row r="204" spans="1:65" x14ac:dyDescent="0.25">
      <c r="A204" s="4" t="s">
        <v>63</v>
      </c>
      <c r="B204" s="4">
        <v>78182</v>
      </c>
      <c r="C204" s="4" t="s">
        <v>658</v>
      </c>
      <c r="D204" s="19" t="s">
        <v>255</v>
      </c>
      <c r="E204" s="20">
        <v>400635</v>
      </c>
      <c r="F204" s="20" t="s">
        <v>713</v>
      </c>
      <c r="G204" s="20" t="s">
        <v>685</v>
      </c>
      <c r="H204" s="2">
        <v>45813</v>
      </c>
      <c r="I204" s="2" t="s">
        <v>258</v>
      </c>
      <c r="J204" s="2" t="s">
        <v>258</v>
      </c>
      <c r="K204" s="21">
        <v>14</v>
      </c>
      <c r="L204" s="21">
        <v>415800</v>
      </c>
      <c r="M204" s="21">
        <v>3600</v>
      </c>
      <c r="N204" s="21">
        <v>372</v>
      </c>
      <c r="O204" s="21">
        <v>6</v>
      </c>
      <c r="P204" s="21">
        <v>414443</v>
      </c>
      <c r="Q204" s="22">
        <v>424.82804232804233</v>
      </c>
      <c r="R204" s="22">
        <v>300</v>
      </c>
      <c r="S204" s="23">
        <v>0</v>
      </c>
      <c r="T204" s="23">
        <v>0</v>
      </c>
      <c r="U204" s="24">
        <v>1.0054415332362932</v>
      </c>
      <c r="V204" s="25">
        <v>0.1</v>
      </c>
      <c r="W204" s="26">
        <v>0.1</v>
      </c>
      <c r="X204" s="27">
        <v>0.7142857142857143</v>
      </c>
      <c r="Y204" s="25">
        <v>0</v>
      </c>
      <c r="Z204" s="24">
        <v>0.9285714285714286</v>
      </c>
      <c r="AA204" s="25">
        <v>0</v>
      </c>
      <c r="AB204" s="28">
        <v>0</v>
      </c>
      <c r="AC204" s="28">
        <v>0</v>
      </c>
      <c r="AD204" s="28">
        <v>0</v>
      </c>
      <c r="AE204" s="25">
        <v>0.09</v>
      </c>
      <c r="AF204" s="26">
        <v>0.09</v>
      </c>
      <c r="AG204" s="29" t="s">
        <v>729</v>
      </c>
      <c r="AH204" s="30">
        <v>0.83499999999999996</v>
      </c>
      <c r="AI204" s="26">
        <v>0.05</v>
      </c>
      <c r="AJ204" s="21">
        <v>0</v>
      </c>
      <c r="AK204" s="21">
        <v>0</v>
      </c>
      <c r="AL204" s="26">
        <v>0.1</v>
      </c>
      <c r="AM204" s="24">
        <v>0.68802816901408448</v>
      </c>
      <c r="AN204" s="24">
        <v>0.74647887323943662</v>
      </c>
      <c r="AO204" s="31">
        <v>0.08</v>
      </c>
      <c r="AP204" s="31">
        <v>0.03</v>
      </c>
      <c r="AQ204" s="24">
        <v>0.81808823529411756</v>
      </c>
      <c r="AR204" s="27">
        <v>0.8529411764705882</v>
      </c>
      <c r="AS204" s="26">
        <v>0.2</v>
      </c>
      <c r="AT204" s="26">
        <v>0.06</v>
      </c>
      <c r="AU204" s="24">
        <v>0.98533724340175954</v>
      </c>
      <c r="AV204" s="32">
        <v>5</v>
      </c>
      <c r="AW204" s="26">
        <v>0</v>
      </c>
      <c r="AX204" s="26">
        <v>0</v>
      </c>
      <c r="AY204" s="24">
        <v>0.74</v>
      </c>
      <c r="AZ204" s="24">
        <v>0.76363636363636367</v>
      </c>
      <c r="BA204" s="31">
        <v>0.1</v>
      </c>
      <c r="BB204" s="33">
        <v>0.53</v>
      </c>
      <c r="BD204" s="26">
        <v>0.72</v>
      </c>
      <c r="BE204" s="26">
        <v>0.09</v>
      </c>
      <c r="BF204" s="26" t="s">
        <v>729</v>
      </c>
      <c r="BH204" s="34">
        <v>0</v>
      </c>
      <c r="BI204" s="34">
        <v>0.01</v>
      </c>
      <c r="BJ204" s="34" t="s">
        <v>259</v>
      </c>
      <c r="BK204" s="34">
        <v>0.01</v>
      </c>
      <c r="BM204" s="35">
        <v>0.79999999999999993</v>
      </c>
    </row>
    <row r="205" spans="1:65" x14ac:dyDescent="0.25">
      <c r="A205" s="4" t="s">
        <v>63</v>
      </c>
      <c r="B205" s="4">
        <v>78184</v>
      </c>
      <c r="C205" s="4" t="s">
        <v>659</v>
      </c>
      <c r="D205" s="19" t="s">
        <v>255</v>
      </c>
      <c r="E205" s="20">
        <v>400637</v>
      </c>
      <c r="F205" s="20" t="s">
        <v>714</v>
      </c>
      <c r="G205" s="20" t="s">
        <v>686</v>
      </c>
      <c r="H205" s="2">
        <v>45813</v>
      </c>
      <c r="I205" s="2" t="s">
        <v>258</v>
      </c>
      <c r="J205" s="2" t="s">
        <v>258</v>
      </c>
      <c r="K205" s="21">
        <v>14</v>
      </c>
      <c r="L205" s="21">
        <v>415800</v>
      </c>
      <c r="M205" s="21">
        <v>3600</v>
      </c>
      <c r="N205" s="21">
        <v>524</v>
      </c>
      <c r="O205" s="21">
        <v>0</v>
      </c>
      <c r="P205" s="21">
        <v>418229</v>
      </c>
      <c r="Q205" s="22">
        <v>340.09160305343511</v>
      </c>
      <c r="R205" s="22">
        <v>300</v>
      </c>
      <c r="S205" s="23">
        <v>0</v>
      </c>
      <c r="T205" s="23">
        <v>0</v>
      </c>
      <c r="U205" s="24">
        <v>1.0146263949539058</v>
      </c>
      <c r="V205" s="25">
        <v>0.1</v>
      </c>
      <c r="W205" s="26">
        <v>0.1</v>
      </c>
      <c r="X205" s="27">
        <v>0.8571428571428571</v>
      </c>
      <c r="Y205" s="25">
        <v>0</v>
      </c>
      <c r="Z205" s="24">
        <v>0.8571428571428571</v>
      </c>
      <c r="AA205" s="25">
        <v>0</v>
      </c>
      <c r="AB205" s="28">
        <v>0</v>
      </c>
      <c r="AC205" s="28">
        <v>0</v>
      </c>
      <c r="AD205" s="28">
        <v>0</v>
      </c>
      <c r="AE205" s="25">
        <v>0.09</v>
      </c>
      <c r="AF205" s="26">
        <v>0.09</v>
      </c>
      <c r="AG205" s="29" t="s">
        <v>729</v>
      </c>
      <c r="AH205" s="30">
        <v>0.45</v>
      </c>
      <c r="AI205" s="26">
        <v>0</v>
      </c>
      <c r="AJ205" s="21">
        <v>0</v>
      </c>
      <c r="AK205" s="21">
        <v>0</v>
      </c>
      <c r="AL205" s="26">
        <v>0.1</v>
      </c>
      <c r="AM205" s="24">
        <v>0.69</v>
      </c>
      <c r="AN205" s="24">
        <v>0.70370370370370372</v>
      </c>
      <c r="AO205" s="31">
        <v>0.08</v>
      </c>
      <c r="AP205" s="31">
        <v>0.03</v>
      </c>
      <c r="AQ205" s="24">
        <v>0.82</v>
      </c>
      <c r="AR205" s="27">
        <v>0.82894736842105265</v>
      </c>
      <c r="AS205" s="26">
        <v>0.2</v>
      </c>
      <c r="AT205" s="26">
        <v>0</v>
      </c>
      <c r="AU205" s="24">
        <v>0.97131147540983609</v>
      </c>
      <c r="AV205" s="32">
        <v>11</v>
      </c>
      <c r="AW205" s="26">
        <v>0</v>
      </c>
      <c r="AX205" s="26">
        <v>0</v>
      </c>
      <c r="AY205" s="24">
        <v>0.74</v>
      </c>
      <c r="AZ205" s="24">
        <v>0.76337448559670784</v>
      </c>
      <c r="BA205" s="31">
        <v>0.1</v>
      </c>
      <c r="BB205" s="33">
        <v>0.48</v>
      </c>
      <c r="BD205" s="26">
        <v>0.66999999999999993</v>
      </c>
      <c r="BE205" s="26">
        <v>0.03</v>
      </c>
      <c r="BF205" s="26" t="s">
        <v>729</v>
      </c>
      <c r="BH205" s="34">
        <v>0</v>
      </c>
      <c r="BI205" s="34">
        <v>7.0000000000000007E-2</v>
      </c>
      <c r="BJ205" s="34" t="s">
        <v>259</v>
      </c>
      <c r="BK205" s="34">
        <v>7.0000000000000007E-2</v>
      </c>
      <c r="BM205" s="35">
        <v>0.62999999999999989</v>
      </c>
    </row>
    <row r="206" spans="1:65" x14ac:dyDescent="0.25">
      <c r="A206" s="4" t="s">
        <v>63</v>
      </c>
      <c r="B206" s="4">
        <v>78189</v>
      </c>
      <c r="C206" s="4" t="s">
        <v>660</v>
      </c>
      <c r="D206" s="19" t="s">
        <v>255</v>
      </c>
      <c r="E206" s="20">
        <v>400642</v>
      </c>
      <c r="F206" s="20" t="s">
        <v>715</v>
      </c>
      <c r="G206" s="20" t="s">
        <v>687</v>
      </c>
      <c r="H206" s="2">
        <v>45813</v>
      </c>
      <c r="I206" s="2" t="s">
        <v>258</v>
      </c>
      <c r="J206" s="2" t="s">
        <v>258</v>
      </c>
      <c r="K206" s="21">
        <v>13</v>
      </c>
      <c r="L206" s="21">
        <v>386100</v>
      </c>
      <c r="M206" s="21">
        <v>3600</v>
      </c>
      <c r="N206" s="21">
        <v>369</v>
      </c>
      <c r="O206" s="21">
        <v>0</v>
      </c>
      <c r="P206" s="21">
        <v>389185</v>
      </c>
      <c r="Q206" s="22">
        <v>448.22222222222223</v>
      </c>
      <c r="R206" s="22">
        <v>300</v>
      </c>
      <c r="S206" s="23">
        <v>0</v>
      </c>
      <c r="T206" s="23">
        <v>0</v>
      </c>
      <c r="U206" s="24">
        <v>1.0174771241830065</v>
      </c>
      <c r="V206" s="25">
        <v>0.1</v>
      </c>
      <c r="W206" s="26">
        <v>0.1</v>
      </c>
      <c r="X206" s="27">
        <v>0.92307692307692313</v>
      </c>
      <c r="Y206" s="25">
        <v>0</v>
      </c>
      <c r="Z206" s="24">
        <v>0.92307692307692313</v>
      </c>
      <c r="AA206" s="25">
        <v>0</v>
      </c>
      <c r="AB206" s="28">
        <v>0</v>
      </c>
      <c r="AC206" s="28">
        <v>0</v>
      </c>
      <c r="AD206" s="28">
        <v>0</v>
      </c>
      <c r="AE206" s="25">
        <v>0.09</v>
      </c>
      <c r="AF206" s="26">
        <v>0.09</v>
      </c>
      <c r="AG206" s="29" t="s">
        <v>729</v>
      </c>
      <c r="AH206" s="30">
        <v>1</v>
      </c>
      <c r="AI206" s="26">
        <v>0.1</v>
      </c>
      <c r="AJ206" s="21">
        <v>0</v>
      </c>
      <c r="AK206" s="21">
        <v>0</v>
      </c>
      <c r="AL206" s="26">
        <v>0.1</v>
      </c>
      <c r="AM206" s="24">
        <v>0.69</v>
      </c>
      <c r="AN206" s="24">
        <v>0.74390243902439024</v>
      </c>
      <c r="AO206" s="31">
        <v>0.08</v>
      </c>
      <c r="AP206" s="31">
        <v>0.03</v>
      </c>
      <c r="AQ206" s="24">
        <v>0.82</v>
      </c>
      <c r="AR206" s="27">
        <v>0.90666666666666662</v>
      </c>
      <c r="AS206" s="26">
        <v>0.2</v>
      </c>
      <c r="AT206" s="26">
        <v>0.1</v>
      </c>
      <c r="AU206" s="24">
        <v>0.99423631123919309</v>
      </c>
      <c r="AV206" s="32">
        <v>6</v>
      </c>
      <c r="AW206" s="26">
        <v>0</v>
      </c>
      <c r="AX206" s="26">
        <v>0</v>
      </c>
      <c r="AY206" s="24">
        <v>0.74</v>
      </c>
      <c r="AZ206" s="24">
        <v>0.76106194690265483</v>
      </c>
      <c r="BA206" s="31">
        <v>0.1</v>
      </c>
      <c r="BB206" s="33">
        <v>0.57999999999999996</v>
      </c>
      <c r="BD206" s="26">
        <v>0.76999999999999991</v>
      </c>
      <c r="BE206" s="26">
        <v>0.13</v>
      </c>
      <c r="BF206" s="26" t="s">
        <v>729</v>
      </c>
      <c r="BH206" s="34">
        <v>0</v>
      </c>
      <c r="BI206" s="34">
        <v>0.02</v>
      </c>
      <c r="BJ206" s="34" t="s">
        <v>259</v>
      </c>
      <c r="BK206" s="34">
        <v>0.02</v>
      </c>
      <c r="BM206" s="35">
        <v>0.87999999999999989</v>
      </c>
    </row>
    <row r="207" spans="1:65" x14ac:dyDescent="0.25">
      <c r="A207" s="4" t="s">
        <v>63</v>
      </c>
      <c r="B207" s="4">
        <v>78187</v>
      </c>
      <c r="C207" s="4" t="s">
        <v>661</v>
      </c>
      <c r="D207" s="19" t="s">
        <v>255</v>
      </c>
      <c r="E207" s="20">
        <v>400640</v>
      </c>
      <c r="F207" s="20" t="s">
        <v>716</v>
      </c>
      <c r="G207" s="20" t="s">
        <v>688</v>
      </c>
      <c r="H207" s="2">
        <v>45813</v>
      </c>
      <c r="I207" s="2" t="s">
        <v>258</v>
      </c>
      <c r="J207" s="2" t="s">
        <v>258</v>
      </c>
      <c r="K207" s="21">
        <v>13</v>
      </c>
      <c r="L207" s="21">
        <v>393300</v>
      </c>
      <c r="M207" s="21">
        <v>9900</v>
      </c>
      <c r="N207" s="21">
        <v>343</v>
      </c>
      <c r="O207" s="21">
        <v>7</v>
      </c>
      <c r="P207" s="21">
        <v>388602</v>
      </c>
      <c r="Q207" s="22">
        <v>465.10285714285715</v>
      </c>
      <c r="R207" s="22">
        <v>300</v>
      </c>
      <c r="S207" s="23">
        <v>0</v>
      </c>
      <c r="T207" s="23">
        <v>0</v>
      </c>
      <c r="U207" s="24">
        <v>1.0135680751173708</v>
      </c>
      <c r="V207" s="25">
        <v>0.1</v>
      </c>
      <c r="W207" s="26">
        <v>0.1</v>
      </c>
      <c r="X207" s="27">
        <v>0.46153846153846156</v>
      </c>
      <c r="Y207" s="25">
        <v>0</v>
      </c>
      <c r="Z207" s="24">
        <v>0.84615384615384615</v>
      </c>
      <c r="AA207" s="25">
        <v>0</v>
      </c>
      <c r="AB207" s="28">
        <v>0</v>
      </c>
      <c r="AC207" s="28">
        <v>0</v>
      </c>
      <c r="AD207" s="28">
        <v>0</v>
      </c>
      <c r="AE207" s="25">
        <v>0.09</v>
      </c>
      <c r="AF207" s="26">
        <v>0.09</v>
      </c>
      <c r="AG207" s="29" t="s">
        <v>729</v>
      </c>
      <c r="AH207" s="30">
        <v>0.95</v>
      </c>
      <c r="AI207" s="26">
        <v>0.1</v>
      </c>
      <c r="AJ207" s="21">
        <v>0</v>
      </c>
      <c r="AK207" s="21">
        <v>0</v>
      </c>
      <c r="AL207" s="26">
        <v>0.1</v>
      </c>
      <c r="AM207" s="24">
        <v>0.69</v>
      </c>
      <c r="AN207" s="24">
        <v>0.61818181818181817</v>
      </c>
      <c r="AO207" s="31">
        <v>0</v>
      </c>
      <c r="AP207" s="31">
        <v>0</v>
      </c>
      <c r="AQ207" s="24">
        <v>0.82</v>
      </c>
      <c r="AR207" s="27">
        <v>0.76086956521739135</v>
      </c>
      <c r="AS207" s="26">
        <v>0</v>
      </c>
      <c r="AT207" s="26">
        <v>0</v>
      </c>
      <c r="AU207" s="24">
        <v>0.90634441087613293</v>
      </c>
      <c r="AV207" s="32">
        <v>9</v>
      </c>
      <c r="AW207" s="26">
        <v>0</v>
      </c>
      <c r="AX207" s="26">
        <v>0</v>
      </c>
      <c r="AY207" s="24">
        <v>0.74</v>
      </c>
      <c r="AZ207" s="24">
        <v>0.72274143302180682</v>
      </c>
      <c r="BA207" s="31">
        <v>0.05</v>
      </c>
      <c r="BB207" s="33">
        <v>0.25</v>
      </c>
      <c r="BD207" s="26">
        <v>0.43999999999999995</v>
      </c>
      <c r="BE207" s="26">
        <v>0</v>
      </c>
      <c r="BF207" s="26" t="s">
        <v>729</v>
      </c>
      <c r="BH207" s="34">
        <v>0</v>
      </c>
      <c r="BI207" s="34">
        <v>0.05</v>
      </c>
      <c r="BJ207" s="34" t="s">
        <v>259</v>
      </c>
      <c r="BK207" s="34">
        <v>0.05</v>
      </c>
      <c r="BM207" s="35">
        <v>0.38999999999999996</v>
      </c>
    </row>
    <row r="208" spans="1:65" x14ac:dyDescent="0.25">
      <c r="A208" s="4" t="s">
        <v>63</v>
      </c>
      <c r="B208" s="4">
        <v>78172</v>
      </c>
      <c r="C208" s="4" t="s">
        <v>662</v>
      </c>
      <c r="D208" s="19" t="s">
        <v>255</v>
      </c>
      <c r="E208" s="20">
        <v>400625</v>
      </c>
      <c r="F208" s="20" t="s">
        <v>717</v>
      </c>
      <c r="G208" s="20" t="s">
        <v>689</v>
      </c>
      <c r="H208" s="2">
        <v>45813</v>
      </c>
      <c r="I208" s="2" t="s">
        <v>258</v>
      </c>
      <c r="J208" s="2" t="s">
        <v>258</v>
      </c>
      <c r="K208" s="21">
        <v>15</v>
      </c>
      <c r="L208" s="21">
        <v>445500</v>
      </c>
      <c r="M208" s="21">
        <v>3600</v>
      </c>
      <c r="N208" s="21">
        <v>462</v>
      </c>
      <c r="O208" s="21">
        <v>0</v>
      </c>
      <c r="P208" s="21">
        <v>436430</v>
      </c>
      <c r="Q208" s="22">
        <v>485.0930735930736</v>
      </c>
      <c r="R208" s="22">
        <v>300</v>
      </c>
      <c r="S208" s="23">
        <v>0</v>
      </c>
      <c r="T208" s="23">
        <v>0</v>
      </c>
      <c r="U208" s="24">
        <v>0.98762163385381307</v>
      </c>
      <c r="V208" s="25">
        <v>0.1</v>
      </c>
      <c r="W208" s="26">
        <v>0.1</v>
      </c>
      <c r="X208" s="27">
        <v>0.73333333333333328</v>
      </c>
      <c r="Y208" s="25">
        <v>0</v>
      </c>
      <c r="Z208" s="24">
        <v>1</v>
      </c>
      <c r="AA208" s="25">
        <v>0.04</v>
      </c>
      <c r="AB208" s="28">
        <v>0</v>
      </c>
      <c r="AC208" s="28">
        <v>0</v>
      </c>
      <c r="AD208" s="28">
        <v>0</v>
      </c>
      <c r="AE208" s="25">
        <v>0.09</v>
      </c>
      <c r="AF208" s="26">
        <v>0.13</v>
      </c>
      <c r="AG208" s="29" t="s">
        <v>729</v>
      </c>
      <c r="AH208" s="30">
        <v>1</v>
      </c>
      <c r="AI208" s="26">
        <v>0.1</v>
      </c>
      <c r="AJ208" s="21">
        <v>0</v>
      </c>
      <c r="AK208" s="21">
        <v>0</v>
      </c>
      <c r="AL208" s="26">
        <v>0.1</v>
      </c>
      <c r="AM208" s="24">
        <v>0.69</v>
      </c>
      <c r="AN208" s="24">
        <v>0.6470588235294118</v>
      </c>
      <c r="AO208" s="31">
        <v>0.04</v>
      </c>
      <c r="AP208" s="31">
        <v>0</v>
      </c>
      <c r="AQ208" s="24">
        <v>0.82</v>
      </c>
      <c r="AR208" s="27">
        <v>0.84057971014492749</v>
      </c>
      <c r="AS208" s="26">
        <v>0.2</v>
      </c>
      <c r="AT208" s="26">
        <v>0.04</v>
      </c>
      <c r="AU208" s="24">
        <v>0.97004608294930872</v>
      </c>
      <c r="AV208" s="32">
        <v>7</v>
      </c>
      <c r="AW208" s="26">
        <v>0</v>
      </c>
      <c r="AX208" s="26">
        <v>0</v>
      </c>
      <c r="AY208" s="24">
        <v>0.73999999999999988</v>
      </c>
      <c r="AZ208" s="24">
        <v>0.73831775700934577</v>
      </c>
      <c r="BA208" s="31">
        <v>0.05</v>
      </c>
      <c r="BB208" s="33">
        <v>0.49000000000000005</v>
      </c>
      <c r="BD208" s="26">
        <v>0.72000000000000008</v>
      </c>
      <c r="BE208" s="26">
        <v>0.04</v>
      </c>
      <c r="BF208" s="26" t="s">
        <v>729</v>
      </c>
      <c r="BH208" s="34">
        <v>0</v>
      </c>
      <c r="BI208" s="34">
        <v>0.03</v>
      </c>
      <c r="BJ208" s="34" t="s">
        <v>259</v>
      </c>
      <c r="BK208" s="34">
        <v>0.03</v>
      </c>
      <c r="BM208" s="35">
        <v>0.73000000000000009</v>
      </c>
    </row>
    <row r="209" spans="1:65" x14ac:dyDescent="0.25">
      <c r="A209" s="4" t="s">
        <v>63</v>
      </c>
      <c r="B209" s="4">
        <v>78174</v>
      </c>
      <c r="C209" s="4" t="s">
        <v>663</v>
      </c>
      <c r="D209" s="19" t="s">
        <v>255</v>
      </c>
      <c r="E209" s="20">
        <v>400627</v>
      </c>
      <c r="F209" s="20" t="s">
        <v>718</v>
      </c>
      <c r="G209" s="20" t="s">
        <v>690</v>
      </c>
      <c r="H209" s="2">
        <v>45813</v>
      </c>
      <c r="I209" s="2" t="s">
        <v>258</v>
      </c>
      <c r="J209" s="2" t="s">
        <v>258</v>
      </c>
      <c r="K209" s="21">
        <v>15</v>
      </c>
      <c r="L209" s="21">
        <v>445500</v>
      </c>
      <c r="M209" s="21">
        <v>3600</v>
      </c>
      <c r="N209" s="21">
        <v>542</v>
      </c>
      <c r="O209" s="21">
        <v>0</v>
      </c>
      <c r="P209" s="21">
        <v>439067</v>
      </c>
      <c r="Q209" s="22">
        <v>389.71217712177122</v>
      </c>
      <c r="R209" s="22">
        <v>300</v>
      </c>
      <c r="S209" s="23">
        <v>0</v>
      </c>
      <c r="T209" s="23">
        <v>0</v>
      </c>
      <c r="U209" s="24">
        <v>0.99358904729576825</v>
      </c>
      <c r="V209" s="25">
        <v>0.1</v>
      </c>
      <c r="W209" s="26">
        <v>0.1</v>
      </c>
      <c r="X209" s="27">
        <v>0.8666666666666667</v>
      </c>
      <c r="Y209" s="25">
        <v>0</v>
      </c>
      <c r="Z209" s="24">
        <v>0.8666666666666667</v>
      </c>
      <c r="AA209" s="25">
        <v>0</v>
      </c>
      <c r="AB209" s="28">
        <v>0</v>
      </c>
      <c r="AC209" s="28">
        <v>0</v>
      </c>
      <c r="AD209" s="28">
        <v>0</v>
      </c>
      <c r="AE209" s="25">
        <v>0.09</v>
      </c>
      <c r="AF209" s="26">
        <v>0.09</v>
      </c>
      <c r="AG209" s="29" t="s">
        <v>729</v>
      </c>
      <c r="AH209" s="30">
        <v>1</v>
      </c>
      <c r="AI209" s="26">
        <v>0.1</v>
      </c>
      <c r="AJ209" s="21">
        <v>0</v>
      </c>
      <c r="AK209" s="21">
        <v>0</v>
      </c>
      <c r="AL209" s="26">
        <v>0.1</v>
      </c>
      <c r="AM209" s="24">
        <v>0.69000000000000006</v>
      </c>
      <c r="AN209" s="24">
        <v>0.64516129032258063</v>
      </c>
      <c r="AO209" s="31">
        <v>0.04</v>
      </c>
      <c r="AP209" s="31">
        <v>0</v>
      </c>
      <c r="AQ209" s="24">
        <v>0.82</v>
      </c>
      <c r="AR209" s="27">
        <v>0.72222222222222221</v>
      </c>
      <c r="AS209" s="26">
        <v>0</v>
      </c>
      <c r="AT209" s="26">
        <v>0</v>
      </c>
      <c r="AU209" s="24">
        <v>0.9859154929577465</v>
      </c>
      <c r="AV209" s="32">
        <v>23</v>
      </c>
      <c r="AW209" s="26">
        <v>0</v>
      </c>
      <c r="AX209" s="26">
        <v>0</v>
      </c>
      <c r="AY209" s="24">
        <v>0.74</v>
      </c>
      <c r="AZ209" s="24">
        <v>0.77</v>
      </c>
      <c r="BA209" s="31">
        <v>0.1</v>
      </c>
      <c r="BB209" s="33">
        <v>0.34</v>
      </c>
      <c r="BD209" s="26">
        <v>0.53</v>
      </c>
      <c r="BE209" s="26">
        <v>0</v>
      </c>
      <c r="BF209" s="26" t="s">
        <v>729</v>
      </c>
      <c r="BH209" s="34">
        <v>0</v>
      </c>
      <c r="BI209" s="34">
        <v>0.19</v>
      </c>
      <c r="BJ209" s="34" t="s">
        <v>259</v>
      </c>
      <c r="BK209" s="34">
        <v>0.19</v>
      </c>
      <c r="BM209" s="35">
        <v>0.34</v>
      </c>
    </row>
    <row r="210" spans="1:65" x14ac:dyDescent="0.25">
      <c r="A210" s="4" t="s">
        <v>63</v>
      </c>
      <c r="B210" s="4">
        <v>78185</v>
      </c>
      <c r="C210" s="4" t="s">
        <v>664</v>
      </c>
      <c r="D210" s="19" t="s">
        <v>255</v>
      </c>
      <c r="E210" s="20">
        <v>400638</v>
      </c>
      <c r="F210" s="20" t="s">
        <v>719</v>
      </c>
      <c r="G210" s="20" t="s">
        <v>691</v>
      </c>
      <c r="H210" s="2">
        <v>45813</v>
      </c>
      <c r="I210" s="2" t="s">
        <v>258</v>
      </c>
      <c r="J210" s="2" t="s">
        <v>258</v>
      </c>
      <c r="K210" s="21">
        <v>15</v>
      </c>
      <c r="L210" s="21">
        <v>445500</v>
      </c>
      <c r="M210" s="21">
        <v>3600</v>
      </c>
      <c r="N210" s="21">
        <v>500</v>
      </c>
      <c r="O210" s="21">
        <v>0</v>
      </c>
      <c r="P210" s="21">
        <v>426727</v>
      </c>
      <c r="Q210" s="22">
        <v>395.37400000000002</v>
      </c>
      <c r="R210" s="22">
        <v>300</v>
      </c>
      <c r="S210" s="23">
        <v>0</v>
      </c>
      <c r="T210" s="23">
        <v>0</v>
      </c>
      <c r="U210" s="24">
        <v>0.96566417741570487</v>
      </c>
      <c r="V210" s="25">
        <v>0.1</v>
      </c>
      <c r="W210" s="26">
        <v>0.1</v>
      </c>
      <c r="X210" s="27">
        <v>0.66666666666666663</v>
      </c>
      <c r="Y210" s="25">
        <v>0</v>
      </c>
      <c r="Z210" s="24">
        <v>0.93333333333333335</v>
      </c>
      <c r="AA210" s="25">
        <v>0</v>
      </c>
      <c r="AB210" s="28">
        <v>0</v>
      </c>
      <c r="AC210" s="28">
        <v>0</v>
      </c>
      <c r="AD210" s="28">
        <v>0</v>
      </c>
      <c r="AE210" s="25">
        <v>0.09</v>
      </c>
      <c r="AF210" s="26">
        <v>0.09</v>
      </c>
      <c r="AG210" s="29" t="s">
        <v>729</v>
      </c>
      <c r="AH210" s="30">
        <v>0.97499999999999998</v>
      </c>
      <c r="AI210" s="26">
        <v>0.1</v>
      </c>
      <c r="AJ210" s="21">
        <v>0</v>
      </c>
      <c r="AK210" s="21">
        <v>0</v>
      </c>
      <c r="AL210" s="26">
        <v>0.1</v>
      </c>
      <c r="AM210" s="24">
        <v>0.69</v>
      </c>
      <c r="AN210" s="24">
        <v>0.6506024096385542</v>
      </c>
      <c r="AO210" s="31">
        <v>0.04</v>
      </c>
      <c r="AP210" s="31">
        <v>0</v>
      </c>
      <c r="AQ210" s="24">
        <v>0.82</v>
      </c>
      <c r="AR210" s="27">
        <v>0.80519480519480524</v>
      </c>
      <c r="AS210" s="26">
        <v>0.125</v>
      </c>
      <c r="AT210" s="26">
        <v>0</v>
      </c>
      <c r="AU210" s="24">
        <v>0.97649572649572647</v>
      </c>
      <c r="AV210" s="32">
        <v>4</v>
      </c>
      <c r="AW210" s="26">
        <v>0</v>
      </c>
      <c r="AX210" s="26">
        <v>0</v>
      </c>
      <c r="AY210" s="24">
        <v>0.74</v>
      </c>
      <c r="AZ210" s="24">
        <v>0.75374732334047112</v>
      </c>
      <c r="BA210" s="31">
        <v>0.1</v>
      </c>
      <c r="BB210" s="33">
        <v>0.46499999999999997</v>
      </c>
      <c r="BD210" s="26">
        <v>0.65499999999999992</v>
      </c>
      <c r="BE210" s="26">
        <v>0</v>
      </c>
      <c r="BF210" s="26" t="s">
        <v>729</v>
      </c>
      <c r="BH210" s="34">
        <v>0</v>
      </c>
      <c r="BI210" s="34">
        <v>0</v>
      </c>
      <c r="BJ210" s="34" t="s">
        <v>259</v>
      </c>
      <c r="BK210" s="34">
        <v>0</v>
      </c>
      <c r="BM210" s="35">
        <v>0.65499999999999992</v>
      </c>
    </row>
    <row r="211" spans="1:65" x14ac:dyDescent="0.25">
      <c r="A211" s="4" t="s">
        <v>63</v>
      </c>
      <c r="B211" s="4">
        <v>78190</v>
      </c>
      <c r="C211" s="4" t="s">
        <v>665</v>
      </c>
      <c r="D211" s="19" t="s">
        <v>255</v>
      </c>
      <c r="E211" s="20">
        <v>400643</v>
      </c>
      <c r="F211" s="20" t="s">
        <v>720</v>
      </c>
      <c r="G211" s="20" t="s">
        <v>692</v>
      </c>
      <c r="H211" s="2">
        <v>45813</v>
      </c>
      <c r="I211" s="2" t="s">
        <v>258</v>
      </c>
      <c r="J211" s="2" t="s">
        <v>258</v>
      </c>
      <c r="K211" s="21">
        <v>14</v>
      </c>
      <c r="L211" s="21">
        <v>430200</v>
      </c>
      <c r="M211" s="21">
        <v>18000</v>
      </c>
      <c r="N211" s="21">
        <v>372</v>
      </c>
      <c r="O211" s="21">
        <v>1</v>
      </c>
      <c r="P211" s="21">
        <v>404308</v>
      </c>
      <c r="Q211" s="22">
        <v>483.43699731903484</v>
      </c>
      <c r="R211" s="22">
        <v>300</v>
      </c>
      <c r="S211" s="23">
        <v>0</v>
      </c>
      <c r="T211" s="23">
        <v>0</v>
      </c>
      <c r="U211" s="24">
        <v>0.98085395439107226</v>
      </c>
      <c r="V211" s="25">
        <v>0.1</v>
      </c>
      <c r="W211" s="26">
        <v>0.1</v>
      </c>
      <c r="X211" s="27">
        <v>0.42857142857142855</v>
      </c>
      <c r="Y211" s="25">
        <v>0</v>
      </c>
      <c r="Z211" s="24">
        <v>0.8571428571428571</v>
      </c>
      <c r="AA211" s="25">
        <v>0</v>
      </c>
      <c r="AB211" s="28">
        <v>0</v>
      </c>
      <c r="AC211" s="28">
        <v>0</v>
      </c>
      <c r="AD211" s="28">
        <v>0</v>
      </c>
      <c r="AE211" s="25">
        <v>0.09</v>
      </c>
      <c r="AF211" s="26">
        <v>0.09</v>
      </c>
      <c r="AG211" s="29" t="s">
        <v>729</v>
      </c>
      <c r="AH211" s="30">
        <v>0.92500000000000004</v>
      </c>
      <c r="AI211" s="26">
        <v>0.1</v>
      </c>
      <c r="AJ211" s="21">
        <v>0</v>
      </c>
      <c r="AK211" s="21">
        <v>0</v>
      </c>
      <c r="AL211" s="26">
        <v>0.1</v>
      </c>
      <c r="AM211" s="24">
        <v>0.69000000000000006</v>
      </c>
      <c r="AN211" s="24">
        <v>0.70967741935483875</v>
      </c>
      <c r="AO211" s="31">
        <v>0.08</v>
      </c>
      <c r="AP211" s="31">
        <v>0.03</v>
      </c>
      <c r="AQ211" s="24">
        <v>0.82</v>
      </c>
      <c r="AR211" s="27">
        <v>0.77777777777777779</v>
      </c>
      <c r="AS211" s="26">
        <v>7.4999999999999997E-2</v>
      </c>
      <c r="AT211" s="26">
        <v>0</v>
      </c>
      <c r="AU211" s="24">
        <v>0.95714285714285718</v>
      </c>
      <c r="AV211" s="32">
        <v>1</v>
      </c>
      <c r="AW211" s="26">
        <v>0.05</v>
      </c>
      <c r="AX211" s="26">
        <v>0</v>
      </c>
      <c r="AY211" s="24">
        <v>0.74</v>
      </c>
      <c r="AZ211" s="24">
        <v>0.74848484848484853</v>
      </c>
      <c r="BA211" s="31">
        <v>0.1</v>
      </c>
      <c r="BB211" s="33">
        <v>0.505</v>
      </c>
      <c r="BD211" s="26">
        <v>0.69499999999999995</v>
      </c>
      <c r="BE211" s="26">
        <v>0.03</v>
      </c>
      <c r="BF211" s="26" t="s">
        <v>729</v>
      </c>
      <c r="BH211" s="34">
        <v>0</v>
      </c>
      <c r="BI211" s="34">
        <v>0</v>
      </c>
      <c r="BJ211" s="34" t="s">
        <v>259</v>
      </c>
      <c r="BK211" s="34">
        <v>0</v>
      </c>
      <c r="BM211" s="35">
        <v>0.72499999999999998</v>
      </c>
    </row>
    <row r="212" spans="1:65" x14ac:dyDescent="0.25">
      <c r="A212" s="4" t="s">
        <v>63</v>
      </c>
      <c r="B212" s="4">
        <v>78191</v>
      </c>
      <c r="C212" s="4" t="s">
        <v>666</v>
      </c>
      <c r="D212" s="19" t="s">
        <v>255</v>
      </c>
      <c r="E212" s="20">
        <v>400644</v>
      </c>
      <c r="F212" s="20" t="s">
        <v>721</v>
      </c>
      <c r="G212" s="20" t="s">
        <v>693</v>
      </c>
      <c r="H212" s="2">
        <v>45813</v>
      </c>
      <c r="I212" s="2" t="s">
        <v>258</v>
      </c>
      <c r="J212" s="2" t="s">
        <v>258</v>
      </c>
      <c r="K212" s="21">
        <v>14</v>
      </c>
      <c r="L212" s="21">
        <v>415800</v>
      </c>
      <c r="M212" s="21">
        <v>3600</v>
      </c>
      <c r="N212" s="21">
        <v>373</v>
      </c>
      <c r="O212" s="21">
        <v>0</v>
      </c>
      <c r="P212" s="21">
        <v>413170</v>
      </c>
      <c r="Q212" s="22">
        <v>457.42895442359247</v>
      </c>
      <c r="R212" s="22">
        <v>300</v>
      </c>
      <c r="S212" s="23">
        <v>0</v>
      </c>
      <c r="T212" s="23">
        <v>0</v>
      </c>
      <c r="U212" s="24">
        <v>1.0023532265890345</v>
      </c>
      <c r="V212" s="25">
        <v>0.1</v>
      </c>
      <c r="W212" s="26">
        <v>0.1</v>
      </c>
      <c r="X212" s="27">
        <v>0.7857142857142857</v>
      </c>
      <c r="Y212" s="25">
        <v>0</v>
      </c>
      <c r="Z212" s="24">
        <v>0.9285714285714286</v>
      </c>
      <c r="AA212" s="25">
        <v>0</v>
      </c>
      <c r="AB212" s="28">
        <v>0</v>
      </c>
      <c r="AC212" s="28">
        <v>0</v>
      </c>
      <c r="AD212" s="28">
        <v>0</v>
      </c>
      <c r="AE212" s="25">
        <v>0.09</v>
      </c>
      <c r="AF212" s="26">
        <v>0.09</v>
      </c>
      <c r="AG212" s="29" t="s">
        <v>729</v>
      </c>
      <c r="AH212" s="30">
        <v>0.875</v>
      </c>
      <c r="AI212" s="26">
        <v>0.05</v>
      </c>
      <c r="AJ212" s="21">
        <v>0</v>
      </c>
      <c r="AK212" s="21">
        <v>0</v>
      </c>
      <c r="AL212" s="26">
        <v>0.1</v>
      </c>
      <c r="AM212" s="24">
        <v>0.69</v>
      </c>
      <c r="AN212" s="24">
        <v>0.67500000000000004</v>
      </c>
      <c r="AO212" s="31">
        <v>0.06</v>
      </c>
      <c r="AP212" s="31">
        <v>0</v>
      </c>
      <c r="AQ212" s="24">
        <v>0.82</v>
      </c>
      <c r="AR212" s="27">
        <v>0.78082191780821919</v>
      </c>
      <c r="AS212" s="26">
        <v>7.4999999999999997E-2</v>
      </c>
      <c r="AT212" s="26">
        <v>0</v>
      </c>
      <c r="AU212" s="24">
        <v>0.96935933147632314</v>
      </c>
      <c r="AV212" s="32">
        <v>3</v>
      </c>
      <c r="AW212" s="26">
        <v>0.01</v>
      </c>
      <c r="AX212" s="26">
        <v>0</v>
      </c>
      <c r="AY212" s="24">
        <v>0.7400000000000001</v>
      </c>
      <c r="AZ212" s="24">
        <v>0.74147727272727271</v>
      </c>
      <c r="BA212" s="31">
        <v>0.1</v>
      </c>
      <c r="BB212" s="33">
        <v>0.39500000000000002</v>
      </c>
      <c r="BD212" s="26">
        <v>0.58499999999999996</v>
      </c>
      <c r="BE212" s="26">
        <v>0</v>
      </c>
      <c r="BF212" s="26" t="s">
        <v>729</v>
      </c>
      <c r="BH212" s="34">
        <v>0</v>
      </c>
      <c r="BI212" s="34">
        <v>0</v>
      </c>
      <c r="BJ212" s="34" t="s">
        <v>259</v>
      </c>
      <c r="BK212" s="34">
        <v>0</v>
      </c>
      <c r="BM212" s="35">
        <v>0.58499999999999996</v>
      </c>
    </row>
    <row r="213" spans="1:65" x14ac:dyDescent="0.25">
      <c r="A213" s="4" t="s">
        <v>63</v>
      </c>
      <c r="B213" s="4">
        <v>78176</v>
      </c>
      <c r="C213" s="4" t="s">
        <v>667</v>
      </c>
      <c r="D213" s="19" t="s">
        <v>255</v>
      </c>
      <c r="E213" s="20">
        <v>400629</v>
      </c>
      <c r="F213" s="20" t="s">
        <v>722</v>
      </c>
      <c r="G213" s="20" t="s">
        <v>694</v>
      </c>
      <c r="H213" s="2">
        <v>45813</v>
      </c>
      <c r="I213" s="2" t="s">
        <v>258</v>
      </c>
      <c r="J213" s="2" t="s">
        <v>258</v>
      </c>
      <c r="K213" s="21">
        <v>14</v>
      </c>
      <c r="L213" s="21">
        <v>415800</v>
      </c>
      <c r="M213" s="21">
        <v>3600</v>
      </c>
      <c r="N213" s="21">
        <v>392</v>
      </c>
      <c r="O213" s="21">
        <v>0</v>
      </c>
      <c r="P213" s="21">
        <v>360366</v>
      </c>
      <c r="Q213" s="22">
        <v>393.53061224489795</v>
      </c>
      <c r="R213" s="22">
        <v>300</v>
      </c>
      <c r="S213" s="23">
        <v>0</v>
      </c>
      <c r="T213" s="23">
        <v>0</v>
      </c>
      <c r="U213" s="24">
        <v>0.87425036390101896</v>
      </c>
      <c r="V213" s="25">
        <v>0.1</v>
      </c>
      <c r="W213" s="26">
        <v>0.1</v>
      </c>
      <c r="X213" s="27">
        <v>0.7142857142857143</v>
      </c>
      <c r="Y213" s="25">
        <v>0</v>
      </c>
      <c r="Z213" s="24">
        <v>0.6428571428571429</v>
      </c>
      <c r="AA213" s="25">
        <v>0</v>
      </c>
      <c r="AB213" s="28">
        <v>2</v>
      </c>
      <c r="AC213" s="28">
        <v>0</v>
      </c>
      <c r="AD213" s="28">
        <v>0</v>
      </c>
      <c r="AE213" s="25">
        <v>0</v>
      </c>
      <c r="AF213" s="26">
        <v>0</v>
      </c>
      <c r="AG213" s="29" t="s">
        <v>729</v>
      </c>
      <c r="AH213" s="30">
        <v>1</v>
      </c>
      <c r="AI213" s="26">
        <v>0.1</v>
      </c>
      <c r="AJ213" s="21">
        <v>0</v>
      </c>
      <c r="AK213" s="21">
        <v>0</v>
      </c>
      <c r="AL213" s="26">
        <v>0.1</v>
      </c>
      <c r="AM213" s="24">
        <v>0.69</v>
      </c>
      <c r="AN213" s="24">
        <v>0.647887323943662</v>
      </c>
      <c r="AO213" s="31">
        <v>0.04</v>
      </c>
      <c r="AP213" s="31">
        <v>0</v>
      </c>
      <c r="AQ213" s="24">
        <v>0.82</v>
      </c>
      <c r="AR213" s="27">
        <v>0.73611111111111116</v>
      </c>
      <c r="AS213" s="26">
        <v>0</v>
      </c>
      <c r="AT213" s="26">
        <v>0</v>
      </c>
      <c r="AU213" s="24">
        <v>0.98637602179836514</v>
      </c>
      <c r="AV213" s="32">
        <v>19</v>
      </c>
      <c r="AW213" s="26">
        <v>0</v>
      </c>
      <c r="AX213" s="26">
        <v>0</v>
      </c>
      <c r="AY213" s="24">
        <v>0.7400000000000001</v>
      </c>
      <c r="AZ213" s="24">
        <v>0.78551532033426186</v>
      </c>
      <c r="BA213" s="31">
        <v>0.1</v>
      </c>
      <c r="BB213" s="33">
        <v>0.34</v>
      </c>
      <c r="BD213" s="26">
        <v>0.44000000000000006</v>
      </c>
      <c r="BE213" s="26">
        <v>0</v>
      </c>
      <c r="BF213" s="26" t="s">
        <v>729</v>
      </c>
      <c r="BH213" s="34">
        <v>0.05</v>
      </c>
      <c r="BI213" s="34">
        <v>0.15</v>
      </c>
      <c r="BJ213" s="34" t="s">
        <v>259</v>
      </c>
      <c r="BK213" s="34">
        <v>0.2</v>
      </c>
      <c r="BM213" s="35">
        <v>0.24000000000000005</v>
      </c>
    </row>
    <row r="214" spans="1:65" x14ac:dyDescent="0.25">
      <c r="A214" s="4" t="s">
        <v>63</v>
      </c>
      <c r="B214" s="4">
        <v>78186</v>
      </c>
      <c r="C214" s="4" t="s">
        <v>668</v>
      </c>
      <c r="D214" s="19" t="s">
        <v>255</v>
      </c>
      <c r="E214" s="20">
        <v>400639</v>
      </c>
      <c r="F214" s="20" t="s">
        <v>723</v>
      </c>
      <c r="G214" s="20" t="s">
        <v>695</v>
      </c>
      <c r="H214" s="2">
        <v>45813</v>
      </c>
      <c r="I214" s="2" t="s">
        <v>258</v>
      </c>
      <c r="J214" s="2" t="s">
        <v>258</v>
      </c>
      <c r="K214" s="21">
        <v>16</v>
      </c>
      <c r="L214" s="21">
        <v>475200</v>
      </c>
      <c r="M214" s="21">
        <v>3600</v>
      </c>
      <c r="N214" s="21">
        <v>507</v>
      </c>
      <c r="O214" s="21">
        <v>0</v>
      </c>
      <c r="P214" s="21">
        <v>446404</v>
      </c>
      <c r="Q214" s="22">
        <v>436.61538461538464</v>
      </c>
      <c r="R214" s="22">
        <v>300</v>
      </c>
      <c r="S214" s="23">
        <v>0</v>
      </c>
      <c r="T214" s="23">
        <v>0</v>
      </c>
      <c r="U214" s="24">
        <v>0.94657336726039021</v>
      </c>
      <c r="V214" s="25">
        <v>0.1</v>
      </c>
      <c r="W214" s="26">
        <v>0.1</v>
      </c>
      <c r="X214" s="27">
        <v>0.75</v>
      </c>
      <c r="Y214" s="25">
        <v>0</v>
      </c>
      <c r="Z214" s="24">
        <v>0.875</v>
      </c>
      <c r="AA214" s="25">
        <v>0</v>
      </c>
      <c r="AB214" s="28">
        <v>0</v>
      </c>
      <c r="AC214" s="28">
        <v>0</v>
      </c>
      <c r="AD214" s="28">
        <v>0</v>
      </c>
      <c r="AE214" s="25">
        <v>0.09</v>
      </c>
      <c r="AF214" s="26">
        <v>0.09</v>
      </c>
      <c r="AG214" s="29" t="s">
        <v>729</v>
      </c>
      <c r="AH214" s="30">
        <v>1</v>
      </c>
      <c r="AI214" s="26">
        <v>0.1</v>
      </c>
      <c r="AJ214" s="21">
        <v>0</v>
      </c>
      <c r="AK214" s="21">
        <v>0</v>
      </c>
      <c r="AL214" s="26">
        <v>0.1</v>
      </c>
      <c r="AM214" s="24">
        <v>0.69</v>
      </c>
      <c r="AN214" s="24">
        <v>0.74698795180722888</v>
      </c>
      <c r="AO214" s="31">
        <v>0.08</v>
      </c>
      <c r="AP214" s="31">
        <v>0.03</v>
      </c>
      <c r="AQ214" s="24">
        <v>0.82</v>
      </c>
      <c r="AR214" s="27">
        <v>0.80263157894736847</v>
      </c>
      <c r="AS214" s="26">
        <v>0.125</v>
      </c>
      <c r="AT214" s="26">
        <v>0</v>
      </c>
      <c r="AU214" s="24">
        <v>0.95983086680761098</v>
      </c>
      <c r="AV214" s="32">
        <v>3</v>
      </c>
      <c r="AW214" s="26">
        <v>0.01</v>
      </c>
      <c r="AX214" s="26">
        <v>0</v>
      </c>
      <c r="AY214" s="24">
        <v>0.74</v>
      </c>
      <c r="AZ214" s="24">
        <v>0.759493670886076</v>
      </c>
      <c r="BA214" s="31">
        <v>0.1</v>
      </c>
      <c r="BB214" s="33">
        <v>0.51500000000000001</v>
      </c>
      <c r="BD214" s="26">
        <v>0.70499999999999996</v>
      </c>
      <c r="BE214" s="26">
        <v>0.03</v>
      </c>
      <c r="BF214" s="26" t="s">
        <v>729</v>
      </c>
      <c r="BH214" s="34">
        <v>0</v>
      </c>
      <c r="BI214" s="34">
        <v>0</v>
      </c>
      <c r="BJ214" s="34" t="s">
        <v>259</v>
      </c>
      <c r="BK214" s="34">
        <v>0</v>
      </c>
      <c r="BM214" s="35">
        <v>0.73499999999999999</v>
      </c>
    </row>
    <row r="215" spans="1:65" x14ac:dyDescent="0.25">
      <c r="A215" s="4" t="s">
        <v>63</v>
      </c>
      <c r="B215" s="4">
        <v>78192</v>
      </c>
      <c r="C215" s="4" t="s">
        <v>669</v>
      </c>
      <c r="D215" s="19" t="s">
        <v>255</v>
      </c>
      <c r="E215" s="20">
        <v>400645</v>
      </c>
      <c r="F215" s="20" t="s">
        <v>724</v>
      </c>
      <c r="G215" s="20" t="s">
        <v>696</v>
      </c>
      <c r="H215" s="2">
        <v>45813</v>
      </c>
      <c r="I215" s="2" t="s">
        <v>258</v>
      </c>
      <c r="J215" s="2" t="s">
        <v>258</v>
      </c>
      <c r="K215" s="21">
        <v>14</v>
      </c>
      <c r="L215" s="21">
        <v>415800</v>
      </c>
      <c r="M215" s="21">
        <v>3600</v>
      </c>
      <c r="N215" s="21">
        <v>375</v>
      </c>
      <c r="O215" s="21">
        <v>0</v>
      </c>
      <c r="P215" s="21">
        <v>407587</v>
      </c>
      <c r="Q215" s="22">
        <v>447.952</v>
      </c>
      <c r="R215" s="22">
        <v>300</v>
      </c>
      <c r="S215" s="23">
        <v>0</v>
      </c>
      <c r="T215" s="23">
        <v>0</v>
      </c>
      <c r="U215" s="24">
        <v>0.98880883066472591</v>
      </c>
      <c r="V215" s="25">
        <v>0.1</v>
      </c>
      <c r="W215" s="26">
        <v>0.1</v>
      </c>
      <c r="X215" s="27">
        <v>0.5</v>
      </c>
      <c r="Y215" s="25">
        <v>0</v>
      </c>
      <c r="Z215" s="24">
        <v>0.9285714285714286</v>
      </c>
      <c r="AA215" s="25">
        <v>0</v>
      </c>
      <c r="AB215" s="28">
        <v>0</v>
      </c>
      <c r="AC215" s="28">
        <v>0</v>
      </c>
      <c r="AD215" s="28">
        <v>0</v>
      </c>
      <c r="AE215" s="25">
        <v>0.09</v>
      </c>
      <c r="AF215" s="26">
        <v>0.09</v>
      </c>
      <c r="AG215" s="29" t="s">
        <v>729</v>
      </c>
      <c r="AH215" s="30">
        <v>1</v>
      </c>
      <c r="AI215" s="26">
        <v>0.1</v>
      </c>
      <c r="AJ215" s="21">
        <v>0</v>
      </c>
      <c r="AK215" s="21">
        <v>0</v>
      </c>
      <c r="AL215" s="26">
        <v>0.1</v>
      </c>
      <c r="AM215" s="24">
        <v>0.69</v>
      </c>
      <c r="AN215" s="24">
        <v>0.75324675324675328</v>
      </c>
      <c r="AO215" s="31">
        <v>0.08</v>
      </c>
      <c r="AP215" s="31">
        <v>0.03</v>
      </c>
      <c r="AQ215" s="24">
        <v>0.82</v>
      </c>
      <c r="AR215" s="27">
        <v>0.80821917808219179</v>
      </c>
      <c r="AS215" s="26">
        <v>0.125</v>
      </c>
      <c r="AT215" s="26">
        <v>0</v>
      </c>
      <c r="AU215" s="24">
        <v>0.98879551820728295</v>
      </c>
      <c r="AV215" s="32">
        <v>6</v>
      </c>
      <c r="AW215" s="26">
        <v>0</v>
      </c>
      <c r="AX215" s="26">
        <v>0</v>
      </c>
      <c r="AY215" s="24">
        <v>0.74</v>
      </c>
      <c r="AZ215" s="24">
        <v>0.72033898305084743</v>
      </c>
      <c r="BA215" s="31">
        <v>0.05</v>
      </c>
      <c r="BB215" s="33">
        <v>0.45500000000000002</v>
      </c>
      <c r="BD215" s="26">
        <v>0.64500000000000002</v>
      </c>
      <c r="BE215" s="26">
        <v>0.03</v>
      </c>
      <c r="BF215" s="26" t="s">
        <v>729</v>
      </c>
      <c r="BH215" s="34">
        <v>0</v>
      </c>
      <c r="BI215" s="34">
        <v>0.02</v>
      </c>
      <c r="BJ215" s="34" t="s">
        <v>259</v>
      </c>
      <c r="BK215" s="34">
        <v>0.02</v>
      </c>
      <c r="BM215" s="35">
        <v>0.65500000000000003</v>
      </c>
    </row>
    <row r="216" spans="1:65" x14ac:dyDescent="0.25">
      <c r="A216" s="4" t="s">
        <v>63</v>
      </c>
      <c r="B216" s="4">
        <v>78194</v>
      </c>
      <c r="C216" s="4" t="s">
        <v>670</v>
      </c>
      <c r="D216" s="19" t="s">
        <v>255</v>
      </c>
      <c r="E216" s="20">
        <v>400647</v>
      </c>
      <c r="F216" s="20" t="s">
        <v>725</v>
      </c>
      <c r="G216" s="20" t="s">
        <v>697</v>
      </c>
      <c r="H216" s="2">
        <v>45813</v>
      </c>
      <c r="I216" s="2" t="s">
        <v>258</v>
      </c>
      <c r="J216" s="2" t="s">
        <v>258</v>
      </c>
      <c r="K216" s="21">
        <v>14</v>
      </c>
      <c r="L216" s="21">
        <v>415800</v>
      </c>
      <c r="M216" s="21">
        <v>3600</v>
      </c>
      <c r="N216" s="21">
        <v>383</v>
      </c>
      <c r="O216" s="21">
        <v>6</v>
      </c>
      <c r="P216" s="21">
        <v>401416</v>
      </c>
      <c r="Q216" s="22">
        <v>378.62210796915167</v>
      </c>
      <c r="R216" s="22">
        <v>300</v>
      </c>
      <c r="S216" s="23">
        <v>0</v>
      </c>
      <c r="T216" s="23">
        <v>0</v>
      </c>
      <c r="U216" s="24">
        <v>0.97383794274623969</v>
      </c>
      <c r="V216" s="25">
        <v>0.1</v>
      </c>
      <c r="W216" s="26">
        <v>0.1</v>
      </c>
      <c r="X216" s="27">
        <v>0.5714285714285714</v>
      </c>
      <c r="Y216" s="25">
        <v>0</v>
      </c>
      <c r="Z216" s="24">
        <v>0.8571428571428571</v>
      </c>
      <c r="AA216" s="25">
        <v>0</v>
      </c>
      <c r="AB216" s="28">
        <v>0</v>
      </c>
      <c r="AC216" s="28">
        <v>0</v>
      </c>
      <c r="AD216" s="28">
        <v>0</v>
      </c>
      <c r="AE216" s="25">
        <v>0.09</v>
      </c>
      <c r="AF216" s="26">
        <v>0.09</v>
      </c>
      <c r="AG216" s="29" t="s">
        <v>729</v>
      </c>
      <c r="AH216" s="30">
        <v>0.92500000000000004</v>
      </c>
      <c r="AI216" s="26">
        <v>0.1</v>
      </c>
      <c r="AJ216" s="21">
        <v>0</v>
      </c>
      <c r="AK216" s="21">
        <v>0</v>
      </c>
      <c r="AL216" s="26">
        <v>0.1</v>
      </c>
      <c r="AM216" s="24">
        <v>0.69</v>
      </c>
      <c r="AN216" s="24">
        <v>0.76470588235294112</v>
      </c>
      <c r="AO216" s="31">
        <v>0.08</v>
      </c>
      <c r="AP216" s="31">
        <v>0.03</v>
      </c>
      <c r="AQ216" s="24">
        <v>0.82</v>
      </c>
      <c r="AR216" s="27">
        <v>0.80952380952380953</v>
      </c>
      <c r="AS216" s="26">
        <v>0.125</v>
      </c>
      <c r="AT216" s="26">
        <v>0</v>
      </c>
      <c r="AU216" s="24">
        <v>0.98583569405099147</v>
      </c>
      <c r="AV216" s="32">
        <v>6</v>
      </c>
      <c r="AW216" s="26">
        <v>0</v>
      </c>
      <c r="AX216" s="26">
        <v>0</v>
      </c>
      <c r="AY216" s="24">
        <v>0.74</v>
      </c>
      <c r="AZ216" s="24">
        <v>0.73020527859237538</v>
      </c>
      <c r="BA216" s="31">
        <v>0.05</v>
      </c>
      <c r="BB216" s="33">
        <v>0.45500000000000002</v>
      </c>
      <c r="BD216" s="26">
        <v>0.64500000000000002</v>
      </c>
      <c r="BE216" s="26">
        <v>0.03</v>
      </c>
      <c r="BF216" s="26" t="s">
        <v>729</v>
      </c>
      <c r="BH216" s="34">
        <v>0</v>
      </c>
      <c r="BI216" s="34">
        <v>0.02</v>
      </c>
      <c r="BJ216" s="34" t="s">
        <v>259</v>
      </c>
      <c r="BK216" s="34">
        <v>0.02</v>
      </c>
      <c r="BM216" s="35">
        <v>0.65500000000000003</v>
      </c>
    </row>
    <row r="217" spans="1:65" x14ac:dyDescent="0.25">
      <c r="A217" s="4" t="s">
        <v>63</v>
      </c>
      <c r="B217" s="4">
        <v>78188</v>
      </c>
      <c r="C217" s="4" t="s">
        <v>671</v>
      </c>
      <c r="D217" s="19" t="s">
        <v>255</v>
      </c>
      <c r="E217" s="20">
        <v>400641</v>
      </c>
      <c r="F217" s="20" t="s">
        <v>726</v>
      </c>
      <c r="G217" s="20" t="s">
        <v>698</v>
      </c>
      <c r="H217" s="2">
        <v>45813</v>
      </c>
      <c r="I217" s="2" t="s">
        <v>258</v>
      </c>
      <c r="J217" s="2" t="s">
        <v>258</v>
      </c>
      <c r="K217" s="21">
        <v>15</v>
      </c>
      <c r="L217" s="21">
        <v>445500</v>
      </c>
      <c r="M217" s="21">
        <v>3300</v>
      </c>
      <c r="N217" s="21">
        <v>496</v>
      </c>
      <c r="O217" s="21">
        <v>0</v>
      </c>
      <c r="P217" s="21">
        <v>402456</v>
      </c>
      <c r="Q217" s="22">
        <v>419.43548387096774</v>
      </c>
      <c r="R217" s="22">
        <v>300</v>
      </c>
      <c r="S217" s="23">
        <v>0</v>
      </c>
      <c r="T217" s="23">
        <v>0</v>
      </c>
      <c r="U217" s="24">
        <v>0.91012211668928089</v>
      </c>
      <c r="V217" s="25">
        <v>0.1</v>
      </c>
      <c r="W217" s="26">
        <v>0.1</v>
      </c>
      <c r="X217" s="27">
        <v>0.73333333333333328</v>
      </c>
      <c r="Y217" s="25">
        <v>0</v>
      </c>
      <c r="Z217" s="24">
        <v>0.8666666666666667</v>
      </c>
      <c r="AA217" s="25">
        <v>0</v>
      </c>
      <c r="AB217" s="28">
        <v>0</v>
      </c>
      <c r="AC217" s="28">
        <v>0</v>
      </c>
      <c r="AD217" s="28">
        <v>0</v>
      </c>
      <c r="AE217" s="25">
        <v>0.09</v>
      </c>
      <c r="AF217" s="26">
        <v>0.09</v>
      </c>
      <c r="AG217" s="29" t="s">
        <v>729</v>
      </c>
      <c r="AH217" s="30">
        <v>1</v>
      </c>
      <c r="AI217" s="26">
        <v>0.1</v>
      </c>
      <c r="AJ217" s="21">
        <v>0</v>
      </c>
      <c r="AK217" s="21">
        <v>0</v>
      </c>
      <c r="AL217" s="26">
        <v>0.1</v>
      </c>
      <c r="AM217" s="24">
        <v>0.69</v>
      </c>
      <c r="AN217" s="24">
        <v>0.7407407407407407</v>
      </c>
      <c r="AO217" s="31">
        <v>0.08</v>
      </c>
      <c r="AP217" s="31">
        <v>0.03</v>
      </c>
      <c r="AQ217" s="24">
        <v>0.82</v>
      </c>
      <c r="AR217" s="27">
        <v>0.79452054794520544</v>
      </c>
      <c r="AS217" s="26">
        <v>7.4999999999999997E-2</v>
      </c>
      <c r="AT217" s="26">
        <v>0</v>
      </c>
      <c r="AU217" s="24">
        <v>0.98101265822784811</v>
      </c>
      <c r="AV217" s="32">
        <v>8</v>
      </c>
      <c r="AW217" s="26">
        <v>0</v>
      </c>
      <c r="AX217" s="26">
        <v>0</v>
      </c>
      <c r="AY217" s="24">
        <v>0.74</v>
      </c>
      <c r="AZ217" s="24">
        <v>0.7451820128479657</v>
      </c>
      <c r="BA217" s="31">
        <v>0.1</v>
      </c>
      <c r="BB217" s="33">
        <v>0.45499999999999996</v>
      </c>
      <c r="BD217" s="26">
        <v>0.64499999999999991</v>
      </c>
      <c r="BE217" s="26">
        <v>0.03</v>
      </c>
      <c r="BF217" s="26" t="s">
        <v>729</v>
      </c>
      <c r="BH217" s="34">
        <v>0</v>
      </c>
      <c r="BI217" s="34">
        <v>0.04</v>
      </c>
      <c r="BJ217" s="34" t="s">
        <v>259</v>
      </c>
      <c r="BK217" s="34">
        <v>0.04</v>
      </c>
      <c r="BM217" s="35">
        <v>0.6349999999999999</v>
      </c>
    </row>
    <row r="218" spans="1:65" x14ac:dyDescent="0.25">
      <c r="A218" s="4" t="s">
        <v>63</v>
      </c>
      <c r="B218" s="4">
        <v>78178</v>
      </c>
      <c r="C218" s="4" t="s">
        <v>672</v>
      </c>
      <c r="D218" s="19" t="s">
        <v>255</v>
      </c>
      <c r="E218" s="20">
        <v>400631</v>
      </c>
      <c r="F218" s="20" t="s">
        <v>727</v>
      </c>
      <c r="G218" s="20" t="s">
        <v>699</v>
      </c>
      <c r="H218" s="2">
        <v>45813</v>
      </c>
      <c r="I218" s="2" t="s">
        <v>258</v>
      </c>
      <c r="J218" s="2" t="s">
        <v>258</v>
      </c>
      <c r="K218" s="21">
        <v>15</v>
      </c>
      <c r="L218" s="21">
        <v>445500</v>
      </c>
      <c r="M218" s="21">
        <v>3600</v>
      </c>
      <c r="N218" s="21">
        <v>494</v>
      </c>
      <c r="O218" s="21">
        <v>0</v>
      </c>
      <c r="P218" s="21">
        <v>417548</v>
      </c>
      <c r="Q218" s="22">
        <v>418.66396761133603</v>
      </c>
      <c r="R218" s="22">
        <v>300</v>
      </c>
      <c r="S218" s="23">
        <v>0</v>
      </c>
      <c r="T218" s="23">
        <v>0</v>
      </c>
      <c r="U218" s="24">
        <v>0.94489250961756055</v>
      </c>
      <c r="V218" s="25">
        <v>0.1</v>
      </c>
      <c r="W218" s="26">
        <v>0.1</v>
      </c>
      <c r="X218" s="27">
        <v>0.8666666666666667</v>
      </c>
      <c r="Y218" s="25">
        <v>0</v>
      </c>
      <c r="Z218" s="24">
        <v>0.93333333333333335</v>
      </c>
      <c r="AA218" s="25">
        <v>0</v>
      </c>
      <c r="AB218" s="28">
        <v>0</v>
      </c>
      <c r="AC218" s="28">
        <v>0</v>
      </c>
      <c r="AD218" s="28">
        <v>0</v>
      </c>
      <c r="AE218" s="25">
        <v>0.09</v>
      </c>
      <c r="AF218" s="26">
        <v>0.09</v>
      </c>
      <c r="AG218" s="29" t="s">
        <v>729</v>
      </c>
      <c r="AH218" s="30">
        <v>0.95499999999999996</v>
      </c>
      <c r="AI218" s="26">
        <v>0.1</v>
      </c>
      <c r="AJ218" s="21">
        <v>0</v>
      </c>
      <c r="AK218" s="21">
        <v>0</v>
      </c>
      <c r="AL218" s="26">
        <v>0.1</v>
      </c>
      <c r="AM218" s="24">
        <v>0.69</v>
      </c>
      <c r="AN218" s="24">
        <v>0.75308641975308643</v>
      </c>
      <c r="AO218" s="31">
        <v>0.08</v>
      </c>
      <c r="AP218" s="31">
        <v>0.03</v>
      </c>
      <c r="AQ218" s="24">
        <v>0.82</v>
      </c>
      <c r="AR218" s="27">
        <v>0.79220779220779225</v>
      </c>
      <c r="AS218" s="26">
        <v>7.4999999999999997E-2</v>
      </c>
      <c r="AT218" s="26">
        <v>0</v>
      </c>
      <c r="AU218" s="24">
        <v>0.99343544857768051</v>
      </c>
      <c r="AV218" s="32">
        <v>6</v>
      </c>
      <c r="AW218" s="26">
        <v>0</v>
      </c>
      <c r="AX218" s="26">
        <v>0</v>
      </c>
      <c r="AY218" s="24">
        <v>0.74</v>
      </c>
      <c r="AZ218" s="24">
        <v>0.78787878787878785</v>
      </c>
      <c r="BA218" s="31">
        <v>0.1</v>
      </c>
      <c r="BB218" s="33">
        <v>0.45499999999999996</v>
      </c>
      <c r="BD218" s="26">
        <v>0.64499999999999991</v>
      </c>
      <c r="BE218" s="26">
        <v>0.03</v>
      </c>
      <c r="BF218" s="26" t="s">
        <v>729</v>
      </c>
      <c r="BH218" s="34">
        <v>0</v>
      </c>
      <c r="BI218" s="34">
        <v>0.02</v>
      </c>
      <c r="BJ218" s="34" t="s">
        <v>259</v>
      </c>
      <c r="BK218" s="34">
        <v>0.02</v>
      </c>
      <c r="BM218" s="35">
        <v>0.65499999999999992</v>
      </c>
    </row>
    <row r="219" spans="1:65" x14ac:dyDescent="0.25">
      <c r="A219" s="4" t="s">
        <v>63</v>
      </c>
      <c r="B219" s="4">
        <v>78170</v>
      </c>
      <c r="C219" s="4" t="s">
        <v>673</v>
      </c>
      <c r="D219" s="19" t="s">
        <v>255</v>
      </c>
      <c r="E219" s="20" t="s">
        <v>646</v>
      </c>
      <c r="F219" s="20" t="s">
        <v>728</v>
      </c>
      <c r="G219" s="20" t="s">
        <v>700</v>
      </c>
      <c r="H219" s="2">
        <v>45760</v>
      </c>
      <c r="I219" s="2" t="s">
        <v>353</v>
      </c>
      <c r="J219" s="2" t="s">
        <v>353</v>
      </c>
      <c r="K219" s="21">
        <v>4</v>
      </c>
      <c r="L219" s="21">
        <v>118800</v>
      </c>
      <c r="M219" s="21">
        <v>3600</v>
      </c>
      <c r="N219" s="21">
        <v>144</v>
      </c>
      <c r="O219" s="21">
        <v>0</v>
      </c>
      <c r="P219" s="21">
        <v>151108</v>
      </c>
      <c r="Q219" s="22">
        <v>607.13194444444446</v>
      </c>
      <c r="R219" s="22">
        <v>300</v>
      </c>
      <c r="S219" s="23">
        <v>0</v>
      </c>
      <c r="T219" s="23">
        <v>0</v>
      </c>
      <c r="U219" s="24">
        <v>1.3117013888888889</v>
      </c>
      <c r="V219" s="25">
        <v>0.1</v>
      </c>
      <c r="W219" s="26">
        <v>0.1</v>
      </c>
      <c r="X219" s="27">
        <v>0.5</v>
      </c>
      <c r="Y219" s="25">
        <v>0</v>
      </c>
      <c r="Z219" s="24">
        <v>0.75</v>
      </c>
      <c r="AA219" s="25">
        <v>0</v>
      </c>
      <c r="AB219" s="28">
        <v>0</v>
      </c>
      <c r="AC219" s="28">
        <v>0</v>
      </c>
      <c r="AD219" s="28">
        <v>0</v>
      </c>
      <c r="AE219" s="25">
        <v>0.09</v>
      </c>
      <c r="AF219" s="26">
        <v>0.09</v>
      </c>
      <c r="AG219" s="29" t="s">
        <v>729</v>
      </c>
      <c r="AH219" s="30">
        <v>1</v>
      </c>
      <c r="AI219" s="26">
        <v>0.1</v>
      </c>
      <c r="AJ219" s="21">
        <v>0</v>
      </c>
      <c r="AK219" s="21">
        <v>0</v>
      </c>
      <c r="AL219" s="26">
        <v>0.1</v>
      </c>
      <c r="AM219" s="24">
        <v>0.69</v>
      </c>
      <c r="AN219" s="24">
        <v>0.875</v>
      </c>
      <c r="AO219" s="31">
        <v>0.08</v>
      </c>
      <c r="AP219" s="31">
        <v>0.03</v>
      </c>
      <c r="AQ219" s="24">
        <v>0.82</v>
      </c>
      <c r="AR219" s="27">
        <v>0.95238095238095233</v>
      </c>
      <c r="AS219" s="26">
        <v>0.2</v>
      </c>
      <c r="AT219" s="26">
        <v>0.1</v>
      </c>
      <c r="AU219" s="24">
        <v>0.99248120300751874</v>
      </c>
      <c r="AV219" s="32">
        <v>0</v>
      </c>
      <c r="AW219" s="26">
        <v>0.05</v>
      </c>
      <c r="AX219" s="26">
        <v>0.02</v>
      </c>
      <c r="AY219" s="24">
        <v>0.74</v>
      </c>
      <c r="AZ219" s="24">
        <v>0.68702290076335881</v>
      </c>
      <c r="BA219" s="31">
        <v>0</v>
      </c>
      <c r="BB219" s="33">
        <v>0.53</v>
      </c>
      <c r="BD219" s="26">
        <v>0.72</v>
      </c>
      <c r="BE219" s="26">
        <v>0.15000000000000002</v>
      </c>
      <c r="BF219" s="26" t="s">
        <v>729</v>
      </c>
      <c r="BH219" s="34">
        <v>0</v>
      </c>
      <c r="BI219" s="34">
        <v>0</v>
      </c>
      <c r="BJ219" s="34" t="s">
        <v>259</v>
      </c>
      <c r="BK219" s="34">
        <v>0</v>
      </c>
      <c r="BM219" s="35">
        <v>0.87</v>
      </c>
    </row>
    <row r="220" spans="1:65" x14ac:dyDescent="0.25">
      <c r="A220" s="4" t="s">
        <v>254</v>
      </c>
      <c r="B220" s="4"/>
      <c r="C220" s="4"/>
      <c r="D220" s="19"/>
      <c r="E220" s="20"/>
      <c r="F220" s="20"/>
      <c r="G220" s="20"/>
      <c r="H220" s="2"/>
      <c r="I220" s="2"/>
      <c r="J220" s="2"/>
      <c r="K220" s="21"/>
      <c r="L220" s="21"/>
      <c r="M220" s="21"/>
      <c r="N220" s="21"/>
      <c r="O220" s="21"/>
      <c r="P220" s="21"/>
      <c r="Q220" s="22"/>
      <c r="R220" s="22"/>
      <c r="S220" s="23"/>
      <c r="T220" s="23"/>
      <c r="U220" s="24"/>
      <c r="V220" s="25"/>
      <c r="W220" s="26"/>
      <c r="X220" s="27"/>
      <c r="Y220" s="25"/>
      <c r="Z220" s="24"/>
      <c r="AA220" s="25"/>
      <c r="AB220" s="28"/>
      <c r="AC220" s="28"/>
      <c r="AD220" s="28"/>
      <c r="AE220" s="25"/>
      <c r="AF220" s="26"/>
      <c r="AG220" s="29"/>
      <c r="AH220" s="30" t="str">
        <f>IFERROR(VLOOKUP($B220,[1]Quality!A:C,2,0),"N/A")</f>
        <v>N/A</v>
      </c>
      <c r="AI220" s="26">
        <f>IFERROR(VLOOKUP($B220,[1]Quality!A:C,3,0),10%)</f>
        <v>0.1</v>
      </c>
      <c r="AJ220" s="21">
        <f>IFERROR(VLOOKUP($B220,[1]QCom!F:I,2,0),0)</f>
        <v>0</v>
      </c>
      <c r="AK220" s="21">
        <f>IFERROR(VLOOKUP($B220,[1]QCom!F:J,3,0),0)</f>
        <v>0</v>
      </c>
      <c r="AL220" s="26">
        <f>IFERROR(VLOOKUP($B220,[1]QCom!F:J,4,0),10%)</f>
        <v>0.1</v>
      </c>
      <c r="AM220" s="24"/>
      <c r="AN220" s="24"/>
      <c r="AO220" s="31"/>
      <c r="AP220" s="31"/>
      <c r="AQ220" s="24"/>
      <c r="AR220" s="27"/>
      <c r="AS220" s="26"/>
      <c r="AT220" s="26"/>
      <c r="AU220" s="24"/>
      <c r="AV220" s="32"/>
      <c r="AW220" s="26"/>
      <c r="AX220" s="26"/>
      <c r="AY220" s="24"/>
      <c r="AZ220" s="24"/>
      <c r="BA220" s="31"/>
      <c r="BB220" s="33"/>
      <c r="BD220" s="26"/>
      <c r="BE220" s="26"/>
      <c r="BF220" s="26"/>
      <c r="BH220" s="34"/>
      <c r="BI220" s="34"/>
      <c r="BJ220" s="34"/>
      <c r="BK220" s="34"/>
      <c r="BM220" s="35"/>
    </row>
  </sheetData>
  <mergeCells count="20">
    <mergeCell ref="AY3:AZ3"/>
    <mergeCell ref="AV1:AX1"/>
    <mergeCell ref="AY1:BA1"/>
    <mergeCell ref="BD1:BD2"/>
    <mergeCell ref="BE1:BE2"/>
    <mergeCell ref="BH1:BK1"/>
    <mergeCell ref="AM2:AN2"/>
    <mergeCell ref="AQ2:AR2"/>
    <mergeCell ref="Z1:AA1"/>
    <mergeCell ref="AB1:AE1"/>
    <mergeCell ref="AH1:AI1"/>
    <mergeCell ref="AJ1:AL1"/>
    <mergeCell ref="AM1:AP1"/>
    <mergeCell ref="AQ1:AT1"/>
    <mergeCell ref="Q1:R2"/>
    <mergeCell ref="S1:S2"/>
    <mergeCell ref="T1:T2"/>
    <mergeCell ref="U1:V1"/>
    <mergeCell ref="W1:W2"/>
    <mergeCell ref="X1:Y1"/>
  </mergeCells>
  <conditionalFormatting sqref="Q4:R220">
    <cfRule type="cellIs" dxfId="153" priority="7" operator="greaterThan">
      <formula>$Q$3</formula>
    </cfRule>
  </conditionalFormatting>
  <conditionalFormatting sqref="AV4:AV220">
    <cfRule type="cellIs" dxfId="152" priority="6" operator="lessThan">
      <formula>#REF!</formula>
    </cfRule>
  </conditionalFormatting>
  <conditionalFormatting sqref="AY4:AZ220">
    <cfRule type="cellIs" dxfId="151" priority="5" operator="lessThan">
      <formula>#REF!</formula>
    </cfRule>
  </conditionalFormatting>
  <conditionalFormatting sqref="AU4:AU220">
    <cfRule type="cellIs" dxfId="150" priority="4" operator="lessThan">
      <formula>#REF!</formula>
    </cfRule>
  </conditionalFormatting>
  <conditionalFormatting sqref="V4:V220 S4:T220">
    <cfRule type="cellIs" dxfId="149" priority="3" operator="greaterThan">
      <formula>#REF!</formula>
    </cfRule>
  </conditionalFormatting>
  <conditionalFormatting sqref="X4:AA220">
    <cfRule type="cellIs" dxfId="148" priority="2" operator="greaterThan">
      <formula>#REF!</formula>
    </cfRule>
  </conditionalFormatting>
  <conditionalFormatting sqref="AE4:AE220">
    <cfRule type="cellIs" dxfId="147" priority="1" operator="greaterThan">
      <formula>#REF!</formula>
    </cfRule>
  </conditionalFormatting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Etisalat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Nazmi</dc:creator>
  <cp:lastModifiedBy>Michael Nazmi</cp:lastModifiedBy>
  <dcterms:created xsi:type="dcterms:W3CDTF">2025-02-24T11:34:50Z</dcterms:created>
  <dcterms:modified xsi:type="dcterms:W3CDTF">2025-07-23T05:43:18Z</dcterms:modified>
</cp:coreProperties>
</file>